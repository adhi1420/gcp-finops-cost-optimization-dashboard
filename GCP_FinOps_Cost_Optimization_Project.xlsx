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_Data" sheetId="1" r:id="rId5"/>
    <sheet state="visible" name="Cleaned_Data" sheetId="2" r:id="rId6"/>
    <sheet state="visible" name="Pivot_Tables" sheetId="3" r:id="rId7"/>
    <sheet state="visible" name="Dashboard" sheetId="4" r:id="rId8"/>
  </sheets>
  <definedNames/>
  <calcPr/>
  <pivotCaches>
    <pivotCache cacheId="0" r:id="rId9"/>
    <pivotCache cacheId="1" r:id="rId10"/>
  </pivotCaches>
</workbook>
</file>

<file path=xl/sharedStrings.xml><?xml version="1.0" encoding="utf-8"?>
<sst xmlns="http://schemas.openxmlformats.org/spreadsheetml/2006/main" count="11529" uniqueCount="2275">
  <si>
    <t>Resource ID</t>
  </si>
  <si>
    <t>Service Name</t>
  </si>
  <si>
    <t>Usage Quantity</t>
  </si>
  <si>
    <t>Usage Unit</t>
  </si>
  <si>
    <t>Region/Zone</t>
  </si>
  <si>
    <t>CPU Utilization (%)</t>
  </si>
  <si>
    <t>Memory Utilization (%)</t>
  </si>
  <si>
    <t>Network Inbound Data (Bytes)</t>
  </si>
  <si>
    <t>Network Outbound Data (Bytes)</t>
  </si>
  <si>
    <t>Usage Start Date</t>
  </si>
  <si>
    <t>Usage End Date</t>
  </si>
  <si>
    <t>Cost per Quantity ($)</t>
  </si>
  <si>
    <t>Unrounded Cost ($)</t>
  </si>
  <si>
    <t>Rounded Cost ($)</t>
  </si>
  <si>
    <t>Total Cost (INR)</t>
  </si>
  <si>
    <t>res-ST6BAJ2N</t>
  </si>
  <si>
    <t>Cloud Dataproc</t>
  </si>
  <si>
    <t>Requests</t>
  </si>
  <si>
    <t>europe-north1</t>
  </si>
  <si>
    <t>res-TYGNR0RV</t>
  </si>
  <si>
    <t>Pub/Sub</t>
  </si>
  <si>
    <t>GB</t>
  </si>
  <si>
    <t>europe-west1</t>
  </si>
  <si>
    <t>23-08-2024 09:18</t>
  </si>
  <si>
    <t>25-08-2024 07:26</t>
  </si>
  <si>
    <t>res-S3I9C869</t>
  </si>
  <si>
    <t>BigQuery</t>
  </si>
  <si>
    <t>southamerica-east1</t>
  </si>
  <si>
    <t>18-07-2024 11:13</t>
  </si>
  <si>
    <t>22-07-2024 00:45</t>
  </si>
  <si>
    <t>res-1RY9BZ6G</t>
  </si>
  <si>
    <t>Cloud Endpoints</t>
  </si>
  <si>
    <t>us-central1</t>
  </si>
  <si>
    <t>20-07-2024 00:15</t>
  </si>
  <si>
    <t>21-07-2024 10:16</t>
  </si>
  <si>
    <t>res-S3HQYIZ2</t>
  </si>
  <si>
    <t>Cloud Spanner</t>
  </si>
  <si>
    <t>asia-southeast1</t>
  </si>
  <si>
    <t>21-08-2024 21:25</t>
  </si>
  <si>
    <t>25-08-2024 00:21</t>
  </si>
  <si>
    <t>res-MWGCR6VT</t>
  </si>
  <si>
    <t>Cloud Run</t>
  </si>
  <si>
    <t>Hours</t>
  </si>
  <si>
    <t>18-07-2024 03:07</t>
  </si>
  <si>
    <t>20-07-2024 05:55</t>
  </si>
  <si>
    <t>res-FSWKHTQW</t>
  </si>
  <si>
    <t>Cloud CDN</t>
  </si>
  <si>
    <t>23-08-2024 11:39</t>
  </si>
  <si>
    <t>25-08-2024 11:08</t>
  </si>
  <si>
    <t>res-S7I6Z6JD</t>
  </si>
  <si>
    <t>20-08-2024 13:23</t>
  </si>
  <si>
    <t>22-08-2024 14:58</t>
  </si>
  <si>
    <t>res-U3CCWT2L</t>
  </si>
  <si>
    <t>Cloud VPN</t>
  </si>
  <si>
    <t>northamerica-northeast1</t>
  </si>
  <si>
    <t>14-07-2024 04:02</t>
  </si>
  <si>
    <t>res-4DX4UZEY</t>
  </si>
  <si>
    <t>Firestore</t>
  </si>
  <si>
    <t>australia-southeast1</t>
  </si>
  <si>
    <t>res-JAL9EY6P</t>
  </si>
  <si>
    <t>Compute Engine</t>
  </si>
  <si>
    <t>res-B4GZM2Q6</t>
  </si>
  <si>
    <t>AI Platform</t>
  </si>
  <si>
    <t>14-08-2024 09:47</t>
  </si>
  <si>
    <t>18-08-2024 00:25</t>
  </si>
  <si>
    <t>res-012HZFAA</t>
  </si>
  <si>
    <t>Cloud Interconnect</t>
  </si>
  <si>
    <t>19-07-2024 19:26</t>
  </si>
  <si>
    <t>22-07-2024 13:56</t>
  </si>
  <si>
    <t>res-ELZMGAPV</t>
  </si>
  <si>
    <t>asia-east1</t>
  </si>
  <si>
    <t>18-07-2024 12:56</t>
  </si>
  <si>
    <t>20-07-2024 21:28</t>
  </si>
  <si>
    <t>res-XACLYR7O</t>
  </si>
  <si>
    <t>us-east1</t>
  </si>
  <si>
    <t>res-O0Y1GSUY</t>
  </si>
  <si>
    <t>20-08-2024 03:04</t>
  </si>
  <si>
    <t>24-08-2024 05:27</t>
  </si>
  <si>
    <t>res-S3LT44XO</t>
  </si>
  <si>
    <t>Cloud Build</t>
  </si>
  <si>
    <t>25-08-2024 21:20</t>
  </si>
  <si>
    <t>31-08-2024 12:24</t>
  </si>
  <si>
    <t>res-4FELBDAQ</t>
  </si>
  <si>
    <t>Cloud Armor</t>
  </si>
  <si>
    <t>res-8DBLI7MV</t>
  </si>
  <si>
    <t>28-08-2024 09:37</t>
  </si>
  <si>
    <t>29-08-2024 17:30</t>
  </si>
  <si>
    <t>res-KI6SEH8K</t>
  </si>
  <si>
    <t>res-QTQQHAC7</t>
  </si>
  <si>
    <t>19-08-2024 07:29</t>
  </si>
  <si>
    <t>21-08-2024 09:41</t>
  </si>
  <si>
    <t>res-4F4ZI2VT</t>
  </si>
  <si>
    <t>17-07-2024 20:20</t>
  </si>
  <si>
    <t>22-07-2024 08:13</t>
  </si>
  <si>
    <t>res-EJ3TCI72</t>
  </si>
  <si>
    <t>res-27V25S4F</t>
  </si>
  <si>
    <t>17-08-2024 01:17</t>
  </si>
  <si>
    <t>19-08-2024 18:27</t>
  </si>
  <si>
    <t>res-T91EICVM</t>
  </si>
  <si>
    <t>Cloud Load Balancing</t>
  </si>
  <si>
    <t>17-07-2024 02:28</t>
  </si>
  <si>
    <t>res-251A50KH</t>
  </si>
  <si>
    <t>23-08-2024 17:18</t>
  </si>
  <si>
    <t>29-08-2024 07:02</t>
  </si>
  <si>
    <t>res-3JSZVG7Z</t>
  </si>
  <si>
    <t>europe-west3</t>
  </si>
  <si>
    <t>26-08-2024 19:31</t>
  </si>
  <si>
    <t>29-08-2024 04:27</t>
  </si>
  <si>
    <t>res-5O0LZKYC</t>
  </si>
  <si>
    <t>res-PGHLRRI4</t>
  </si>
  <si>
    <t>15-08-2024 11:52</t>
  </si>
  <si>
    <t>res-E5DZLWUA</t>
  </si>
  <si>
    <t>Dataflow</t>
  </si>
  <si>
    <t>27-08-2024 04:52</t>
  </si>
  <si>
    <t>28-08-2024 05:23</t>
  </si>
  <si>
    <t>res-A6LFJNRY</t>
  </si>
  <si>
    <t>16-08-2024 00:18</t>
  </si>
  <si>
    <t>19-08-2024 13:19</t>
  </si>
  <si>
    <t>res-CWFW5Z7I</t>
  </si>
  <si>
    <t>26-08-2024 16:24</t>
  </si>
  <si>
    <t>31-08-2024 13:07</t>
  </si>
  <si>
    <t>res-UEL2KJBD</t>
  </si>
  <si>
    <t>Cloud VPC</t>
  </si>
  <si>
    <t>us-west1</t>
  </si>
  <si>
    <t>res-2NWIUO2C</t>
  </si>
  <si>
    <t>14-07-2024 17:48</t>
  </si>
  <si>
    <t>16-07-2024 23:28</t>
  </si>
  <si>
    <t>res-TDYG7ESV</t>
  </si>
  <si>
    <t>Cloud NAT</t>
  </si>
  <si>
    <t>res-66L7XN4J</t>
  </si>
  <si>
    <t>29-07-2024 06:08</t>
  </si>
  <si>
    <t>30-07-2024 14:04</t>
  </si>
  <si>
    <t>res-SG6WQFX8</t>
  </si>
  <si>
    <t>14-07-2024 09:21</t>
  </si>
  <si>
    <t>18-07-2024 20:13</t>
  </si>
  <si>
    <t>res-6EL50YPV</t>
  </si>
  <si>
    <t>16-08-2024 20:04</t>
  </si>
  <si>
    <t>21-08-2024 12:08</t>
  </si>
  <si>
    <t>res-ALHVTEHO</t>
  </si>
  <si>
    <t>Kubernetes Engine</t>
  </si>
  <si>
    <t>res-Y3DP4TQK</t>
  </si>
  <si>
    <t>23-08-2024 16:13</t>
  </si>
  <si>
    <t>25-08-2024 23:47</t>
  </si>
  <si>
    <t>res-XGSQU6G9</t>
  </si>
  <si>
    <t>22-07-2024 15:15</t>
  </si>
  <si>
    <t>24-07-2024 05:06</t>
  </si>
  <si>
    <t>res-JYW9QXTH</t>
  </si>
  <si>
    <t>Cloud Functions</t>
  </si>
  <si>
    <t>14-07-2024 00:48</t>
  </si>
  <si>
    <t>res-M0XOPAGW</t>
  </si>
  <si>
    <t>21-08-2024 10:30</t>
  </si>
  <si>
    <t>22-08-2024 20:06</t>
  </si>
  <si>
    <t>res-HLWAGRJX</t>
  </si>
  <si>
    <t>res-TH2HV714</t>
  </si>
  <si>
    <t>res-NGNWFF0O</t>
  </si>
  <si>
    <t>asia-northeast1</t>
  </si>
  <si>
    <t>21-07-2024 11:28</t>
  </si>
  <si>
    <t>22-07-2024 15:42</t>
  </si>
  <si>
    <t>res-UB3MG63E</t>
  </si>
  <si>
    <t>res-P0IB37XB</t>
  </si>
  <si>
    <t>14-07-2024 20:22</t>
  </si>
  <si>
    <t>res-8DMDOAEB</t>
  </si>
  <si>
    <t>res-ZWIM5IQO</t>
  </si>
  <si>
    <t>13-08-2024 08:40</t>
  </si>
  <si>
    <t>16-08-2024 16:17</t>
  </si>
  <si>
    <t>res-ND973JKK</t>
  </si>
  <si>
    <t>Cloud SQL</t>
  </si>
  <si>
    <t>17-07-2024 01:48</t>
  </si>
  <si>
    <t>res-RMU6GKFR</t>
  </si>
  <si>
    <t>Cloud Memorystore</t>
  </si>
  <si>
    <t>14-08-2024 10:27</t>
  </si>
  <si>
    <t>20-08-2024 03:38</t>
  </si>
  <si>
    <t>res-4DS5ZYPH</t>
  </si>
  <si>
    <t>14-08-2024 01:08</t>
  </si>
  <si>
    <t>res-5K3QHZV3</t>
  </si>
  <si>
    <t>res-N3JA77XL</t>
  </si>
  <si>
    <t>25-07-2024 07:31</t>
  </si>
  <si>
    <t>29-07-2024 02:07</t>
  </si>
  <si>
    <t>res-SSBP7G7A</t>
  </si>
  <si>
    <t>14-08-2024 03:09</t>
  </si>
  <si>
    <t>19-08-2024 14:12</t>
  </si>
  <si>
    <t>res-8EKE64Y9</t>
  </si>
  <si>
    <t>res-5JQE0V7N</t>
  </si>
  <si>
    <t>Container Registry</t>
  </si>
  <si>
    <t>res-IGDCS3TU</t>
  </si>
  <si>
    <t>res-UPEK7TGF</t>
  </si>
  <si>
    <t>res-Q31L0E0M</t>
  </si>
  <si>
    <t>res-3DE1XB74</t>
  </si>
  <si>
    <t>31-07-2024 02:06</t>
  </si>
  <si>
    <t>res-WRHTSLS8</t>
  </si>
  <si>
    <t>15-08-2024 16:59</t>
  </si>
  <si>
    <t>21-08-2024 03:45</t>
  </si>
  <si>
    <t>res-YAJ9RWIJ</t>
  </si>
  <si>
    <t>19-07-2024 10:32</t>
  </si>
  <si>
    <t>24-07-2024 08:12</t>
  </si>
  <si>
    <t>res-J1A4NFH8</t>
  </si>
  <si>
    <t>res-EALEFOKP</t>
  </si>
  <si>
    <t>19-07-2024 23:26</t>
  </si>
  <si>
    <t>22-07-2024 15:33</t>
  </si>
  <si>
    <t>res-WN4BM9FD</t>
  </si>
  <si>
    <t>res-TATL6NKT</t>
  </si>
  <si>
    <t>28-07-2024 19:53</t>
  </si>
  <si>
    <t>res-OJK06WNM</t>
  </si>
  <si>
    <t>24-08-2024 15:41</t>
  </si>
  <si>
    <t>28-08-2024 22:58</t>
  </si>
  <si>
    <t>res-ASTO68FD</t>
  </si>
  <si>
    <t>res-F3P3S9SJ</t>
  </si>
  <si>
    <t>res-R96K0UAA</t>
  </si>
  <si>
    <t>14-08-2024 14:50</t>
  </si>
  <si>
    <t>17-08-2024 00:54</t>
  </si>
  <si>
    <t>res-UF72S2ZA</t>
  </si>
  <si>
    <t>17-08-2024 12:09</t>
  </si>
  <si>
    <t>22-08-2024 03:54</t>
  </si>
  <si>
    <t>res-SPITPRK0</t>
  </si>
  <si>
    <t>res-KENC5DI4</t>
  </si>
  <si>
    <t>19-07-2024 06:35</t>
  </si>
  <si>
    <t>21-07-2024 00:30</t>
  </si>
  <si>
    <t>res-N4DACW72</t>
  </si>
  <si>
    <t>28-08-2024 23:54</t>
  </si>
  <si>
    <t>res-UMDNFSOR</t>
  </si>
  <si>
    <t>13-08-2024 19:31</t>
  </si>
  <si>
    <t>15-08-2024 22:18</t>
  </si>
  <si>
    <t>res-PAQEKYLT</t>
  </si>
  <si>
    <t>13-07-2024 06:46</t>
  </si>
  <si>
    <t>res-7WNF8X7W</t>
  </si>
  <si>
    <t>16-07-2024 05:09</t>
  </si>
  <si>
    <t>20-07-2024 09:14</t>
  </si>
  <si>
    <t>res-183YWOLN</t>
  </si>
  <si>
    <t>25-07-2024 07:07</t>
  </si>
  <si>
    <t>28-07-2024 22:08</t>
  </si>
  <si>
    <t>res-QZSVFSSA</t>
  </si>
  <si>
    <t>res-ACEAM0OK</t>
  </si>
  <si>
    <t>res-S463U44F</t>
  </si>
  <si>
    <t>19-07-2024 12:19</t>
  </si>
  <si>
    <t>23-07-2024 02:49</t>
  </si>
  <si>
    <t>res-1MJM7FDN</t>
  </si>
  <si>
    <t>20-07-2024 17:12</t>
  </si>
  <si>
    <t>23-07-2024 00:45</t>
  </si>
  <si>
    <t>res-5ZMFEUSN</t>
  </si>
  <si>
    <t>27-07-2024 19:28</t>
  </si>
  <si>
    <t>29-07-2024 13:39</t>
  </si>
  <si>
    <t>res-0XZC95XI</t>
  </si>
  <si>
    <t>res-UYX9HR56</t>
  </si>
  <si>
    <t>17-08-2024 14:56</t>
  </si>
  <si>
    <t>21-08-2024 09:03</t>
  </si>
  <si>
    <t>res-DJA0J2HT</t>
  </si>
  <si>
    <t>14-08-2024 20:36</t>
  </si>
  <si>
    <t>res-YFTXHZ6V</t>
  </si>
  <si>
    <t>res-IF612JJD</t>
  </si>
  <si>
    <t>res-P48QXSH3</t>
  </si>
  <si>
    <t>15-08-2024 10:39</t>
  </si>
  <si>
    <t>17-08-2024 14:38</t>
  </si>
  <si>
    <t>res-DMQNKYQI</t>
  </si>
  <si>
    <t>24-07-2024 08:29</t>
  </si>
  <si>
    <t>30-07-2024 01:45</t>
  </si>
  <si>
    <t>res-W17TJLS5</t>
  </si>
  <si>
    <t>14-07-2024 02:52</t>
  </si>
  <si>
    <t>res-Y743O1KJ</t>
  </si>
  <si>
    <t>21-08-2024 22:16</t>
  </si>
  <si>
    <t>26-08-2024 10:28</t>
  </si>
  <si>
    <t>res-UOBIS97Y</t>
  </si>
  <si>
    <t>16-08-2024 00:43</t>
  </si>
  <si>
    <t>res-IPSRXLS0</t>
  </si>
  <si>
    <t>res-028HLTIJ</t>
  </si>
  <si>
    <t>21-08-2024 17:41</t>
  </si>
  <si>
    <t>24-08-2024 15:19</t>
  </si>
  <si>
    <t>res-NOJL21YR</t>
  </si>
  <si>
    <t>30-06-2024 18:47</t>
  </si>
  <si>
    <t>res-IPXAPWCU</t>
  </si>
  <si>
    <t>18-08-2024 13:32</t>
  </si>
  <si>
    <t>res-3MIS5OW4</t>
  </si>
  <si>
    <t>30-07-2024 14:05</t>
  </si>
  <si>
    <t>res-4AA89AW0</t>
  </si>
  <si>
    <t>Cloud Storage</t>
  </si>
  <si>
    <t>27-08-2024 15:03</t>
  </si>
  <si>
    <t>31-08-2024 23:33</t>
  </si>
  <si>
    <t>res-50ENK9SD</t>
  </si>
  <si>
    <t>21-07-2024 04:58</t>
  </si>
  <si>
    <t>23-07-2024 05:49</t>
  </si>
  <si>
    <t>res-EL6QGI8H</t>
  </si>
  <si>
    <t>26-07-2024 06:13</t>
  </si>
  <si>
    <t>28-07-2024 21:25</t>
  </si>
  <si>
    <t>res-I30ERORH</t>
  </si>
  <si>
    <t>25-08-2024 10:20</t>
  </si>
  <si>
    <t>29-08-2024 06:12</t>
  </si>
  <si>
    <t>res-WZAXU5QI</t>
  </si>
  <si>
    <t>res-BPP2I4JY</t>
  </si>
  <si>
    <t>res-SXTAFMSQ</t>
  </si>
  <si>
    <t>21-08-2024 18:47</t>
  </si>
  <si>
    <t>24-08-2024 10:23</t>
  </si>
  <si>
    <t>res-6QQFCS6P</t>
  </si>
  <si>
    <t>24-07-2024 10:04</t>
  </si>
  <si>
    <t>29-07-2024 19:20</t>
  </si>
  <si>
    <t>res-3XQFDWRL</t>
  </si>
  <si>
    <t>16-07-2024 04:38</t>
  </si>
  <si>
    <t>17-07-2024 10:00</t>
  </si>
  <si>
    <t>res-332C4VUK</t>
  </si>
  <si>
    <t>res-9BI125KP</t>
  </si>
  <si>
    <t>25-07-2024 22:38</t>
  </si>
  <si>
    <t>29-07-2024 01:37</t>
  </si>
  <si>
    <t>res-WSIQKZD2</t>
  </si>
  <si>
    <t>24-07-2024 11:41</t>
  </si>
  <si>
    <t>29-07-2024 05:57</t>
  </si>
  <si>
    <t>res-S9RSLPXV</t>
  </si>
  <si>
    <t>27-07-2024 02:23</t>
  </si>
  <si>
    <t>28-07-2024 08:06</t>
  </si>
  <si>
    <t>res-LHYKHUU8</t>
  </si>
  <si>
    <t>28-08-2024 08:27</t>
  </si>
  <si>
    <t>res-M8RGW39R</t>
  </si>
  <si>
    <t>res-LXFL51RN</t>
  </si>
  <si>
    <t>res-QW1X0I92</t>
  </si>
  <si>
    <t>res-ZRV6SYR0</t>
  </si>
  <si>
    <t>23-07-2024 06:54</t>
  </si>
  <si>
    <t>27-07-2024 06:58</t>
  </si>
  <si>
    <t>res-DYNXWF06</t>
  </si>
  <si>
    <t>27-07-2024 15:18</t>
  </si>
  <si>
    <t>29-07-2024 14:50</t>
  </si>
  <si>
    <t>res-4GSM5UB0</t>
  </si>
  <si>
    <t>24-07-2024 19:33</t>
  </si>
  <si>
    <t>29-07-2024 05:13</t>
  </si>
  <si>
    <t>res-5YOKEQSZ</t>
  </si>
  <si>
    <t>18-08-2024 02:24</t>
  </si>
  <si>
    <t>23-08-2024 23:24</t>
  </si>
  <si>
    <t>res-FJ60VPX8</t>
  </si>
  <si>
    <t>18-07-2024 23:36</t>
  </si>
  <si>
    <t>21-07-2024 15:03</t>
  </si>
  <si>
    <t>res-IE6CLT4T</t>
  </si>
  <si>
    <t>21-08-2024 08:33</t>
  </si>
  <si>
    <t>26-08-2024 11:51</t>
  </si>
  <si>
    <t>res-42IIGA5O</t>
  </si>
  <si>
    <t>30-07-2024 07:15</t>
  </si>
  <si>
    <t>res-R88AAWSC</t>
  </si>
  <si>
    <t>20-08-2024 13:06</t>
  </si>
  <si>
    <t>23-08-2024 08:24</t>
  </si>
  <si>
    <t>res-3INHYCC5</t>
  </si>
  <si>
    <t>24-07-2024 03:14</t>
  </si>
  <si>
    <t>25-07-2024 11:33</t>
  </si>
  <si>
    <t>res-CX98PG3J</t>
  </si>
  <si>
    <t>res-JI5I18V9</t>
  </si>
  <si>
    <t>30-07-2024 16:42</t>
  </si>
  <si>
    <t>res-BVU9L5PE</t>
  </si>
  <si>
    <t>21-07-2024 05:54</t>
  </si>
  <si>
    <t>26-07-2024 18:33</t>
  </si>
  <si>
    <t>res-BI1A8DVI</t>
  </si>
  <si>
    <t>18-08-2024 20:01</t>
  </si>
  <si>
    <t>24-08-2024 04:46</t>
  </si>
  <si>
    <t>res-A6QRE83W</t>
  </si>
  <si>
    <t>20-08-2024 01:44</t>
  </si>
  <si>
    <t>23-08-2024 14:10</t>
  </si>
  <si>
    <t>res-IVCT1BUF</t>
  </si>
  <si>
    <t>Cloud Data Fusion</t>
  </si>
  <si>
    <t>14-07-2024 11:36</t>
  </si>
  <si>
    <t>19-07-2024 23:33</t>
  </si>
  <si>
    <t>res-BX65RY02</t>
  </si>
  <si>
    <t>26-08-2024 15:04</t>
  </si>
  <si>
    <t>29-08-2024 21:48</t>
  </si>
  <si>
    <t>res-FNMVRLU5</t>
  </si>
  <si>
    <t>res-K3BCF3R1</t>
  </si>
  <si>
    <t>14-08-2024 04:26</t>
  </si>
  <si>
    <t>res-5DH5XK7R</t>
  </si>
  <si>
    <t>20-07-2024 14:28</t>
  </si>
  <si>
    <t>23-07-2024 12:48</t>
  </si>
  <si>
    <t>res-OIFGN9S6</t>
  </si>
  <si>
    <t>res-QFCBS0OP</t>
  </si>
  <si>
    <t>18-07-2024 16:38</t>
  </si>
  <si>
    <t>res-HH25CATI</t>
  </si>
  <si>
    <t>13-08-2024 19:51</t>
  </si>
  <si>
    <t>17-08-2024 21:24</t>
  </si>
  <si>
    <t>res-R75ZLOMH</t>
  </si>
  <si>
    <t>17-07-2024 19:28</t>
  </si>
  <si>
    <t>21-07-2024 16:48</t>
  </si>
  <si>
    <t>res-D8Z8BVYA</t>
  </si>
  <si>
    <t>21-08-2024 08:30</t>
  </si>
  <si>
    <t>25-08-2024 01:31</t>
  </si>
  <si>
    <t>res-NIS6F5IW</t>
  </si>
  <si>
    <t>14-08-2024 16:39</t>
  </si>
  <si>
    <t>20-08-2024 02:51</t>
  </si>
  <si>
    <t>res-9DJ03H48</t>
  </si>
  <si>
    <t>25-08-2024 11:07</t>
  </si>
  <si>
    <t>28-08-2024 13:59</t>
  </si>
  <si>
    <t>res-3SQHP1DE</t>
  </si>
  <si>
    <t>17-07-2024 18:39</t>
  </si>
  <si>
    <t>22-07-2024 00:58</t>
  </si>
  <si>
    <t>res-07FYPZ25</t>
  </si>
  <si>
    <t>20-07-2024 08:55</t>
  </si>
  <si>
    <t>21-07-2024 17:46</t>
  </si>
  <si>
    <t>res-51VG0KX4</t>
  </si>
  <si>
    <t>14-08-2024 03:02</t>
  </si>
  <si>
    <t>18-08-2024 05:38</t>
  </si>
  <si>
    <t>res-EBIEIX2P</t>
  </si>
  <si>
    <t>31-07-2024 09:23</t>
  </si>
  <si>
    <t>res-6ACV3TGJ</t>
  </si>
  <si>
    <t>29-07-2024 15:51</t>
  </si>
  <si>
    <t>res-6TMZ7XGI</t>
  </si>
  <si>
    <t>res-ND8F0M4A</t>
  </si>
  <si>
    <t>27-08-2024 01:07</t>
  </si>
  <si>
    <t>30-08-2024 11:05</t>
  </si>
  <si>
    <t>res-KEQ8NILK</t>
  </si>
  <si>
    <t>res-XQ207VHQ</t>
  </si>
  <si>
    <t>25-07-2024 04:56</t>
  </si>
  <si>
    <t>29-07-2024 03:30</t>
  </si>
  <si>
    <t>res-SJ11891I</t>
  </si>
  <si>
    <t>res-H19C9MGQ</t>
  </si>
  <si>
    <t>15-07-2024 14:39</t>
  </si>
  <si>
    <t>16-07-2024 21:20</t>
  </si>
  <si>
    <t>res-XIM3O9P0</t>
  </si>
  <si>
    <t>28-07-2024 13:29</t>
  </si>
  <si>
    <t>31-07-2024 03:59</t>
  </si>
  <si>
    <t>res-05LVI8W6</t>
  </si>
  <si>
    <t>res-X8HLQJGR</t>
  </si>
  <si>
    <t>27-07-2024 15:14</t>
  </si>
  <si>
    <t>29-07-2024 08:14</t>
  </si>
  <si>
    <t>res-NG4EDZQN</t>
  </si>
  <si>
    <t>15-07-2024 08:52</t>
  </si>
  <si>
    <t>16-07-2024 14:18</t>
  </si>
  <si>
    <t>res-AK01OOOD</t>
  </si>
  <si>
    <t>res-X0MRQ1EA</t>
  </si>
  <si>
    <t>13-08-2024 04:32</t>
  </si>
  <si>
    <t>18-08-2024 04:13</t>
  </si>
  <si>
    <t>res-QC42LBFL</t>
  </si>
  <si>
    <t>res-VK89NCIB</t>
  </si>
  <si>
    <t>22-07-2024 10:33</t>
  </si>
  <si>
    <t>26-07-2024 00:32</t>
  </si>
  <si>
    <t>res-KH6Q1KUH</t>
  </si>
  <si>
    <t>13-08-2024 03:34</t>
  </si>
  <si>
    <t>18-08-2024 15:06</t>
  </si>
  <si>
    <t>res-R4MY6SNT</t>
  </si>
  <si>
    <t>res-ZOGT34FS</t>
  </si>
  <si>
    <t>res-F9SA2UW2</t>
  </si>
  <si>
    <t>17-07-2024 00:26</t>
  </si>
  <si>
    <t>21-07-2024 09:36</t>
  </si>
  <si>
    <t>res-PEEXNBZM</t>
  </si>
  <si>
    <t>18-08-2024 09:16</t>
  </si>
  <si>
    <t>21-08-2024 19:17</t>
  </si>
  <si>
    <t>res-GTEJU4UK</t>
  </si>
  <si>
    <t>13-07-2024 21:00</t>
  </si>
  <si>
    <t>res-WFOF16UH</t>
  </si>
  <si>
    <t>14-08-2024 17:10</t>
  </si>
  <si>
    <t>15-08-2024 17:23</t>
  </si>
  <si>
    <t>res-2SCCW6WM</t>
  </si>
  <si>
    <t>res-QD3IBKRP</t>
  </si>
  <si>
    <t>19-08-2024 17:28</t>
  </si>
  <si>
    <t>24-08-2024 03:20</t>
  </si>
  <si>
    <t>res-86KNN8SR</t>
  </si>
  <si>
    <t>res-1055YKL2</t>
  </si>
  <si>
    <t>13-08-2024 13:41</t>
  </si>
  <si>
    <t>17-08-2024 03:15</t>
  </si>
  <si>
    <t>res-WAAIIIM2</t>
  </si>
  <si>
    <t>21-07-2024 05:23</t>
  </si>
  <si>
    <t>22-07-2024 06:12</t>
  </si>
  <si>
    <t>res-F1AKU3HS</t>
  </si>
  <si>
    <t>res-GL3BFL4Z</t>
  </si>
  <si>
    <t>res-4ZVRCGH1</t>
  </si>
  <si>
    <t>15-07-2024 19:44</t>
  </si>
  <si>
    <t>18-07-2024 19:06</t>
  </si>
  <si>
    <t>res-VH7R6G7G</t>
  </si>
  <si>
    <t>15-07-2024 02:11</t>
  </si>
  <si>
    <t>20-07-2024 10:09</t>
  </si>
  <si>
    <t>res-IO7OE2QW</t>
  </si>
  <si>
    <t>17-08-2024 19:52</t>
  </si>
  <si>
    <t>19-08-2024 22:10</t>
  </si>
  <si>
    <t>res-HI37MWQ9</t>
  </si>
  <si>
    <t>17-08-2024 20:33</t>
  </si>
  <si>
    <t>22-08-2024 02:54</t>
  </si>
  <si>
    <t>res-XXMU8Z57</t>
  </si>
  <si>
    <t>28-07-2024 09:30</t>
  </si>
  <si>
    <t>31-07-2024 15:06</t>
  </si>
  <si>
    <t>res-G8DQRSLB</t>
  </si>
  <si>
    <t>13-07-2024 07:33</t>
  </si>
  <si>
    <t>res-YB8GRSNJ</t>
  </si>
  <si>
    <t>res-Q18AS5C1</t>
  </si>
  <si>
    <t>16-08-2024 01:22</t>
  </si>
  <si>
    <t>res-NNEGV70F</t>
  </si>
  <si>
    <t>res-OGI8DBG9</t>
  </si>
  <si>
    <t>14-08-2024 04:13</t>
  </si>
  <si>
    <t>18-08-2024 10:41</t>
  </si>
  <si>
    <t>res-B4TR1ASK</t>
  </si>
  <si>
    <t>res-3UA97I0E</t>
  </si>
  <si>
    <t>30-07-2024 19:34</t>
  </si>
  <si>
    <t>res-VTW7EGMW</t>
  </si>
  <si>
    <t>25-07-2024 22:39</t>
  </si>
  <si>
    <t>27-07-2024 13:03</t>
  </si>
  <si>
    <t>res-2RR6XXID</t>
  </si>
  <si>
    <t>16-08-2024 19:38</t>
  </si>
  <si>
    <t>19-08-2024 03:05</t>
  </si>
  <si>
    <t>res-3JI3YHI8</t>
  </si>
  <si>
    <t>18-08-2024 13:17</t>
  </si>
  <si>
    <t>22-08-2024 23:13</t>
  </si>
  <si>
    <t>res-BZ5W9M5K</t>
  </si>
  <si>
    <t>res-F3AE7OUB</t>
  </si>
  <si>
    <t>21-07-2024 18:42</t>
  </si>
  <si>
    <t>26-07-2024 09:54</t>
  </si>
  <si>
    <t>res-359KKTUA</t>
  </si>
  <si>
    <t>res-1MDPME6E</t>
  </si>
  <si>
    <t>28-08-2024 13:13</t>
  </si>
  <si>
    <t>31-08-2024 10:09</t>
  </si>
  <si>
    <t>res-EWB6WO2A</t>
  </si>
  <si>
    <t>res-AG72N60A</t>
  </si>
  <si>
    <t>15-08-2024 10:01</t>
  </si>
  <si>
    <t>18-08-2024 04:45</t>
  </si>
  <si>
    <t>res-GYU2G1O4</t>
  </si>
  <si>
    <t>15-08-2024 21:00</t>
  </si>
  <si>
    <t>18-08-2024 05:25</t>
  </si>
  <si>
    <t>res-X0KL98G2</t>
  </si>
  <si>
    <t>31-07-2024 11:48</t>
  </si>
  <si>
    <t>res-HMB0HL0N</t>
  </si>
  <si>
    <t>17-08-2024 23:23</t>
  </si>
  <si>
    <t>22-08-2024 21:48</t>
  </si>
  <si>
    <t>res-RL3ZN00U</t>
  </si>
  <si>
    <t>res-U7QQJ58L</t>
  </si>
  <si>
    <t>res-6B2CMM2G</t>
  </si>
  <si>
    <t>16-08-2024 14:27</t>
  </si>
  <si>
    <t>19-08-2024 08:05</t>
  </si>
  <si>
    <t>res-4TYSS5S3</t>
  </si>
  <si>
    <t>18-07-2024 16:01</t>
  </si>
  <si>
    <t>24-07-2024 13:53</t>
  </si>
  <si>
    <t>res-Y50DHQFX</t>
  </si>
  <si>
    <t>res-0EVT01ZJ</t>
  </si>
  <si>
    <t>21-08-2024 18:56</t>
  </si>
  <si>
    <t>23-08-2024 03:33</t>
  </si>
  <si>
    <t>res-BN0T44IH</t>
  </si>
  <si>
    <t>18-07-2024 04:54</t>
  </si>
  <si>
    <t>res-BPLHVSWK</t>
  </si>
  <si>
    <t>15-07-2024 14:47</t>
  </si>
  <si>
    <t>res-7XIEH2GK</t>
  </si>
  <si>
    <t>13-08-2024 04:25</t>
  </si>
  <si>
    <t>15-08-2024 10:22</t>
  </si>
  <si>
    <t>res-1J7E15GY</t>
  </si>
  <si>
    <t>13-08-2024 05:25</t>
  </si>
  <si>
    <t>res-0N5EXOOX</t>
  </si>
  <si>
    <t>13-07-2024 18:40</t>
  </si>
  <si>
    <t>19-07-2024 10:47</t>
  </si>
  <si>
    <t>res-BUSP3LSD</t>
  </si>
  <si>
    <t>23-08-2024 14:27</t>
  </si>
  <si>
    <t>25-08-2024 07:54</t>
  </si>
  <si>
    <t>res-0564S9TF</t>
  </si>
  <si>
    <t>23-07-2024 03:21</t>
  </si>
  <si>
    <t>27-07-2024 00:30</t>
  </si>
  <si>
    <t>res-43HSMX9Z</t>
  </si>
  <si>
    <t>25-07-2024 18:41</t>
  </si>
  <si>
    <t>res-ON0OFWM0</t>
  </si>
  <si>
    <t>17-08-2024 08:35</t>
  </si>
  <si>
    <t>res-736OPXF9</t>
  </si>
  <si>
    <t>res-FQYG4I9V</t>
  </si>
  <si>
    <t>27-08-2024 04:57</t>
  </si>
  <si>
    <t>31-08-2024 20:02</t>
  </si>
  <si>
    <t>res-95M0B8PU</t>
  </si>
  <si>
    <t>16-08-2024 02:29</t>
  </si>
  <si>
    <t>res-YQ03U4NW</t>
  </si>
  <si>
    <t>23-07-2024 11:34</t>
  </si>
  <si>
    <t>24-07-2024 22:06</t>
  </si>
  <si>
    <t>res-3ECMMHD3</t>
  </si>
  <si>
    <t>res-YDYYGRBW</t>
  </si>
  <si>
    <t>21-07-2024 04:11</t>
  </si>
  <si>
    <t>24-07-2024 16:37</t>
  </si>
  <si>
    <t>res-T4P2WKQB</t>
  </si>
  <si>
    <t>28-07-2024 09:27</t>
  </si>
  <si>
    <t>29-07-2024 22:13</t>
  </si>
  <si>
    <t>res-KA8S76JP</t>
  </si>
  <si>
    <t>22-07-2024 10:43</t>
  </si>
  <si>
    <t>27-07-2024 18:29</t>
  </si>
  <si>
    <t>res-HUV1NEIA</t>
  </si>
  <si>
    <t>24-08-2024 17:08</t>
  </si>
  <si>
    <t>27-08-2024 20:39</t>
  </si>
  <si>
    <t>res-TMUUSOKX</t>
  </si>
  <si>
    <t>res-SF4TOUWB</t>
  </si>
  <si>
    <t>21-07-2024 11:35</t>
  </si>
  <si>
    <t>23-07-2024 13:10</t>
  </si>
  <si>
    <t>res-M10NG09Z</t>
  </si>
  <si>
    <t>30-07-2024 23:55</t>
  </si>
  <si>
    <t>res-LHH3C6YV</t>
  </si>
  <si>
    <t>res-NCB7MZNO</t>
  </si>
  <si>
    <t>30-07-2024 17:37</t>
  </si>
  <si>
    <t>res-NPBLNHIG</t>
  </si>
  <si>
    <t>16-07-2024 01:23</t>
  </si>
  <si>
    <t>21-07-2024 12:21</t>
  </si>
  <si>
    <t>res-82OZQF0P</t>
  </si>
  <si>
    <t>res-YHWPU7BD</t>
  </si>
  <si>
    <t>res-X5BAACYY</t>
  </si>
  <si>
    <t>19-07-2024 00:09</t>
  </si>
  <si>
    <t>21-07-2024 14:14</t>
  </si>
  <si>
    <t>res-WM0B0C31</t>
  </si>
  <si>
    <t>15-07-2024 02:39</t>
  </si>
  <si>
    <t>res-FCXPJQYL</t>
  </si>
  <si>
    <t>25-07-2024 01:00</t>
  </si>
  <si>
    <t>26-07-2024 21:50</t>
  </si>
  <si>
    <t>res-38ISYK8S</t>
  </si>
  <si>
    <t>16-08-2024 19:00</t>
  </si>
  <si>
    <t>res-E8NJ0KAF</t>
  </si>
  <si>
    <t>16-07-2024 18:05</t>
  </si>
  <si>
    <t>19-07-2024 20:27</t>
  </si>
  <si>
    <t>res-1OOHFVAM</t>
  </si>
  <si>
    <t>19-08-2024 22:23</t>
  </si>
  <si>
    <t>24-08-2024 06:45</t>
  </si>
  <si>
    <t>res-A9LFGMQ4</t>
  </si>
  <si>
    <t>23-07-2024 20:09</t>
  </si>
  <si>
    <t>27-07-2024 13:20</t>
  </si>
  <si>
    <t>res-PDEQJ7U4</t>
  </si>
  <si>
    <t>19-08-2024 21:55</t>
  </si>
  <si>
    <t>25-08-2024 17:34</t>
  </si>
  <si>
    <t>res-LWGX075A</t>
  </si>
  <si>
    <t>res-65HI6BOX</t>
  </si>
  <si>
    <t>14-08-2024 09:13</t>
  </si>
  <si>
    <t>res-IOPJEVUT</t>
  </si>
  <si>
    <t>res-AQX7XE3J</t>
  </si>
  <si>
    <t>15-07-2024 00:10</t>
  </si>
  <si>
    <t>17-07-2024 18:23</t>
  </si>
  <si>
    <t>res-O0TIM29P</t>
  </si>
  <si>
    <t>res-3JKQG3E4</t>
  </si>
  <si>
    <t>16-07-2024 15:16</t>
  </si>
  <si>
    <t>20-07-2024 01:41</t>
  </si>
  <si>
    <t>res-TDS8CF7O</t>
  </si>
  <si>
    <t>res-KSGEF76B</t>
  </si>
  <si>
    <t>13-08-2024 14:54</t>
  </si>
  <si>
    <t>res-7HPPI6FR</t>
  </si>
  <si>
    <t>res-R357HHSJ</t>
  </si>
  <si>
    <t>res-VVSWUAAE</t>
  </si>
  <si>
    <t>res-5YX2EPSC</t>
  </si>
  <si>
    <t>14-07-2024 01:18</t>
  </si>
  <si>
    <t>16-07-2024 11:22</t>
  </si>
  <si>
    <t>res-URCNWFQT</t>
  </si>
  <si>
    <t>res-BUIL1EJV</t>
  </si>
  <si>
    <t>16-07-2024 02:46</t>
  </si>
  <si>
    <t>19-07-2024 04:02</t>
  </si>
  <si>
    <t>res-VH870SCG</t>
  </si>
  <si>
    <t>res-QKN93IUQ</t>
  </si>
  <si>
    <t>20-08-2024 21:57</t>
  </si>
  <si>
    <t>25-08-2024 14:30</t>
  </si>
  <si>
    <t>res-BZBXUZYI</t>
  </si>
  <si>
    <t>22-07-2024 16:27</t>
  </si>
  <si>
    <t>28-07-2024 02:16</t>
  </si>
  <si>
    <t>res-8OXJAS77</t>
  </si>
  <si>
    <t>24-08-2024 07:22</t>
  </si>
  <si>
    <t>26-08-2024 04:31</t>
  </si>
  <si>
    <t>res-4IJ5Z6XM</t>
  </si>
  <si>
    <t>res-4RM5Q210</t>
  </si>
  <si>
    <t>res-K36OUS3E</t>
  </si>
  <si>
    <t>21-07-2024 17:43</t>
  </si>
  <si>
    <t>24-07-2024 01:50</t>
  </si>
  <si>
    <t>res-ZCBXMI9R</t>
  </si>
  <si>
    <t>15-08-2024 18:20</t>
  </si>
  <si>
    <t>19-08-2024 08:52</t>
  </si>
  <si>
    <t>res-B8DX6CAK</t>
  </si>
  <si>
    <t>15-08-2024 10:31</t>
  </si>
  <si>
    <t>20-08-2024 02:23</t>
  </si>
  <si>
    <t>res-H2ADSWPM</t>
  </si>
  <si>
    <t>27-07-2024 11:37</t>
  </si>
  <si>
    <t>res-Z6YLMLP0</t>
  </si>
  <si>
    <t>17-08-2024 08:40</t>
  </si>
  <si>
    <t>22-08-2024 07:32</t>
  </si>
  <si>
    <t>res-A1U5Y9Z5</t>
  </si>
  <si>
    <t>res-RD9ZXRO7</t>
  </si>
  <si>
    <t>res-X4V3GS0X</t>
  </si>
  <si>
    <t>24-07-2024 08:14</t>
  </si>
  <si>
    <t>26-07-2024 08:09</t>
  </si>
  <si>
    <t>res-QZVTIOPY</t>
  </si>
  <si>
    <t>res-V8M6PWQA</t>
  </si>
  <si>
    <t>27-07-2024 02:20</t>
  </si>
  <si>
    <t>res-3ZENSZLY</t>
  </si>
  <si>
    <t>18-07-2024 03:51</t>
  </si>
  <si>
    <t>19-07-2024 09:41</t>
  </si>
  <si>
    <t>res-RN9QSQUX</t>
  </si>
  <si>
    <t>22-07-2024 06:08</t>
  </si>
  <si>
    <t>25-07-2024 17:08</t>
  </si>
  <si>
    <t>res-HZFHS19U</t>
  </si>
  <si>
    <t>14-07-2024 15:47</t>
  </si>
  <si>
    <t>20-07-2024 09:15</t>
  </si>
  <si>
    <t>res-RMKORSAL</t>
  </si>
  <si>
    <t>res-SRHDS40W</t>
  </si>
  <si>
    <t>res-4TY3J9IY</t>
  </si>
  <si>
    <t>15-07-2024 02:42</t>
  </si>
  <si>
    <t>17-07-2024 22:58</t>
  </si>
  <si>
    <t>res-A8ISV5AK</t>
  </si>
  <si>
    <t>28-08-2024 15:03</t>
  </si>
  <si>
    <t>res-C2XM3T1J</t>
  </si>
  <si>
    <t>res-YO1RR5X7</t>
  </si>
  <si>
    <t>27-08-2024 13:56</t>
  </si>
  <si>
    <t>31-08-2024 07:31</t>
  </si>
  <si>
    <t>res-JZACY5C6</t>
  </si>
  <si>
    <t>15-07-2024 13:56</t>
  </si>
  <si>
    <t>17-07-2024 11:43</t>
  </si>
  <si>
    <t>res-D21R9SB1</t>
  </si>
  <si>
    <t>28-08-2024 01:58</t>
  </si>
  <si>
    <t>30-08-2024 07:14</t>
  </si>
  <si>
    <t>res-WU10MTCT</t>
  </si>
  <si>
    <t>24-07-2024 04:21</t>
  </si>
  <si>
    <t>27-07-2024 11:12</t>
  </si>
  <si>
    <t>res-9VSL8AKL</t>
  </si>
  <si>
    <t>res-XQ2SNANY</t>
  </si>
  <si>
    <t>28-08-2024 17:20</t>
  </si>
  <si>
    <t>31-08-2024 05:01</t>
  </si>
  <si>
    <t>res-DM1O00MA</t>
  </si>
  <si>
    <t>17-07-2024 00:42</t>
  </si>
  <si>
    <t>res-1KZU3DQJ</t>
  </si>
  <si>
    <t>res-J34Y24JL</t>
  </si>
  <si>
    <t>14-07-2024 23:33</t>
  </si>
  <si>
    <t>res-88VX0F0Q</t>
  </si>
  <si>
    <t>19-07-2024 22:25</t>
  </si>
  <si>
    <t>25-07-2024 03:22</t>
  </si>
  <si>
    <t>res-0C0LFDHN</t>
  </si>
  <si>
    <t>res-PN87VCFD</t>
  </si>
  <si>
    <t>15-07-2024 07:54</t>
  </si>
  <si>
    <t>res-J5Y0L80C</t>
  </si>
  <si>
    <t>19-07-2024 18:28</t>
  </si>
  <si>
    <t>22-07-2024 17:52</t>
  </si>
  <si>
    <t>res-WYVJMQ5V</t>
  </si>
  <si>
    <t>res-46F0DI7D</t>
  </si>
  <si>
    <t>21-07-2024 08:55</t>
  </si>
  <si>
    <t>24-07-2024 07:49</t>
  </si>
  <si>
    <t>res-AUBOWRG6</t>
  </si>
  <si>
    <t>27-07-2024 12:30</t>
  </si>
  <si>
    <t>res-V6XDWUHS</t>
  </si>
  <si>
    <t>res-A2IYLGCP</t>
  </si>
  <si>
    <t>24-07-2024 06:49</t>
  </si>
  <si>
    <t>28-07-2024 19:12</t>
  </si>
  <si>
    <t>res-YM61GD4T</t>
  </si>
  <si>
    <t>26-07-2024 21:49</t>
  </si>
  <si>
    <t>29-07-2024 12:17</t>
  </si>
  <si>
    <t>res-B1KP68K8</t>
  </si>
  <si>
    <t>res-456UVDXI</t>
  </si>
  <si>
    <t>16-08-2024 06:06</t>
  </si>
  <si>
    <t>20-08-2024 21:26</t>
  </si>
  <si>
    <t>res-N5X9BFE3</t>
  </si>
  <si>
    <t>26-08-2024 01:14</t>
  </si>
  <si>
    <t>31-08-2024 06:47</t>
  </si>
  <si>
    <t>res-919DA5VW</t>
  </si>
  <si>
    <t>res-DE1PLN2D</t>
  </si>
  <si>
    <t>26-07-2024 09:39</t>
  </si>
  <si>
    <t>31-07-2024 19:10</t>
  </si>
  <si>
    <t>res-ZVWW1WO8</t>
  </si>
  <si>
    <t>29-08-2024 15:21</t>
  </si>
  <si>
    <t>res-OXE22REJ</t>
  </si>
  <si>
    <t>res-ILI945FI</t>
  </si>
  <si>
    <t>13-08-2024 08:15</t>
  </si>
  <si>
    <t>17-08-2024 05:40</t>
  </si>
  <si>
    <t>res-MDO55NUJ</t>
  </si>
  <si>
    <t>27-07-2024 11:07</t>
  </si>
  <si>
    <t>29-07-2024 09:29</t>
  </si>
  <si>
    <t>res-XRQLR0TM</t>
  </si>
  <si>
    <t>29-07-2024 09:30</t>
  </si>
  <si>
    <t>31-07-2024 14:19</t>
  </si>
  <si>
    <t>res-VP7PCV8U</t>
  </si>
  <si>
    <t>27-08-2024 23:40</t>
  </si>
  <si>
    <t>29-08-2024 21:42</t>
  </si>
  <si>
    <t>res-1JUX8LS9</t>
  </si>
  <si>
    <t>res-PVXWL5C0</t>
  </si>
  <si>
    <t>14-07-2024 03:04</t>
  </si>
  <si>
    <t>res-1YJWKW8I</t>
  </si>
  <si>
    <t>23-07-2024 16:50</t>
  </si>
  <si>
    <t>25-07-2024 12:07</t>
  </si>
  <si>
    <t>res-G71C069R</t>
  </si>
  <si>
    <t>29-07-2024 00:28</t>
  </si>
  <si>
    <t>30-07-2024 15:50</t>
  </si>
  <si>
    <t>res-39FWQC69</t>
  </si>
  <si>
    <t>19-07-2024 09:33</t>
  </si>
  <si>
    <t>20-07-2024 23:16</t>
  </si>
  <si>
    <t>res-3PG1IW3C</t>
  </si>
  <si>
    <t>res-PJBYZUOO</t>
  </si>
  <si>
    <t>res-67NUV63U</t>
  </si>
  <si>
    <t>13-08-2024 13:11</t>
  </si>
  <si>
    <t>res-5QMXZ068</t>
  </si>
  <si>
    <t>res-DJYS3EO0</t>
  </si>
  <si>
    <t>res-K8RTFPZB</t>
  </si>
  <si>
    <t>19-07-2024 07:23</t>
  </si>
  <si>
    <t>20-07-2024 23:15</t>
  </si>
  <si>
    <t>res-LMD14FLO</t>
  </si>
  <si>
    <t>17-08-2024 09:17</t>
  </si>
  <si>
    <t>18-08-2024 15:53</t>
  </si>
  <si>
    <t>res-1L3R61L2</t>
  </si>
  <si>
    <t>18-07-2024 06:30</t>
  </si>
  <si>
    <t>23-07-2024 02:34</t>
  </si>
  <si>
    <t>res-6P1VN6A6</t>
  </si>
  <si>
    <t>res-8IM8M8TY</t>
  </si>
  <si>
    <t>16-08-2024 23:35</t>
  </si>
  <si>
    <t>21-08-2024 08:36</t>
  </si>
  <si>
    <t>res-CFVZ9YM8</t>
  </si>
  <si>
    <t>res-RZPR26RG</t>
  </si>
  <si>
    <t>13-07-2024 19:55</t>
  </si>
  <si>
    <t>res-0D7YRCPL</t>
  </si>
  <si>
    <t>15-08-2024 17:33</t>
  </si>
  <si>
    <t>res-IK64CSKN</t>
  </si>
  <si>
    <t>31-07-2024 00:35</t>
  </si>
  <si>
    <t>res-K7ZK8W1L</t>
  </si>
  <si>
    <t>res-78Q0LVMD</t>
  </si>
  <si>
    <t>res-JWK1VY6C</t>
  </si>
  <si>
    <t>res-S7Q4AYVH</t>
  </si>
  <si>
    <t>14-07-2024 01:53</t>
  </si>
  <si>
    <t>18-07-2024 22:16</t>
  </si>
  <si>
    <t>res-0DCGVMQZ</t>
  </si>
  <si>
    <t>res-67MMOXFA</t>
  </si>
  <si>
    <t>13-07-2024 18:09</t>
  </si>
  <si>
    <t>15-07-2024 14:37</t>
  </si>
  <si>
    <t>res-8YQ9D8TD</t>
  </si>
  <si>
    <t>res-QMUAHM07</t>
  </si>
  <si>
    <t>res-O6M9SSN4</t>
  </si>
  <si>
    <t>res-LHZFUPDP</t>
  </si>
  <si>
    <t>res-AOZJGYUX</t>
  </si>
  <si>
    <t>res-NFHPGG0Z</t>
  </si>
  <si>
    <t>16-08-2024 05:17</t>
  </si>
  <si>
    <t>20-08-2024 10:05</t>
  </si>
  <si>
    <t>res-KRBRGY62</t>
  </si>
  <si>
    <t>15-07-2024 10:52</t>
  </si>
  <si>
    <t>20-07-2024 20:33</t>
  </si>
  <si>
    <t>res-L0UE4NJN</t>
  </si>
  <si>
    <t>res-YDT1D7I0</t>
  </si>
  <si>
    <t>res-LSZORKYT</t>
  </si>
  <si>
    <t>21-08-2024 04:37</t>
  </si>
  <si>
    <t>24-08-2024 05:01</t>
  </si>
  <si>
    <t>res-TOM757KG</t>
  </si>
  <si>
    <t>13-07-2024 18:30</t>
  </si>
  <si>
    <t>19-07-2024 16:51</t>
  </si>
  <si>
    <t>res-P3K1XB02</t>
  </si>
  <si>
    <t>24-07-2024 20:21</t>
  </si>
  <si>
    <t>27-07-2024 20:28</t>
  </si>
  <si>
    <t>res-Q9JMMDUX</t>
  </si>
  <si>
    <t>21-08-2024 02:59</t>
  </si>
  <si>
    <t>24-08-2024 22:25</t>
  </si>
  <si>
    <t>res-HGKJZW45</t>
  </si>
  <si>
    <t>13-07-2024 07:03</t>
  </si>
  <si>
    <t>res-5V6UFGIT</t>
  </si>
  <si>
    <t>30-07-2024 23:02</t>
  </si>
  <si>
    <t>res-CDVJC43F</t>
  </si>
  <si>
    <t>13-07-2024 19:17</t>
  </si>
  <si>
    <t>15-07-2024 01:13</t>
  </si>
  <si>
    <t>res-QMCYY81X</t>
  </si>
  <si>
    <t>20-07-2024 18:56</t>
  </si>
  <si>
    <t>24-07-2024 11:51</t>
  </si>
  <si>
    <t>res-VUSTFBR7</t>
  </si>
  <si>
    <t>14-07-2024 14:11</t>
  </si>
  <si>
    <t>19-07-2024 09:24</t>
  </si>
  <si>
    <t>res-4PZ1KJHH</t>
  </si>
  <si>
    <t>13-07-2024 05:15</t>
  </si>
  <si>
    <t>res-THEHRU3S</t>
  </si>
  <si>
    <t>16-08-2024 22:59</t>
  </si>
  <si>
    <t>res-F13OGCS1</t>
  </si>
  <si>
    <t>16-08-2024 20:33</t>
  </si>
  <si>
    <t>res-KGO1KFI6</t>
  </si>
  <si>
    <t>24-08-2024 23:13</t>
  </si>
  <si>
    <t>28-08-2024 01:49</t>
  </si>
  <si>
    <t>res-00VD7NNT</t>
  </si>
  <si>
    <t>18-07-2024 21:35</t>
  </si>
  <si>
    <t>22-07-2024 08:06</t>
  </si>
  <si>
    <t>res-GCNCHXF4</t>
  </si>
  <si>
    <t>18-08-2024 00:40</t>
  </si>
  <si>
    <t>23-08-2024 20:21</t>
  </si>
  <si>
    <t>res-UMMHRIG7</t>
  </si>
  <si>
    <t>res-O249RCT8</t>
  </si>
  <si>
    <t>15-08-2024 21:43</t>
  </si>
  <si>
    <t>res-O5HIQONO</t>
  </si>
  <si>
    <t>res-MSIXWNK6</t>
  </si>
  <si>
    <t>27-08-2024 02:05</t>
  </si>
  <si>
    <t>28-08-2024 03:36</t>
  </si>
  <si>
    <t>res-9L80VK58</t>
  </si>
  <si>
    <t>14-08-2024 00:46</t>
  </si>
  <si>
    <t>res-KNQJEPTH</t>
  </si>
  <si>
    <t>22-07-2024 22:40</t>
  </si>
  <si>
    <t>26-07-2024 14:05</t>
  </si>
  <si>
    <t>res-BHG77DRY</t>
  </si>
  <si>
    <t>26-07-2024 15:36</t>
  </si>
  <si>
    <t>31-07-2024 11:41</t>
  </si>
  <si>
    <t>res-CGVIM3VM</t>
  </si>
  <si>
    <t>25-07-2024 21:00</t>
  </si>
  <si>
    <t>31-07-2024 08:03</t>
  </si>
  <si>
    <t>res-4PLMEJQY</t>
  </si>
  <si>
    <t>19-08-2024 18:33</t>
  </si>
  <si>
    <t>25-08-2024 05:02</t>
  </si>
  <si>
    <t>res-X0NWEN6B</t>
  </si>
  <si>
    <t>res-YA2CNX3Q</t>
  </si>
  <si>
    <t>19-07-2024 21:32</t>
  </si>
  <si>
    <t>24-07-2024 09:22</t>
  </si>
  <si>
    <t>res-7L8FKGV4</t>
  </si>
  <si>
    <t>13-07-2024 07:15</t>
  </si>
  <si>
    <t>res-L83XSLB2</t>
  </si>
  <si>
    <t>16-08-2024 03:27</t>
  </si>
  <si>
    <t>21-08-2024 03:26</t>
  </si>
  <si>
    <t>res-ORVHD3QJ</t>
  </si>
  <si>
    <t>res-WNYYXOZ8</t>
  </si>
  <si>
    <t>19-07-2024 02:37</t>
  </si>
  <si>
    <t>21-07-2024 13:41</t>
  </si>
  <si>
    <t>res-OPAHBCNW</t>
  </si>
  <si>
    <t>22-07-2024 18:55</t>
  </si>
  <si>
    <t>24-07-2024 02:17</t>
  </si>
  <si>
    <t>res-9BXRHYAB</t>
  </si>
  <si>
    <t>22-07-2024 00:53</t>
  </si>
  <si>
    <t>23-07-2024 18:10</t>
  </si>
  <si>
    <t>res-IFIVJIKO</t>
  </si>
  <si>
    <t>25-08-2024 02:29</t>
  </si>
  <si>
    <t>27-08-2024 13:25</t>
  </si>
  <si>
    <t>res-N63N1THH</t>
  </si>
  <si>
    <t>18-08-2024 06:44</t>
  </si>
  <si>
    <t>20-08-2024 09:01</t>
  </si>
  <si>
    <t>res-YBFM0HGL</t>
  </si>
  <si>
    <t>13-07-2024 14:31</t>
  </si>
  <si>
    <t>res-0IP8J7AC</t>
  </si>
  <si>
    <t>res-W2V0JO7D</t>
  </si>
  <si>
    <t>23-08-2024 03:50</t>
  </si>
  <si>
    <t>28-08-2024 15:22</t>
  </si>
  <si>
    <t>res-GGDLBTZY</t>
  </si>
  <si>
    <t>22-08-2024 06:22</t>
  </si>
  <si>
    <t>24-08-2024 04:28</t>
  </si>
  <si>
    <t>res-P764A8A1</t>
  </si>
  <si>
    <t>18-08-2024 11:04</t>
  </si>
  <si>
    <t>19-08-2024 23:33</t>
  </si>
  <si>
    <t>res-M3J3HSIX</t>
  </si>
  <si>
    <t>19-08-2024 15:52</t>
  </si>
  <si>
    <t>24-08-2024 14:17</t>
  </si>
  <si>
    <t>res-0HQNQVI5</t>
  </si>
  <si>
    <t>16-08-2024 16:53</t>
  </si>
  <si>
    <t>19-08-2024 23:57</t>
  </si>
  <si>
    <t>res-35L3HOZL</t>
  </si>
  <si>
    <t>res-AUEOBCLI</t>
  </si>
  <si>
    <t>15-08-2024 23:34</t>
  </si>
  <si>
    <t>20-08-2024 10:08</t>
  </si>
  <si>
    <t>res-P7E29M8B</t>
  </si>
  <si>
    <t>res-ZCUUTLGI</t>
  </si>
  <si>
    <t>24-07-2024 17:18</t>
  </si>
  <si>
    <t>26-07-2024 17:56</t>
  </si>
  <si>
    <t>res-QL123BDS</t>
  </si>
  <si>
    <t>24-07-2024 15:38</t>
  </si>
  <si>
    <t>30-07-2024 03:18</t>
  </si>
  <si>
    <t>res-L6L55VM8</t>
  </si>
  <si>
    <t>23-08-2024 15:01</t>
  </si>
  <si>
    <t>24-08-2024 23:50</t>
  </si>
  <si>
    <t>res-2PQ8JLFF</t>
  </si>
  <si>
    <t>20-08-2024 13:50</t>
  </si>
  <si>
    <t>23-08-2024 13:12</t>
  </si>
  <si>
    <t>res-XUQR0FEN</t>
  </si>
  <si>
    <t>27-08-2024 06:09</t>
  </si>
  <si>
    <t>res-0XF3LPGM</t>
  </si>
  <si>
    <t>16-07-2024 10:06</t>
  </si>
  <si>
    <t>res-K77K7HI1</t>
  </si>
  <si>
    <t>19-07-2024 07:12</t>
  </si>
  <si>
    <t>24-07-2024 11:02</t>
  </si>
  <si>
    <t>res-B6UNMR1R</t>
  </si>
  <si>
    <t>13-07-2024 09:15</t>
  </si>
  <si>
    <t>17-07-2024 18:48</t>
  </si>
  <si>
    <t>res-XCONMZ4R</t>
  </si>
  <si>
    <t>res-F5EMGMM8</t>
  </si>
  <si>
    <t>res-O3VMKAIQ</t>
  </si>
  <si>
    <t>18-08-2024 08:36</t>
  </si>
  <si>
    <t>22-08-2024 10:09</t>
  </si>
  <si>
    <t>res-WNBNYM8O</t>
  </si>
  <si>
    <t>26-07-2024 09:17</t>
  </si>
  <si>
    <t>30-07-2024 22:04</t>
  </si>
  <si>
    <t>res-LOBNLX91</t>
  </si>
  <si>
    <t>20-07-2024 21:13</t>
  </si>
  <si>
    <t>22-07-2024 05:34</t>
  </si>
  <si>
    <t>res-04X4P614</t>
  </si>
  <si>
    <t>13-08-2024 08:26</t>
  </si>
  <si>
    <t>res-09NGMZMO</t>
  </si>
  <si>
    <t>22-07-2024 02:00</t>
  </si>
  <si>
    <t>24-07-2024 03:49</t>
  </si>
  <si>
    <t>res-HPZG31IQ</t>
  </si>
  <si>
    <t>res-6KO0D3WF</t>
  </si>
  <si>
    <t>25-08-2024 16:14</t>
  </si>
  <si>
    <t>27-08-2024 12:23</t>
  </si>
  <si>
    <t>res-BIUTYIMI</t>
  </si>
  <si>
    <t>25-07-2024 14:39</t>
  </si>
  <si>
    <t>28-07-2024 10:57</t>
  </si>
  <si>
    <t>res-D1HIUXNT</t>
  </si>
  <si>
    <t>21-08-2024 15:30</t>
  </si>
  <si>
    <t>26-08-2024 20:19</t>
  </si>
  <si>
    <t>res-AFB773PU</t>
  </si>
  <si>
    <t>17-07-2024 16:42</t>
  </si>
  <si>
    <t>20-07-2024 17:50</t>
  </si>
  <si>
    <t>res-4N1DTK2I</t>
  </si>
  <si>
    <t>14-07-2024 13:09</t>
  </si>
  <si>
    <t>res-SFJXVKKV</t>
  </si>
  <si>
    <t>17-07-2024 00:37</t>
  </si>
  <si>
    <t>21-07-2024 08:41</t>
  </si>
  <si>
    <t>res-OYTZUKIA</t>
  </si>
  <si>
    <t>18-07-2024 19:27</t>
  </si>
  <si>
    <t>19-07-2024 23:46</t>
  </si>
  <si>
    <t>res-WLX7A2R1</t>
  </si>
  <si>
    <t>21-08-2024 04:55</t>
  </si>
  <si>
    <t>25-08-2024 17:27</t>
  </si>
  <si>
    <t>res-HX66EBRY</t>
  </si>
  <si>
    <t>14-07-2024 23:19</t>
  </si>
  <si>
    <t>res-7UGY460K</t>
  </si>
  <si>
    <t>14-08-2024 22:35</t>
  </si>
  <si>
    <t>19-08-2024 16:28</t>
  </si>
  <si>
    <t>res-13MDNGII</t>
  </si>
  <si>
    <t>res-ASCHOJSB</t>
  </si>
  <si>
    <t>28-07-2024 23:43</t>
  </si>
  <si>
    <t>res-M3ZBKI2V</t>
  </si>
  <si>
    <t>res-ZVJ578GN</t>
  </si>
  <si>
    <t>13-08-2024 15:43</t>
  </si>
  <si>
    <t>18-08-2024 15:45</t>
  </si>
  <si>
    <t>res-6EVRQG86</t>
  </si>
  <si>
    <t>19-07-2024 16:57</t>
  </si>
  <si>
    <t>24-07-2024 00:15</t>
  </si>
  <si>
    <t>res-XE6UW387</t>
  </si>
  <si>
    <t>13-07-2024 10:33</t>
  </si>
  <si>
    <t>res-6OMQ4VML</t>
  </si>
  <si>
    <t>res-W2W76LHZ</t>
  </si>
  <si>
    <t>21-07-2024 02:58</t>
  </si>
  <si>
    <t>22-07-2024 07:00</t>
  </si>
  <si>
    <t>res-XKCDKTD2</t>
  </si>
  <si>
    <t>res-JIXXZX0J</t>
  </si>
  <si>
    <t>31-07-2024 01:28</t>
  </si>
  <si>
    <t>res-JS3UWAGV</t>
  </si>
  <si>
    <t>29-07-2024 16:25</t>
  </si>
  <si>
    <t>res-ZA5L8Z41</t>
  </si>
  <si>
    <t>26-08-2024 18:02</t>
  </si>
  <si>
    <t>30-08-2024 05:36</t>
  </si>
  <si>
    <t>res-V7ARIHDE</t>
  </si>
  <si>
    <t>res-J6ZAWPRX</t>
  </si>
  <si>
    <t>res-83N992IF</t>
  </si>
  <si>
    <t>23-07-2024 12:41</t>
  </si>
  <si>
    <t>28-07-2024 05:06</t>
  </si>
  <si>
    <t>res-WK1ERI38</t>
  </si>
  <si>
    <t>res-6KHDCRDB</t>
  </si>
  <si>
    <t>res-EM2XFZ8L</t>
  </si>
  <si>
    <t>res-G09747ZS</t>
  </si>
  <si>
    <t>30-07-2024 11:14</t>
  </si>
  <si>
    <t>res-6BOEVI0R</t>
  </si>
  <si>
    <t>res-NXRJ4YNL</t>
  </si>
  <si>
    <t>res-GZEVM27G</t>
  </si>
  <si>
    <t>16-08-2024 19:28</t>
  </si>
  <si>
    <t>res-9N3H6DQ3</t>
  </si>
  <si>
    <t>14-08-2024 18:16</t>
  </si>
  <si>
    <t>res-VTF7HJFJ</t>
  </si>
  <si>
    <t>res-MT5KX17K</t>
  </si>
  <si>
    <t>14-08-2024 03:46</t>
  </si>
  <si>
    <t>res-MUK4Z2BS</t>
  </si>
  <si>
    <t>14-08-2024 12:05</t>
  </si>
  <si>
    <t>res-ZKMC08Q6</t>
  </si>
  <si>
    <t>res-JVK1HOLG</t>
  </si>
  <si>
    <t>23-08-2024 22:28</t>
  </si>
  <si>
    <t>28-08-2024 12:21</t>
  </si>
  <si>
    <t>res-IFBHPEQV</t>
  </si>
  <si>
    <t>14-08-2024 18:08</t>
  </si>
  <si>
    <t>17-08-2024 00:57</t>
  </si>
  <si>
    <t>res-H40WACZG</t>
  </si>
  <si>
    <t>23-07-2024 08:53</t>
  </si>
  <si>
    <t>28-07-2024 21:36</t>
  </si>
  <si>
    <t>res-1WUR8G93</t>
  </si>
  <si>
    <t>22-08-2024 07:16</t>
  </si>
  <si>
    <t>24-08-2024 04:52</t>
  </si>
  <si>
    <t>res-TZCL1KUV</t>
  </si>
  <si>
    <t>res-C7QGGDW5</t>
  </si>
  <si>
    <t>res-73GWCHWA</t>
  </si>
  <si>
    <t>res-EO8OTO8A</t>
  </si>
  <si>
    <t>res-73ZAL0VC</t>
  </si>
  <si>
    <t>res-YLWPCS4J</t>
  </si>
  <si>
    <t>19-08-2024 22:11</t>
  </si>
  <si>
    <t>25-08-2024 21:08</t>
  </si>
  <si>
    <t>res-P1D6Y54C</t>
  </si>
  <si>
    <t>21-07-2024 14:13</t>
  </si>
  <si>
    <t>23-07-2024 12:11</t>
  </si>
  <si>
    <t>res-P7GN3K3R</t>
  </si>
  <si>
    <t>res-MZB1S515</t>
  </si>
  <si>
    <t>res-1T4FT6CF</t>
  </si>
  <si>
    <t>20-07-2024 06:02</t>
  </si>
  <si>
    <t>25-07-2024 15:00</t>
  </si>
  <si>
    <t>res-90LFZLNG</t>
  </si>
  <si>
    <t>18-08-2024 13:41</t>
  </si>
  <si>
    <t>22-08-2024 15:55</t>
  </si>
  <si>
    <t>res-8N8FWB7N</t>
  </si>
  <si>
    <t>29-07-2024 02:55</t>
  </si>
  <si>
    <t>31-07-2024 20:45</t>
  </si>
  <si>
    <t>res-EN9HYT2Z</t>
  </si>
  <si>
    <t>25-08-2024 07:47</t>
  </si>
  <si>
    <t>28-08-2024 19:51</t>
  </si>
  <si>
    <t>res-5L671N5R</t>
  </si>
  <si>
    <t>13-07-2024 12:29</t>
  </si>
  <si>
    <t>res-1M0Q8CHS</t>
  </si>
  <si>
    <t>res-J6HX9Q39</t>
  </si>
  <si>
    <t>22-08-2024 11:36</t>
  </si>
  <si>
    <t>28-08-2024 00:17</t>
  </si>
  <si>
    <t>res-WXMB7NAK</t>
  </si>
  <si>
    <t>15-07-2024 18:12</t>
  </si>
  <si>
    <t>21-07-2024 17:58</t>
  </si>
  <si>
    <t>res-170DHBTE</t>
  </si>
  <si>
    <t>14-08-2024 14:57</t>
  </si>
  <si>
    <t>res-Z5B8KSYG</t>
  </si>
  <si>
    <t>14-07-2024 02:00</t>
  </si>
  <si>
    <t>res-29Q20CVB</t>
  </si>
  <si>
    <t>31-07-2024 00:50</t>
  </si>
  <si>
    <t>res-GXCYBT0U</t>
  </si>
  <si>
    <t>res-UGRRL92J</t>
  </si>
  <si>
    <t>27-08-2024 04:04</t>
  </si>
  <si>
    <t>res-OT3AHW3P</t>
  </si>
  <si>
    <t>16-08-2024 07:20</t>
  </si>
  <si>
    <t>res-302U0L3S</t>
  </si>
  <si>
    <t>27-07-2024 07:38</t>
  </si>
  <si>
    <t>res-34QKC3L8</t>
  </si>
  <si>
    <t>23-07-2024 17:08</t>
  </si>
  <si>
    <t>25-07-2024 06:36</t>
  </si>
  <si>
    <t>res-7KU20OYT</t>
  </si>
  <si>
    <t>res-53MWIOTB</t>
  </si>
  <si>
    <t>19-08-2024 14:05</t>
  </si>
  <si>
    <t>25-08-2024 12:57</t>
  </si>
  <si>
    <t>res-EYHDF3I5</t>
  </si>
  <si>
    <t>28-08-2024 18:22</t>
  </si>
  <si>
    <t>res-DTA164QF</t>
  </si>
  <si>
    <t>20-08-2024 02:10</t>
  </si>
  <si>
    <t>22-08-2024 09:51</t>
  </si>
  <si>
    <t>res-WBZ9MQQ6</t>
  </si>
  <si>
    <t>18-07-2024 05:47</t>
  </si>
  <si>
    <t>21-07-2024 19:18</t>
  </si>
  <si>
    <t>res-736606E0</t>
  </si>
  <si>
    <t>16-07-2024 09:36</t>
  </si>
  <si>
    <t>21-07-2024 18:02</t>
  </si>
  <si>
    <t>res-3SESG8V7</t>
  </si>
  <si>
    <t>res-DFQJABAV</t>
  </si>
  <si>
    <t>25-08-2024 05:34</t>
  </si>
  <si>
    <t>29-08-2024 08:49</t>
  </si>
  <si>
    <t>res-IP58UFOC</t>
  </si>
  <si>
    <t>res-DXFGDOXR</t>
  </si>
  <si>
    <t>res-B5CBCS7N</t>
  </si>
  <si>
    <t>res-89970DYQ</t>
  </si>
  <si>
    <t>26-07-2024 11:26</t>
  </si>
  <si>
    <t>31-07-2024 06:20</t>
  </si>
  <si>
    <t>res-2AKD3D5G</t>
  </si>
  <si>
    <t>res-283P4R0H</t>
  </si>
  <si>
    <t>res-4DJD3851</t>
  </si>
  <si>
    <t>19-07-2024 04:11</t>
  </si>
  <si>
    <t>22-07-2024 01:31</t>
  </si>
  <si>
    <t>res-M9M70ZPZ</t>
  </si>
  <si>
    <t>res-4NROFVST</t>
  </si>
  <si>
    <t>28-07-2024 01:37</t>
  </si>
  <si>
    <t>30-07-2024 00:01</t>
  </si>
  <si>
    <t>res-7HJ4T115</t>
  </si>
  <si>
    <t>15-07-2024 13:40</t>
  </si>
  <si>
    <t>20-07-2024 10:35</t>
  </si>
  <si>
    <t>res-3LCAI3LD</t>
  </si>
  <si>
    <t>res-WCPBCXOU</t>
  </si>
  <si>
    <t>24-07-2024 22:24</t>
  </si>
  <si>
    <t>30-07-2024 00:43</t>
  </si>
  <si>
    <t>res-6J904SEE</t>
  </si>
  <si>
    <t>28-07-2024 19:49</t>
  </si>
  <si>
    <t>res-C7XKMCFZ</t>
  </si>
  <si>
    <t>res-4B0XP5WC</t>
  </si>
  <si>
    <t>15-07-2024 19:47</t>
  </si>
  <si>
    <t>20-07-2024 14:02</t>
  </si>
  <si>
    <t>res-UDEMX028</t>
  </si>
  <si>
    <t>15-07-2024 10:53</t>
  </si>
  <si>
    <t>20-07-2024 13:54</t>
  </si>
  <si>
    <t>res-91ZZKPJI</t>
  </si>
  <si>
    <t>23-08-2024 01:59</t>
  </si>
  <si>
    <t>24-08-2024 04:49</t>
  </si>
  <si>
    <t>res-JVDFHO7N</t>
  </si>
  <si>
    <t>28-07-2024 16:33</t>
  </si>
  <si>
    <t>res-0218J7D8</t>
  </si>
  <si>
    <t>24-08-2024 06:48</t>
  </si>
  <si>
    <t>26-08-2024 03:07</t>
  </si>
  <si>
    <t>res-JTYGDNH2</t>
  </si>
  <si>
    <t>16-08-2024 15:12</t>
  </si>
  <si>
    <t>res-Y7Q58WZT</t>
  </si>
  <si>
    <t>27-08-2024 18:59</t>
  </si>
  <si>
    <t>31-08-2024 08:26</t>
  </si>
  <si>
    <t>res-3UMQCQ7L</t>
  </si>
  <si>
    <t>res-18VH12GB</t>
  </si>
  <si>
    <t>28-08-2024 16:15</t>
  </si>
  <si>
    <t>res-JN0AHW8I</t>
  </si>
  <si>
    <t>16-08-2024 16:21</t>
  </si>
  <si>
    <t>res-Q146W4NW</t>
  </si>
  <si>
    <t>25-08-2024 14:18</t>
  </si>
  <si>
    <t>28-08-2024 23:44</t>
  </si>
  <si>
    <t>res-RY520DKS</t>
  </si>
  <si>
    <t>res-FIFHP5ZQ</t>
  </si>
  <si>
    <t>res-VIBAAJU5</t>
  </si>
  <si>
    <t>18-07-2024 12:15</t>
  </si>
  <si>
    <t>20-07-2024 10:47</t>
  </si>
  <si>
    <t>res-1YDLUFQT</t>
  </si>
  <si>
    <t>16-07-2024 11:47</t>
  </si>
  <si>
    <t>17-07-2024 22:49</t>
  </si>
  <si>
    <t>res-4SLUER38</t>
  </si>
  <si>
    <t>19-07-2024 08:33</t>
  </si>
  <si>
    <t>20-07-2024 11:17</t>
  </si>
  <si>
    <t>res-QF6RILJO</t>
  </si>
  <si>
    <t>13-07-2024 11:37</t>
  </si>
  <si>
    <t>res-DMFUA1DF</t>
  </si>
  <si>
    <t>28-07-2024 02:53</t>
  </si>
  <si>
    <t>29-07-2024 11:48</t>
  </si>
  <si>
    <t>res-F1XQDNVO</t>
  </si>
  <si>
    <t>22-07-2024 22:20</t>
  </si>
  <si>
    <t>27-07-2024 10:10</t>
  </si>
  <si>
    <t>res-MOZFAE74</t>
  </si>
  <si>
    <t>res-GVFZ0SMQ</t>
  </si>
  <si>
    <t>15-08-2024 10:02</t>
  </si>
  <si>
    <t>19-08-2024 02:09</t>
  </si>
  <si>
    <t>res-26V8MDKP</t>
  </si>
  <si>
    <t>15-08-2024 04:16</t>
  </si>
  <si>
    <t>res-ZGMEQDGM</t>
  </si>
  <si>
    <t>20-08-2024 14:25</t>
  </si>
  <si>
    <t>24-08-2024 23:00</t>
  </si>
  <si>
    <t>res-G897SS0M</t>
  </si>
  <si>
    <t>res-SLNI45BI</t>
  </si>
  <si>
    <t>res-K1E7YCCI</t>
  </si>
  <si>
    <t>13-07-2024 11:34</t>
  </si>
  <si>
    <t>14-07-2024 13:50</t>
  </si>
  <si>
    <t>res-PYSNFSN2</t>
  </si>
  <si>
    <t>14-07-2024 10:25</t>
  </si>
  <si>
    <t>res-VIN5D25W</t>
  </si>
  <si>
    <t>19-07-2024 06:26</t>
  </si>
  <si>
    <t>22-07-2024 06:14</t>
  </si>
  <si>
    <t>res-7XJ95SED</t>
  </si>
  <si>
    <t>27-08-2024 03:17</t>
  </si>
  <si>
    <t>31-08-2024 11:23</t>
  </si>
  <si>
    <t>res-86BKSPWE</t>
  </si>
  <si>
    <t>13-07-2024 17:38</t>
  </si>
  <si>
    <t>17-07-2024 21:10</t>
  </si>
  <si>
    <t>res-9QO2FLXN</t>
  </si>
  <si>
    <t>res-RTW0L80S</t>
  </si>
  <si>
    <t>29-07-2024 17:53</t>
  </si>
  <si>
    <t>31-07-2024 16:07</t>
  </si>
  <si>
    <t>res-W3LTP3WP</t>
  </si>
  <si>
    <t>16-08-2024 11:35</t>
  </si>
  <si>
    <t>19-08-2024 09:09</t>
  </si>
  <si>
    <t>res-YQQ8HHB8</t>
  </si>
  <si>
    <t>29-08-2024 08:51</t>
  </si>
  <si>
    <t>res-IZW2W4XT</t>
  </si>
  <si>
    <t>res-3F8DKCVT</t>
  </si>
  <si>
    <t>res-1LJV1O1D</t>
  </si>
  <si>
    <t>22-07-2024 09:04</t>
  </si>
  <si>
    <t>24-07-2024 22:39</t>
  </si>
  <si>
    <t>res-2UBLDDOC</t>
  </si>
  <si>
    <t>res-IKZR0V6S</t>
  </si>
  <si>
    <t>14-08-2024 22:22</t>
  </si>
  <si>
    <t>res-0GZ8OVBM</t>
  </si>
  <si>
    <t>23-08-2024 14:55</t>
  </si>
  <si>
    <t>29-08-2024 02:59</t>
  </si>
  <si>
    <t>res-JIIFFF2O</t>
  </si>
  <si>
    <t>16-08-2024 03:41</t>
  </si>
  <si>
    <t>17-08-2024 11:25</t>
  </si>
  <si>
    <t>res-1C1MLL0U</t>
  </si>
  <si>
    <t>res-MF4NDR22</t>
  </si>
  <si>
    <t>23-08-2024 13:11</t>
  </si>
  <si>
    <t>27-08-2024 13:53</t>
  </si>
  <si>
    <t>res-4ZQSMUOB</t>
  </si>
  <si>
    <t>res-100J1BTT</t>
  </si>
  <si>
    <t>res-RJ0E47ZX</t>
  </si>
  <si>
    <t>res-YXBRWF8R</t>
  </si>
  <si>
    <t>res-ATPOHCEH</t>
  </si>
  <si>
    <t>27-08-2024 12:37</t>
  </si>
  <si>
    <t>31-08-2024 18:56</t>
  </si>
  <si>
    <t>res-XVWM45WT</t>
  </si>
  <si>
    <t>16-08-2024 15:03</t>
  </si>
  <si>
    <t>res-4ZQ18WTF</t>
  </si>
  <si>
    <t>13-07-2024 21:38</t>
  </si>
  <si>
    <t>15-07-2024 15:34</t>
  </si>
  <si>
    <t>res-S5U6W344</t>
  </si>
  <si>
    <t>21-08-2024 12:48</t>
  </si>
  <si>
    <t>24-08-2024 01:35</t>
  </si>
  <si>
    <t>res-VA3KJDZY</t>
  </si>
  <si>
    <t>res-Z35RBDV4</t>
  </si>
  <si>
    <t>res-3VGZRWN0</t>
  </si>
  <si>
    <t>18-07-2024 10:52</t>
  </si>
  <si>
    <t>22-07-2024 02:36</t>
  </si>
  <si>
    <t>res-MRQ0A8DI</t>
  </si>
  <si>
    <t>19-07-2024 17:23</t>
  </si>
  <si>
    <t>22-07-2024 03:14</t>
  </si>
  <si>
    <t>res-DXKGGUD7</t>
  </si>
  <si>
    <t>res-F6974M69</t>
  </si>
  <si>
    <t>res-6NNXDHTY</t>
  </si>
  <si>
    <t>26-07-2024 02:26</t>
  </si>
  <si>
    <t>27-07-2024 12:22</t>
  </si>
  <si>
    <t>res-RUL6UJ2I</t>
  </si>
  <si>
    <t>15-08-2024 11:22</t>
  </si>
  <si>
    <t>19-08-2024 02:38</t>
  </si>
  <si>
    <t>res-7FJ5OXXK</t>
  </si>
  <si>
    <t>21-07-2024 05:42</t>
  </si>
  <si>
    <t>24-07-2024 02:13</t>
  </si>
  <si>
    <t>res-5LLLKIJS</t>
  </si>
  <si>
    <t>res-ZUP1NWYK</t>
  </si>
  <si>
    <t>13-08-2024 18:35</t>
  </si>
  <si>
    <t>16-08-2024 17:34</t>
  </si>
  <si>
    <t>res-Z3DIR5XZ</t>
  </si>
  <si>
    <t>28-07-2024 10:05</t>
  </si>
  <si>
    <t>31-07-2024 02:45</t>
  </si>
  <si>
    <t>res-G35CH69Y</t>
  </si>
  <si>
    <t>res-UIJBQHY2</t>
  </si>
  <si>
    <t>14-08-2024 14:08</t>
  </si>
  <si>
    <t>16-08-2024 04:03</t>
  </si>
  <si>
    <t>res-BGUFYUQ7</t>
  </si>
  <si>
    <t>23-08-2024 04:39</t>
  </si>
  <si>
    <t>26-08-2024 08:27</t>
  </si>
  <si>
    <t>res-YVDZ7Y3W</t>
  </si>
  <si>
    <t>31-07-2024 13:44</t>
  </si>
  <si>
    <t>res-7WRJI2RL</t>
  </si>
  <si>
    <t>21-08-2024 18:17</t>
  </si>
  <si>
    <t>27-08-2024 09:11</t>
  </si>
  <si>
    <t>res-MHVWXAQE</t>
  </si>
  <si>
    <t>25-07-2024 05:58</t>
  </si>
  <si>
    <t>31-07-2024 03:13</t>
  </si>
  <si>
    <t>res-6SG95JJU</t>
  </si>
  <si>
    <t>res-4PF8L5PT</t>
  </si>
  <si>
    <t>18-08-2024 06:16</t>
  </si>
  <si>
    <t>20-08-2024 03:17</t>
  </si>
  <si>
    <t>res-0GMDP20S</t>
  </si>
  <si>
    <t>27-08-2024 23:02</t>
  </si>
  <si>
    <t>28-08-2024 23:18</t>
  </si>
  <si>
    <t>res-URVB26BJ</t>
  </si>
  <si>
    <t>19-07-2024 13:10</t>
  </si>
  <si>
    <t>24-07-2024 20:17</t>
  </si>
  <si>
    <t>res-9K7LR2E5</t>
  </si>
  <si>
    <t>23-08-2024 03:12</t>
  </si>
  <si>
    <t>27-08-2024 20:12</t>
  </si>
  <si>
    <t>res-EEVOKLZA</t>
  </si>
  <si>
    <t>16-08-2024 15:40</t>
  </si>
  <si>
    <t>20-08-2024 06:51</t>
  </si>
  <si>
    <t>res-P3JCTDOS</t>
  </si>
  <si>
    <t>res-EBCDGE0Z</t>
  </si>
  <si>
    <t>27-08-2024 05:00</t>
  </si>
  <si>
    <t>29-08-2024 20:25</t>
  </si>
  <si>
    <t>res-S8V5CKIR</t>
  </si>
  <si>
    <t>21-08-2024 08:38</t>
  </si>
  <si>
    <t>26-08-2024 08:18</t>
  </si>
  <si>
    <t>res-L9JQCL5H</t>
  </si>
  <si>
    <t>13-07-2024 03:56</t>
  </si>
  <si>
    <t>res-U8V4KCX7</t>
  </si>
  <si>
    <t>res-W85DRFX6</t>
  </si>
  <si>
    <t>14-08-2024 13:38</t>
  </si>
  <si>
    <t>15-08-2024 15:41</t>
  </si>
  <si>
    <t>res-G0M36ARR</t>
  </si>
  <si>
    <t>25-07-2024 04:58</t>
  </si>
  <si>
    <t>27-07-2024 00:02</t>
  </si>
  <si>
    <t>res-ZL3PAL15</t>
  </si>
  <si>
    <t>13-08-2024 03:15</t>
  </si>
  <si>
    <t>res-LQKRRLX7</t>
  </si>
  <si>
    <t>20-07-2024 12:51</t>
  </si>
  <si>
    <t>25-07-2024 23:19</t>
  </si>
  <si>
    <t>res-UATET0ZG</t>
  </si>
  <si>
    <t>res-H0FLX264</t>
  </si>
  <si>
    <t>14-07-2024 01:49</t>
  </si>
  <si>
    <t>res-6IVQ41GN</t>
  </si>
  <si>
    <t>22-07-2024 23:20</t>
  </si>
  <si>
    <t>27-07-2024 13:42</t>
  </si>
  <si>
    <t>res-3KCNHXTD</t>
  </si>
  <si>
    <t>17-07-2024 17:07</t>
  </si>
  <si>
    <t>20-07-2024 17:16</t>
  </si>
  <si>
    <t>res-K495NBU3</t>
  </si>
  <si>
    <t>26-08-2024 20:08</t>
  </si>
  <si>
    <t>31-08-2024 03:35</t>
  </si>
  <si>
    <t>res-OTHYLWH2</t>
  </si>
  <si>
    <t>25-07-2024 10:48</t>
  </si>
  <si>
    <t>28-07-2024 18:04</t>
  </si>
  <si>
    <t>res-6801EISE</t>
  </si>
  <si>
    <t>25-08-2024 06:33</t>
  </si>
  <si>
    <t>27-08-2024 16:25</t>
  </si>
  <si>
    <t>res-M9S9G8PA</t>
  </si>
  <si>
    <t>16-08-2024 20:52</t>
  </si>
  <si>
    <t>res-9R1D3HRY</t>
  </si>
  <si>
    <t>21-08-2024 13:49</t>
  </si>
  <si>
    <t>25-08-2024 07:05</t>
  </si>
  <si>
    <t>res-CRE9O9RH</t>
  </si>
  <si>
    <t>23-07-2024 22:41</t>
  </si>
  <si>
    <t>27-07-2024 15:34</t>
  </si>
  <si>
    <t>res-T0OGQ1VW</t>
  </si>
  <si>
    <t>15-08-2024 20:03</t>
  </si>
  <si>
    <t>21-08-2024 19:33</t>
  </si>
  <si>
    <t>res-U0XU6E1T</t>
  </si>
  <si>
    <t>res-IY6FLR1C</t>
  </si>
  <si>
    <t>20-08-2024 02:48</t>
  </si>
  <si>
    <t>23-08-2024 14:14</t>
  </si>
  <si>
    <t>res-FKAJATB6</t>
  </si>
  <si>
    <t>16-07-2024 07:36</t>
  </si>
  <si>
    <t>res-NWYU1CZI</t>
  </si>
  <si>
    <t>24-08-2024 13:56</t>
  </si>
  <si>
    <t>28-08-2024 16:45</t>
  </si>
  <si>
    <t>res-92H4UOES</t>
  </si>
  <si>
    <t>18-07-2024 05:25</t>
  </si>
  <si>
    <t>res-7MPLP0WF</t>
  </si>
  <si>
    <t>res-MJRPXFOX</t>
  </si>
  <si>
    <t>res-MD82YFPZ</t>
  </si>
  <si>
    <t>res-BTTU0WCG</t>
  </si>
  <si>
    <t>20-08-2024 21:27</t>
  </si>
  <si>
    <t>23-08-2024 02:47</t>
  </si>
  <si>
    <t>res-7LLUZT3G</t>
  </si>
  <si>
    <t>res-P8SSCHN9</t>
  </si>
  <si>
    <t>21-08-2024 23:46</t>
  </si>
  <si>
    <t>27-08-2024 00:45</t>
  </si>
  <si>
    <t>res-OPE31JB2</t>
  </si>
  <si>
    <t>res-D2NUI8OM</t>
  </si>
  <si>
    <t>res-FUUMP7RH</t>
  </si>
  <si>
    <t>29-08-2024 03:57</t>
  </si>
  <si>
    <t>res-2H6QN7WR</t>
  </si>
  <si>
    <t>24-07-2024 01:32</t>
  </si>
  <si>
    <t>26-07-2024 20:19</t>
  </si>
  <si>
    <t>res-C3AMONZ6</t>
  </si>
  <si>
    <t>23-07-2024 16:11</t>
  </si>
  <si>
    <t>25-07-2024 04:10</t>
  </si>
  <si>
    <t>res-A7Y0GW1C</t>
  </si>
  <si>
    <t>res-IU418MQO</t>
  </si>
  <si>
    <t>25-08-2024 11:45</t>
  </si>
  <si>
    <t>30-08-2024 01:17</t>
  </si>
  <si>
    <t>res-X1YXF17C</t>
  </si>
  <si>
    <t>15-07-2024 12:58</t>
  </si>
  <si>
    <t>res-ZZQL1YQ2</t>
  </si>
  <si>
    <t>res-WIQEH8YU</t>
  </si>
  <si>
    <t>15-07-2024 16:25</t>
  </si>
  <si>
    <t>21-07-2024 15:32</t>
  </si>
  <si>
    <t>res-OYKGBR4C</t>
  </si>
  <si>
    <t>26-08-2024 01:08</t>
  </si>
  <si>
    <t>28-08-2024 23:08</t>
  </si>
  <si>
    <t>res-8ZPK23NO</t>
  </si>
  <si>
    <t>14-08-2024 17:14</t>
  </si>
  <si>
    <t>res-UM51L7IM</t>
  </si>
  <si>
    <t>13-07-2024 04:08</t>
  </si>
  <si>
    <t>14-07-2024 07:54</t>
  </si>
  <si>
    <t>res-3E70ZYHQ</t>
  </si>
  <si>
    <t>25-07-2024 21:17</t>
  </si>
  <si>
    <t>29-07-2024 05:07</t>
  </si>
  <si>
    <t>res-6SP2IRJE</t>
  </si>
  <si>
    <t>14-08-2024 14:34</t>
  </si>
  <si>
    <t>16-08-2024 02:18</t>
  </si>
  <si>
    <t>res-GLWSU5H0</t>
  </si>
  <si>
    <t>21-07-2024 11:54</t>
  </si>
  <si>
    <t>26-07-2024 07:24</t>
  </si>
  <si>
    <t>res-RF559IVM</t>
  </si>
  <si>
    <t>res-ZRWDCB3G</t>
  </si>
  <si>
    <t>27-07-2024 14:31</t>
  </si>
  <si>
    <t>30-07-2024 03:46</t>
  </si>
  <si>
    <t>res-HD39T851</t>
  </si>
  <si>
    <t>15-08-2024 11:44</t>
  </si>
  <si>
    <t>res-5KDNGDZZ</t>
  </si>
  <si>
    <t>27-07-2024 19:26</t>
  </si>
  <si>
    <t>res-5RZ6TIFT</t>
  </si>
  <si>
    <t>res-4TBQH6B1</t>
  </si>
  <si>
    <t>14-08-2024 20:28</t>
  </si>
  <si>
    <t>res-RNNS13FP</t>
  </si>
  <si>
    <t>res-7GZ4LH6T</t>
  </si>
  <si>
    <t>28-08-2024 19:00</t>
  </si>
  <si>
    <t>res-UPQDPFWM</t>
  </si>
  <si>
    <t>17-07-2024 10:40</t>
  </si>
  <si>
    <t>18-07-2024 10:41</t>
  </si>
  <si>
    <t>res-65KB06P4</t>
  </si>
  <si>
    <t>res-PNEPCKHW</t>
  </si>
  <si>
    <t>res-UWUK1WBC</t>
  </si>
  <si>
    <t>res-LOIOQXNF</t>
  </si>
  <si>
    <t>19-08-2024 12:07</t>
  </si>
  <si>
    <t>25-08-2024 04:18</t>
  </si>
  <si>
    <t>res-RDEPCFLV</t>
  </si>
  <si>
    <t>res-6XJ1JNZ2</t>
  </si>
  <si>
    <t>29-07-2024 19:36</t>
  </si>
  <si>
    <t>res-LBZMB3VM</t>
  </si>
  <si>
    <t>res-O49NSWHT</t>
  </si>
  <si>
    <t>17-07-2024 04:03</t>
  </si>
  <si>
    <t>21-07-2024 09:30</t>
  </si>
  <si>
    <t>res-20FMK4XS</t>
  </si>
  <si>
    <t>22-07-2024 05:48</t>
  </si>
  <si>
    <t>26-07-2024 08:19</t>
  </si>
  <si>
    <t>res-17K5MA2I</t>
  </si>
  <si>
    <t>res-GDQLCMX8</t>
  </si>
  <si>
    <t>15-08-2024 05:38</t>
  </si>
  <si>
    <t>res-NKCZLRJU</t>
  </si>
  <si>
    <t>res-Q1HJ9CE1</t>
  </si>
  <si>
    <t>15-07-2024 07:34</t>
  </si>
  <si>
    <t>res-6LM9YMD7</t>
  </si>
  <si>
    <t>res-12TS2RYR</t>
  </si>
  <si>
    <t>res-O8PDL53S</t>
  </si>
  <si>
    <t>20-08-2024 14:01</t>
  </si>
  <si>
    <t>24-08-2024 14:09</t>
  </si>
  <si>
    <t>res-3KX732X1</t>
  </si>
  <si>
    <t>25-07-2024 16:18</t>
  </si>
  <si>
    <t>28-07-2024 00:17</t>
  </si>
  <si>
    <t>res-JVCW6WXY</t>
  </si>
  <si>
    <t>17-08-2024 10:09</t>
  </si>
  <si>
    <t>20-08-2024 20:51</t>
  </si>
  <si>
    <t>res-SXWYPIJP</t>
  </si>
  <si>
    <t>res-2QQ6HOHO</t>
  </si>
  <si>
    <t>res-PAFNOK2A</t>
  </si>
  <si>
    <t>14-07-2024 13:19</t>
  </si>
  <si>
    <t>15-07-2024 16:07</t>
  </si>
  <si>
    <t>res-D79LIUCM</t>
  </si>
  <si>
    <t>14-07-2024 06:12</t>
  </si>
  <si>
    <t>res-O7TJPBX0</t>
  </si>
  <si>
    <t>21-07-2024 05:57</t>
  </si>
  <si>
    <t>23-07-2024 17:52</t>
  </si>
  <si>
    <t>res-WGSVDFWN</t>
  </si>
  <si>
    <t>20-07-2024 14:08</t>
  </si>
  <si>
    <t>21-07-2024 15:14</t>
  </si>
  <si>
    <t>res-4DO2MP7J</t>
  </si>
  <si>
    <t>13-07-2024 13:32</t>
  </si>
  <si>
    <t>15-07-2024 19:56</t>
  </si>
  <si>
    <t>res-E1TEQ68A</t>
  </si>
  <si>
    <t>30-06-2024 21:27</t>
  </si>
  <si>
    <t>res-9EXDL0LJ</t>
  </si>
  <si>
    <t>14-08-2024 00:49</t>
  </si>
  <si>
    <t>res-9I0KF8ZE</t>
  </si>
  <si>
    <t>27-08-2024 00:40</t>
  </si>
  <si>
    <t>res-1P8GV0VG</t>
  </si>
  <si>
    <t>24-07-2024 15:06</t>
  </si>
  <si>
    <t>26-07-2024 02:35</t>
  </si>
  <si>
    <t>res-C6M2YMQC</t>
  </si>
  <si>
    <t>25-08-2024 03:48</t>
  </si>
  <si>
    <t>27-08-2024 04:10</t>
  </si>
  <si>
    <t>res-Y540QPHT</t>
  </si>
  <si>
    <t>21-07-2024 02:48</t>
  </si>
  <si>
    <t>22-07-2024 16:44</t>
  </si>
  <si>
    <t>res-74241U61</t>
  </si>
  <si>
    <t>16-07-2024 06:46</t>
  </si>
  <si>
    <t>20-07-2024 10:43</t>
  </si>
  <si>
    <t>res-6F43M9Y6</t>
  </si>
  <si>
    <t>16-08-2024 12:47</t>
  </si>
  <si>
    <t>19-08-2024 23:20</t>
  </si>
  <si>
    <t>res-VWM05I69</t>
  </si>
  <si>
    <t>22-08-2024 22:04</t>
  </si>
  <si>
    <t>24-08-2024 11:22</t>
  </si>
  <si>
    <t>res-G5VJ1M4Z</t>
  </si>
  <si>
    <t>22-08-2024 13:37</t>
  </si>
  <si>
    <t>26-08-2024 10:18</t>
  </si>
  <si>
    <t>res-HS2X631B</t>
  </si>
  <si>
    <t>21-08-2024 14:27</t>
  </si>
  <si>
    <t>27-08-2024 06:06</t>
  </si>
  <si>
    <t>res-LYGNJ32Z</t>
  </si>
  <si>
    <t>18-08-2024 21:39</t>
  </si>
  <si>
    <t>23-08-2024 15:37</t>
  </si>
  <si>
    <t>res-Z56ZPSDU</t>
  </si>
  <si>
    <t>res-C6R5KLBL</t>
  </si>
  <si>
    <t>16-07-2024 19:22</t>
  </si>
  <si>
    <t>22-07-2024 02:40</t>
  </si>
  <si>
    <t>res-5GDKWNDY</t>
  </si>
  <si>
    <t>28-07-2024 06:36</t>
  </si>
  <si>
    <t>29-07-2024 20:56</t>
  </si>
  <si>
    <t>res-T3Y6SA4H</t>
  </si>
  <si>
    <t>26-08-2024 17:36</t>
  </si>
  <si>
    <t>res-1HP4FD4P</t>
  </si>
  <si>
    <t>13-07-2024 04:51</t>
  </si>
  <si>
    <t>14-07-2024 12:33</t>
  </si>
  <si>
    <t>res-GZ7OSG7F</t>
  </si>
  <si>
    <t>res-JVCSJXZW</t>
  </si>
  <si>
    <t>14-07-2024 08:27</t>
  </si>
  <si>
    <t>res-3KHNOERC</t>
  </si>
  <si>
    <t>res-82O1CU5O</t>
  </si>
  <si>
    <t>26-08-2024 12:25</t>
  </si>
  <si>
    <t>28-08-2024 11:03</t>
  </si>
  <si>
    <t>res-FKBX47G9</t>
  </si>
  <si>
    <t>res-VN7DLO1M</t>
  </si>
  <si>
    <t>res-DN37URKZ</t>
  </si>
  <si>
    <t>15-08-2024 15:40</t>
  </si>
  <si>
    <t>20-08-2024 18:08</t>
  </si>
  <si>
    <t>res-4E62CARB</t>
  </si>
  <si>
    <t>24-07-2024 04:01</t>
  </si>
  <si>
    <t>25-07-2024 20:19</t>
  </si>
  <si>
    <t>res-5GP5VC4H</t>
  </si>
  <si>
    <t>24-07-2024 21:27</t>
  </si>
  <si>
    <t>27-07-2024 04:38</t>
  </si>
  <si>
    <t>res-NSTICBTG</t>
  </si>
  <si>
    <t>25-07-2024 08:44</t>
  </si>
  <si>
    <t>29-07-2024 02:41</t>
  </si>
  <si>
    <t>res-0WGR132X</t>
  </si>
  <si>
    <t>24-08-2024 11:01</t>
  </si>
  <si>
    <t>29-08-2024 09:16</t>
  </si>
  <si>
    <t>res-1ET43TWO</t>
  </si>
  <si>
    <t>15-07-2024 16:29</t>
  </si>
  <si>
    <t>21-07-2024 14:50</t>
  </si>
  <si>
    <t>res-J3K0S8WA</t>
  </si>
  <si>
    <t>13-08-2024 20:09</t>
  </si>
  <si>
    <t>16-08-2024 02:50</t>
  </si>
  <si>
    <t>res-ZNB547LC</t>
  </si>
  <si>
    <t>res-TJ8PJWH3</t>
  </si>
  <si>
    <t>14-07-2024 04:33</t>
  </si>
  <si>
    <t>res-X8Z2TTPB</t>
  </si>
  <si>
    <t>23-07-2024 08:25</t>
  </si>
  <si>
    <t>26-07-2024 00:26</t>
  </si>
  <si>
    <t>res-ID3TQL0D</t>
  </si>
  <si>
    <t>res-VQUTFC77</t>
  </si>
  <si>
    <t>27-08-2024 17:51</t>
  </si>
  <si>
    <t>30-08-2024 14:25</t>
  </si>
  <si>
    <t>res-3KUVBA4U</t>
  </si>
  <si>
    <t>18-08-2024 12:20</t>
  </si>
  <si>
    <t>24-08-2024 11:47</t>
  </si>
  <si>
    <t>res-8TQHCUBR</t>
  </si>
  <si>
    <t>24-08-2024 08:55</t>
  </si>
  <si>
    <t>27-08-2024 21:14</t>
  </si>
  <si>
    <t>res-G1UKX19E</t>
  </si>
  <si>
    <t>19-07-2024 11:22</t>
  </si>
  <si>
    <t>22-07-2024 06:10</t>
  </si>
  <si>
    <t>res-5Z4G3E2Q</t>
  </si>
  <si>
    <t>25-07-2024 06:42</t>
  </si>
  <si>
    <t>29-07-2024 03:58</t>
  </si>
  <si>
    <t>res-389SKH1S</t>
  </si>
  <si>
    <t>15-07-2024 07:25</t>
  </si>
  <si>
    <t>17-07-2024 15:21</t>
  </si>
  <si>
    <t>res-PMFSLBBH</t>
  </si>
  <si>
    <t>res-PUPHN3NU</t>
  </si>
  <si>
    <t>20-08-2024 00:05</t>
  </si>
  <si>
    <t>23-08-2024 18:16</t>
  </si>
  <si>
    <t>res-EYL1TUPP</t>
  </si>
  <si>
    <t>29-07-2024 16:17</t>
  </si>
  <si>
    <t>res-J19CN3NN</t>
  </si>
  <si>
    <t>res-YJD6C3D4</t>
  </si>
  <si>
    <t>14-08-2024 18:01</t>
  </si>
  <si>
    <t>res-CUF8T9GJ</t>
  </si>
  <si>
    <t>res-ZYJ0EG74</t>
  </si>
  <si>
    <t>29-07-2024 08:23</t>
  </si>
  <si>
    <t>res-OGSC78DB</t>
  </si>
  <si>
    <t>res-VE7R48S7</t>
  </si>
  <si>
    <t>23-08-2024 05:56</t>
  </si>
  <si>
    <t>27-08-2024 16:32</t>
  </si>
  <si>
    <t>res-LOLZV3LI</t>
  </si>
  <si>
    <t>19-07-2024 07:56</t>
  </si>
  <si>
    <t>23-07-2024 12:58</t>
  </si>
  <si>
    <t>res-5X6K6WLT</t>
  </si>
  <si>
    <t>res-0CUDY9AM</t>
  </si>
  <si>
    <t>res-AQ4RAS3L</t>
  </si>
  <si>
    <t>res-646U2LFY</t>
  </si>
  <si>
    <t>31-07-2024 02:38</t>
  </si>
  <si>
    <t>res-AL8CY2G4</t>
  </si>
  <si>
    <t>26-07-2024 01:57</t>
  </si>
  <si>
    <t>30-07-2024 20:00</t>
  </si>
  <si>
    <t>res-I1EQ5CLU</t>
  </si>
  <si>
    <t>27-07-2024 10:53</t>
  </si>
  <si>
    <t>29-07-2024 05:37</t>
  </si>
  <si>
    <t>res-RX9UX2JI</t>
  </si>
  <si>
    <t>26-08-2024 19:54</t>
  </si>
  <si>
    <t>29-08-2024 15:31</t>
  </si>
  <si>
    <t>res-XZR73CZX</t>
  </si>
  <si>
    <t>16-07-2024 23:06</t>
  </si>
  <si>
    <t>res-0TOZI6GW</t>
  </si>
  <si>
    <t>15-08-2024 07:46</t>
  </si>
  <si>
    <t>16-08-2024 10:47</t>
  </si>
  <si>
    <t>res-73GJ8ZUQ</t>
  </si>
  <si>
    <t>res-AEERPNRU</t>
  </si>
  <si>
    <t>20-07-2024 16:24</t>
  </si>
  <si>
    <t>24-07-2024 11:07</t>
  </si>
  <si>
    <t>res-04VZR9YX</t>
  </si>
  <si>
    <t>14-07-2024 21:40</t>
  </si>
  <si>
    <t>17-07-2024 23:14</t>
  </si>
  <si>
    <t>res-XCM67VGG</t>
  </si>
  <si>
    <t>res-MHUZ0UCB</t>
  </si>
  <si>
    <t>res-6DI4L9KW</t>
  </si>
  <si>
    <t>15-08-2024 20:25</t>
  </si>
  <si>
    <t>res-1OTG2ED8</t>
  </si>
  <si>
    <t>13-07-2024 01:04</t>
  </si>
  <si>
    <t>18-07-2024 12:30</t>
  </si>
  <si>
    <t>res-YC6UWXKN</t>
  </si>
  <si>
    <t>16-08-2024 12:56</t>
  </si>
  <si>
    <t>19-08-2024 10:20</t>
  </si>
  <si>
    <t>res-EZZPDSGT</t>
  </si>
  <si>
    <t>14-07-2024 00:09</t>
  </si>
  <si>
    <t>res-1RO85N0I</t>
  </si>
  <si>
    <t>res-B0V0BXYX</t>
  </si>
  <si>
    <t>15-07-2024 03:58</t>
  </si>
  <si>
    <t>20-07-2024 08:41</t>
  </si>
  <si>
    <t>res-Q1Z642YW</t>
  </si>
  <si>
    <t>16-07-2024 07:59</t>
  </si>
  <si>
    <t>res-7I5BNPH4</t>
  </si>
  <si>
    <t>res-8OS99PYD</t>
  </si>
  <si>
    <t>24-07-2024 15:27</t>
  </si>
  <si>
    <t>29-07-2024 04:45</t>
  </si>
  <si>
    <t>res-8BZBGC0U</t>
  </si>
  <si>
    <t>17-08-2024 21:39</t>
  </si>
  <si>
    <t>22-08-2024 04:18</t>
  </si>
  <si>
    <t>res-0PKXQAXF</t>
  </si>
  <si>
    <t>res-16BUMNBK</t>
  </si>
  <si>
    <t>24-07-2024 09:58</t>
  </si>
  <si>
    <t>28-07-2024 02:59</t>
  </si>
  <si>
    <t>res-MF8DX3V6</t>
  </si>
  <si>
    <t>18-08-2024 01:24</t>
  </si>
  <si>
    <t>20-08-2024 23:03</t>
  </si>
  <si>
    <t>res-H0DVICQY</t>
  </si>
  <si>
    <t>17-08-2024 09:50</t>
  </si>
  <si>
    <t>res-MMDE8EPH</t>
  </si>
  <si>
    <t>res-4S2BRMYT</t>
  </si>
  <si>
    <t>18-07-2024 11:19</t>
  </si>
  <si>
    <t>20-07-2024 02:34</t>
  </si>
  <si>
    <t>res-XQL2AHQF</t>
  </si>
  <si>
    <t>16-07-2024 13:39</t>
  </si>
  <si>
    <t>20-07-2024 13:48</t>
  </si>
  <si>
    <t>res-RQBGWF4Z</t>
  </si>
  <si>
    <t>22-07-2024 09:06</t>
  </si>
  <si>
    <t>25-07-2024 08:23</t>
  </si>
  <si>
    <t>res-6RW65FE5</t>
  </si>
  <si>
    <t>25-08-2024 05:16</t>
  </si>
  <si>
    <t>29-08-2024 14:51</t>
  </si>
  <si>
    <t>res-BCMWHPZX</t>
  </si>
  <si>
    <t>res-O31OVWGU</t>
  </si>
  <si>
    <t>res-E7UTIGZQ</t>
  </si>
  <si>
    <t>16-07-2024 12:05</t>
  </si>
  <si>
    <t>res-09E1SUAC</t>
  </si>
  <si>
    <t>res-7DE9JX1O</t>
  </si>
  <si>
    <t>res-KMJ0ZWLU</t>
  </si>
  <si>
    <t>26-07-2024 13:07</t>
  </si>
  <si>
    <t>28-07-2024 14:09</t>
  </si>
  <si>
    <t>res-7YHGGLUF</t>
  </si>
  <si>
    <t>18-07-2024 10:08</t>
  </si>
  <si>
    <t>res-AVL32DIT</t>
  </si>
  <si>
    <t>23-07-2024 04:35</t>
  </si>
  <si>
    <t>28-07-2024 07:07</t>
  </si>
  <si>
    <t>res-NDDYJYFK</t>
  </si>
  <si>
    <t>26-08-2024 21:29</t>
  </si>
  <si>
    <t>res-VUQ7XBR2</t>
  </si>
  <si>
    <t>22-07-2024 21:31</t>
  </si>
  <si>
    <t>25-07-2024 01:02</t>
  </si>
  <si>
    <t>res-58DCP6N2</t>
  </si>
  <si>
    <t>res-OZI3Q9ZQ</t>
  </si>
  <si>
    <t>27-08-2024 18:28</t>
  </si>
  <si>
    <t>31-08-2024 02:48</t>
  </si>
  <si>
    <t>res-BTHVTPVM</t>
  </si>
  <si>
    <t>29-08-2024 13:29</t>
  </si>
  <si>
    <t>res-C5CZKKHQ</t>
  </si>
  <si>
    <t>13-08-2024 08:27</t>
  </si>
  <si>
    <t>res-VF6FXCMT</t>
  </si>
  <si>
    <t>res-72P7USQ6</t>
  </si>
  <si>
    <t>14-08-2024 16:49</t>
  </si>
  <si>
    <t>res-PTRRMRUK</t>
  </si>
  <si>
    <t>17-08-2024 13:55</t>
  </si>
  <si>
    <t>res-IJNXZ1NF</t>
  </si>
  <si>
    <t>15-07-2024 02:01</t>
  </si>
  <si>
    <t>res-8F9Q0YB6</t>
  </si>
  <si>
    <t>14-08-2024 09:33</t>
  </si>
  <si>
    <t>19-08-2024 06:31</t>
  </si>
  <si>
    <t>res-ZT4WVZWK</t>
  </si>
  <si>
    <t>23-07-2024 21:19</t>
  </si>
  <si>
    <t>25-07-2024 20:22</t>
  </si>
  <si>
    <t>res-KSQS8ZME</t>
  </si>
  <si>
    <t>14-07-2024 06:36</t>
  </si>
  <si>
    <t>res-LYT5L04L</t>
  </si>
  <si>
    <t>res-Z20WG5ZX</t>
  </si>
  <si>
    <t>13-07-2024 13:42</t>
  </si>
  <si>
    <t>res-S0A3I6KB</t>
  </si>
  <si>
    <t>15-08-2024 11:45</t>
  </si>
  <si>
    <t>res-EJM2VMLK</t>
  </si>
  <si>
    <t>res-1N1PQBTG</t>
  </si>
  <si>
    <t>13-08-2024 21:05</t>
  </si>
  <si>
    <t>19-08-2024 20:23</t>
  </si>
  <si>
    <t>res-9DDBUWHQ</t>
  </si>
  <si>
    <t>res-KC83Q99Y</t>
  </si>
  <si>
    <t>res-YD1IOCX0</t>
  </si>
  <si>
    <t>14-08-2024 09:24</t>
  </si>
  <si>
    <t>19-08-2024 04:58</t>
  </si>
  <si>
    <t>res-US4RKQ3B</t>
  </si>
  <si>
    <t>14-08-2024 00:00</t>
  </si>
  <si>
    <t>res-45UOBT4K</t>
  </si>
  <si>
    <t>19-07-2024 09:00</t>
  </si>
  <si>
    <t>22-07-2024 01:48</t>
  </si>
  <si>
    <t>res-R6V1BSDX</t>
  </si>
  <si>
    <t>18-08-2024 20:33</t>
  </si>
  <si>
    <t>24-08-2024 16:04</t>
  </si>
  <si>
    <t>res-539OP86H</t>
  </si>
  <si>
    <t>16-07-2024 20:58</t>
  </si>
  <si>
    <t>19-07-2024 12:53</t>
  </si>
  <si>
    <t>res-R6V5BB2L</t>
  </si>
  <si>
    <t>16-07-2024 06:44</t>
  </si>
  <si>
    <t>res-2RV15ZP7</t>
  </si>
  <si>
    <t>23-08-2024 18:06</t>
  </si>
  <si>
    <t>26-08-2024 21:39</t>
  </si>
  <si>
    <t>res-XK8ZUWJA</t>
  </si>
  <si>
    <t>res-ZYERG9LE</t>
  </si>
  <si>
    <t>21-07-2024 06:06</t>
  </si>
  <si>
    <t>25-07-2024 01:05</t>
  </si>
  <si>
    <t>res-0JHYJ1B4</t>
  </si>
  <si>
    <t>15-07-2024 15:02</t>
  </si>
  <si>
    <t>17-07-2024 17:56</t>
  </si>
  <si>
    <t>res-2JRVPSWP</t>
  </si>
  <si>
    <t>res-AP3286AB</t>
  </si>
  <si>
    <t>res-9DNO9QPT</t>
  </si>
  <si>
    <t>res-J4TRG8XL</t>
  </si>
  <si>
    <t>res-S6ZTAF66</t>
  </si>
  <si>
    <t>28-07-2024 04:35</t>
  </si>
  <si>
    <t>30-07-2024 06:54</t>
  </si>
  <si>
    <t>res-FOA4IPAX</t>
  </si>
  <si>
    <t>13-08-2024 23:22</t>
  </si>
  <si>
    <t>15-08-2024 03:59</t>
  </si>
  <si>
    <t>res-3C0U1R2L</t>
  </si>
  <si>
    <t>18-07-2024 02:47</t>
  </si>
  <si>
    <t>20-07-2024 15:12</t>
  </si>
  <si>
    <t>res-TN5WOFB9</t>
  </si>
  <si>
    <t>13-07-2024 22:38</t>
  </si>
  <si>
    <t>res-WVOZ77BZ</t>
  </si>
  <si>
    <t>res-C2XCQI33</t>
  </si>
  <si>
    <t>27-07-2024 12:33</t>
  </si>
  <si>
    <t>31-07-2024 07:00</t>
  </si>
  <si>
    <t>res-2477FO6T</t>
  </si>
  <si>
    <t>14-07-2024 05:26</t>
  </si>
  <si>
    <t>16-07-2024 19:11</t>
  </si>
  <si>
    <t>res-ORDNJ24E</t>
  </si>
  <si>
    <t>14-07-2024 03:06</t>
  </si>
  <si>
    <t>res-FRZUHUVP</t>
  </si>
  <si>
    <t>22-07-2024 14:21</t>
  </si>
  <si>
    <t>24-07-2024 09:02</t>
  </si>
  <si>
    <t>res-UROCE2L7</t>
  </si>
  <si>
    <t>26-07-2024 08:27</t>
  </si>
  <si>
    <t>31-07-2024 05:49</t>
  </si>
  <si>
    <t>res-LR7KJKOA</t>
  </si>
  <si>
    <t>23-07-2024 14:06</t>
  </si>
  <si>
    <t>29-07-2024 07:58</t>
  </si>
  <si>
    <t>res-UGEUXAAR</t>
  </si>
  <si>
    <t>res-W8GT53T9</t>
  </si>
  <si>
    <t>24-08-2024 16:26</t>
  </si>
  <si>
    <t>29-08-2024 06:37</t>
  </si>
  <si>
    <t>res-ALXOYSRK</t>
  </si>
  <si>
    <t>14-08-2024 11:40</t>
  </si>
  <si>
    <t>res-BZNFRDX2</t>
  </si>
  <si>
    <t>15-07-2024 13:46</t>
  </si>
  <si>
    <t>20-07-2024 16:41</t>
  </si>
  <si>
    <t>res-6C3V0R66</t>
  </si>
  <si>
    <t>res-UOI35WIO</t>
  </si>
  <si>
    <t>18-08-2024 12:38</t>
  </si>
  <si>
    <t>19-08-2024 14:52</t>
  </si>
  <si>
    <t>res-7SK0IW04</t>
  </si>
  <si>
    <t>15-07-2024 14:00</t>
  </si>
  <si>
    <t>17-07-2024 20:43</t>
  </si>
  <si>
    <t>res-FHUOQ7BP</t>
  </si>
  <si>
    <t>16-08-2024 11:42</t>
  </si>
  <si>
    <t>res-2H5XPJCL</t>
  </si>
  <si>
    <t>15-07-2024 05:46</t>
  </si>
  <si>
    <t>res-2XJ967QZ</t>
  </si>
  <si>
    <t>res-4QU0YIQZ</t>
  </si>
  <si>
    <t>res-X5BTK7T1</t>
  </si>
  <si>
    <t>13-07-2024 03:52</t>
  </si>
  <si>
    <t>res-ILRQ5BOR</t>
  </si>
  <si>
    <t>14-08-2024 13:09</t>
  </si>
  <si>
    <t>17-08-2024 15:50</t>
  </si>
  <si>
    <t>res-LZN5MXKZ</t>
  </si>
  <si>
    <t>res-GIS6VY8D</t>
  </si>
  <si>
    <t>26-07-2024 17:46</t>
  </si>
  <si>
    <t>29-07-2024 18:04</t>
  </si>
  <si>
    <t>res-9PQAWL9B</t>
  </si>
  <si>
    <t>30-06-2024 20:57</t>
  </si>
  <si>
    <t>res-A4ULLZJW</t>
  </si>
  <si>
    <t>res-NMOO691Q</t>
  </si>
  <si>
    <t>13-07-2024 01:12</t>
  </si>
  <si>
    <t>res-JIHT0WWH</t>
  </si>
  <si>
    <t>20-08-2024 10:45</t>
  </si>
  <si>
    <t>res-AFUYJB0H</t>
  </si>
  <si>
    <t>24-07-2024 08:49</t>
  </si>
  <si>
    <t>29-07-2024 02:06</t>
  </si>
  <si>
    <t>res-JMGZF3QU</t>
  </si>
  <si>
    <t>16-08-2024 17:05</t>
  </si>
  <si>
    <t>res-244K42M1</t>
  </si>
  <si>
    <t>23-07-2024 09:29</t>
  </si>
  <si>
    <t>26-07-2024 19:32</t>
  </si>
  <si>
    <t>res-FSPGUZ6S</t>
  </si>
  <si>
    <t>24-07-2024 00:38</t>
  </si>
  <si>
    <t>27-07-2024 19:37</t>
  </si>
  <si>
    <t>res-NJ8FT0KB</t>
  </si>
  <si>
    <t>28-08-2024 14:01</t>
  </si>
  <si>
    <t>29-08-2024 23:33</t>
  </si>
  <si>
    <t>res-P8YZ4FWM</t>
  </si>
  <si>
    <t>res-1GXD61J7</t>
  </si>
  <si>
    <t>15-08-2024 09:52</t>
  </si>
  <si>
    <t>res-2QG7Y510</t>
  </si>
  <si>
    <t>res-LN6R2D91</t>
  </si>
  <si>
    <t>res-5YTFENT5</t>
  </si>
  <si>
    <t>14-07-2024 07:47</t>
  </si>
  <si>
    <t>res-G5MKIZMW</t>
  </si>
  <si>
    <t>30-07-2024 12:53</t>
  </si>
  <si>
    <t>res-602AFQM4</t>
  </si>
  <si>
    <t>24-08-2024 05:08</t>
  </si>
  <si>
    <t>26-08-2024 14:17</t>
  </si>
  <si>
    <t>res-AHNBC1V6</t>
  </si>
  <si>
    <t>14-08-2024 06:54</t>
  </si>
  <si>
    <t>res-L5LC38CL</t>
  </si>
  <si>
    <t>res-ZOOSV7U0</t>
  </si>
  <si>
    <t>18-08-2024 10:27</t>
  </si>
  <si>
    <t>22-08-2024 07:34</t>
  </si>
  <si>
    <t>res-1J735M7J</t>
  </si>
  <si>
    <t>16-08-2024 11:40</t>
  </si>
  <si>
    <t>res-RRTQYB1W</t>
  </si>
  <si>
    <t>31-07-2024 11:07</t>
  </si>
  <si>
    <t>res-FGBS0WGH</t>
  </si>
  <si>
    <t>13-07-2024 23:54</t>
  </si>
  <si>
    <t>res-PWICWFVI</t>
  </si>
  <si>
    <t>24-07-2024 07:52</t>
  </si>
  <si>
    <t>28-07-2024 18:24</t>
  </si>
  <si>
    <t>res-7YK3TQE4</t>
  </si>
  <si>
    <t>26-07-2024 04:07</t>
  </si>
  <si>
    <t>30-07-2024 21:28</t>
  </si>
  <si>
    <t>res-J0V30FRI</t>
  </si>
  <si>
    <t>17-07-2024 05:00</t>
  </si>
  <si>
    <t>22-07-2024 03:23</t>
  </si>
  <si>
    <t>res-V73RDKOP</t>
  </si>
  <si>
    <t>22-07-2024 14:32</t>
  </si>
  <si>
    <t>26-07-2024 11:34</t>
  </si>
  <si>
    <t>res-PU0JBV9Y</t>
  </si>
  <si>
    <t>19-08-2024 15:58</t>
  </si>
  <si>
    <t>21-08-2024 21:00</t>
  </si>
  <si>
    <t>res-1KB82DYG</t>
  </si>
  <si>
    <t>res-X2N9B19G</t>
  </si>
  <si>
    <t>res-20XGKVRF</t>
  </si>
  <si>
    <t>res-RMU6UPAA</t>
  </si>
  <si>
    <t>20-08-2024 14:34</t>
  </si>
  <si>
    <t>23-08-2024 01:26</t>
  </si>
  <si>
    <t>res-D9YP5JBF</t>
  </si>
  <si>
    <t>19-07-2024 17:58</t>
  </si>
  <si>
    <t>23-07-2024 21:31</t>
  </si>
  <si>
    <t>res-Q001KRCJ</t>
  </si>
  <si>
    <t>15-07-2024 17:15</t>
  </si>
  <si>
    <t>18-07-2024 09:15</t>
  </si>
  <si>
    <t>res-88PVHM3A</t>
  </si>
  <si>
    <t>22-08-2024 06:17</t>
  </si>
  <si>
    <t>27-08-2024 20:30</t>
  </si>
  <si>
    <t>res-G6T28FP4</t>
  </si>
  <si>
    <t>31-07-2024 07:15</t>
  </si>
  <si>
    <t>res-SV1O8NCR</t>
  </si>
  <si>
    <t>19-08-2024 01:50</t>
  </si>
  <si>
    <t>res-2JNCMS7N</t>
  </si>
  <si>
    <t>18-07-2024 09:39</t>
  </si>
  <si>
    <t>21-07-2024 23:30</t>
  </si>
  <si>
    <t>res-V74BYSS7</t>
  </si>
  <si>
    <t>res-7HN7RZ4O</t>
  </si>
  <si>
    <t>30-07-2024 09:06</t>
  </si>
  <si>
    <t>res-GS1KK7AZ</t>
  </si>
  <si>
    <t>18-08-2024 01:30</t>
  </si>
  <si>
    <t>23-08-2024 11:01</t>
  </si>
  <si>
    <t>res-D6S0XWDH</t>
  </si>
  <si>
    <t>16-07-2024 11:54</t>
  </si>
  <si>
    <t>res-T0HRH0Q7</t>
  </si>
  <si>
    <t>res-S76CVVV0</t>
  </si>
  <si>
    <t>13-07-2024 20:58</t>
  </si>
  <si>
    <t>17-07-2024 02:30</t>
  </si>
  <si>
    <t>res-XID13Z75</t>
  </si>
  <si>
    <t>21-08-2024 12:02</t>
  </si>
  <si>
    <t>23-08-2024 06:05</t>
  </si>
  <si>
    <t>res-IAQOWG44</t>
  </si>
  <si>
    <t>15-08-2024 08:52</t>
  </si>
  <si>
    <t>res-LWCETABL</t>
  </si>
  <si>
    <t>13-08-2024 14:18</t>
  </si>
  <si>
    <t>res-AVUOMRX1</t>
  </si>
  <si>
    <t>res-J8G7NJAD</t>
  </si>
  <si>
    <t>res-VDWB23OS</t>
  </si>
  <si>
    <t>25-08-2024 04:52</t>
  </si>
  <si>
    <t>28-08-2024 03:41</t>
  </si>
  <si>
    <t>res-FJK6RBWJ</t>
  </si>
  <si>
    <t>res-89Y5XH07</t>
  </si>
  <si>
    <t>15-07-2024 00:13</t>
  </si>
  <si>
    <t>18-07-2024 11:02</t>
  </si>
  <si>
    <t>res-51S0QIGR</t>
  </si>
  <si>
    <t>19-07-2024 09:51</t>
  </si>
  <si>
    <t>24-07-2024 03:09</t>
  </si>
  <si>
    <t>res-RQ2DAE5D</t>
  </si>
  <si>
    <t>25-07-2024 05:56</t>
  </si>
  <si>
    <t>res-MUPY9G3R</t>
  </si>
  <si>
    <t>15-08-2024 06:54</t>
  </si>
  <si>
    <t>res-12ONWGY0</t>
  </si>
  <si>
    <t>30-07-2024 16:07</t>
  </si>
  <si>
    <t>res-TIDGZD5D</t>
  </si>
  <si>
    <t>res-OQIQBRJ4</t>
  </si>
  <si>
    <t>24-07-2024 22:23</t>
  </si>
  <si>
    <t>26-07-2024 23:48</t>
  </si>
  <si>
    <t>res-TOWIZPQ6</t>
  </si>
  <si>
    <t>30-06-2024 23:38</t>
  </si>
  <si>
    <t>res-HL2D36SZ</t>
  </si>
  <si>
    <t>14-07-2024 05:56</t>
  </si>
  <si>
    <t>res-HXSZTC02</t>
  </si>
  <si>
    <t>30-06-2024 16:20</t>
  </si>
  <si>
    <t>res-XVQ1M91N</t>
  </si>
  <si>
    <t>18-08-2024 00:30</t>
  </si>
  <si>
    <t>res-79FPROWE</t>
  </si>
  <si>
    <t>res-723DJQ6D</t>
  </si>
  <si>
    <t>res-UUZ2KMR0</t>
  </si>
  <si>
    <t>17-08-2024 15:56</t>
  </si>
  <si>
    <t>res-2YI0KXQ4</t>
  </si>
  <si>
    <t>14-07-2024 06:09</t>
  </si>
  <si>
    <t>res-BIZLO9XV</t>
  </si>
  <si>
    <t>res-3O5Q6SPM</t>
  </si>
  <si>
    <t>23-07-2024 23:08</t>
  </si>
  <si>
    <t>26-07-2024 20:31</t>
  </si>
  <si>
    <t>res-LF2TM5UY</t>
  </si>
  <si>
    <t>21-07-2024 10:44</t>
  </si>
  <si>
    <t>23-07-2024 11:15</t>
  </si>
  <si>
    <t>res-N1V5L3PF</t>
  </si>
  <si>
    <t>15-07-2024 03:10</t>
  </si>
  <si>
    <t>res-K27AH0K9</t>
  </si>
  <si>
    <t>res-FFU623P2</t>
  </si>
  <si>
    <t>res-XWQV2S7H</t>
  </si>
  <si>
    <t>15-07-2024 12:04</t>
  </si>
  <si>
    <t>res-9H929X64</t>
  </si>
  <si>
    <t>res-0OKK21UC</t>
  </si>
  <si>
    <t>13-08-2024 18:52</t>
  </si>
  <si>
    <t>19-08-2024 08:18</t>
  </si>
  <si>
    <t>res-CL1J2OYA</t>
  </si>
  <si>
    <t>27-08-2024 19:10</t>
  </si>
  <si>
    <t>29-08-2024 07:25</t>
  </si>
  <si>
    <t>res-X4MU63JA</t>
  </si>
  <si>
    <t>20-08-2024 13:43</t>
  </si>
  <si>
    <t>24-08-2024 00:36</t>
  </si>
  <si>
    <t>res-SEIJTZ7P</t>
  </si>
  <si>
    <t>13-08-2024 22:58</t>
  </si>
  <si>
    <t>res-0JDXNFWD</t>
  </si>
  <si>
    <t>17-08-2024 23:06</t>
  </si>
  <si>
    <t>23-08-2024 02:38</t>
  </si>
  <si>
    <t>res-DFXDPR49</t>
  </si>
  <si>
    <t>19-07-2024 16:25</t>
  </si>
  <si>
    <t>22-07-2024 05:14</t>
  </si>
  <si>
    <t>res-39CXL3S6</t>
  </si>
  <si>
    <t>26-08-2024 17:40</t>
  </si>
  <si>
    <t>31-08-2024 21:19</t>
  </si>
  <si>
    <t>res-I8QITTRF</t>
  </si>
  <si>
    <t>13-08-2024 16:10</t>
  </si>
  <si>
    <t>18-08-2024 22:18</t>
  </si>
  <si>
    <t>res-7G3IAMPQ</t>
  </si>
  <si>
    <t>res-MSQ1NK26</t>
  </si>
  <si>
    <t>22-08-2024 08:26</t>
  </si>
  <si>
    <t>24-08-2024 22:11</t>
  </si>
  <si>
    <t>res-3R9TGT07</t>
  </si>
  <si>
    <t>25-08-2024 21:11</t>
  </si>
  <si>
    <t>30-08-2024 09:03</t>
  </si>
  <si>
    <t>res-SQ9YX98C</t>
  </si>
  <si>
    <t>res-2W7UN71I</t>
  </si>
  <si>
    <t>25-07-2024 16:50</t>
  </si>
  <si>
    <t>res-P3ZI6VO8</t>
  </si>
  <si>
    <t>21-08-2024 01:51</t>
  </si>
  <si>
    <t>22-08-2024 10:37</t>
  </si>
  <si>
    <t>res-LDEFKZID</t>
  </si>
  <si>
    <t>15-07-2024 12:30</t>
  </si>
  <si>
    <t>17-07-2024 15:20</t>
  </si>
  <si>
    <t>res-88OPB1KK</t>
  </si>
  <si>
    <t>res-GN2VQM09</t>
  </si>
  <si>
    <t>res-AJJX91AK</t>
  </si>
  <si>
    <t>22-07-2024 12:33</t>
  </si>
  <si>
    <t>27-07-2024 04:03</t>
  </si>
  <si>
    <t>res-7DBWLHZC</t>
  </si>
  <si>
    <t>14-07-2024 17:03</t>
  </si>
  <si>
    <t>res-3B55JMP3</t>
  </si>
  <si>
    <t>res-ESKAT58I</t>
  </si>
  <si>
    <t>23-07-2024 09:42</t>
  </si>
  <si>
    <t>26-07-2024 00:27</t>
  </si>
  <si>
    <t>res-BNWFJDUX</t>
  </si>
  <si>
    <t>14-07-2024 13:26</t>
  </si>
  <si>
    <t>18-07-2024 18:48</t>
  </si>
  <si>
    <t>res-Y2LPJK5N</t>
  </si>
  <si>
    <t>27-08-2024 13:42</t>
  </si>
  <si>
    <t>29-08-2024 01:30</t>
  </si>
  <si>
    <t>res-UCRJNM18</t>
  </si>
  <si>
    <t>res-ZGO426P7</t>
  </si>
  <si>
    <t>res-RJHBOG4O</t>
  </si>
  <si>
    <t>res-BJRQUXE2</t>
  </si>
  <si>
    <t>16-07-2024 18:18</t>
  </si>
  <si>
    <t>19-07-2024 17:02</t>
  </si>
  <si>
    <t>res-B56DIFV0</t>
  </si>
  <si>
    <t>15-08-2024 19:16</t>
  </si>
  <si>
    <t>res-0ICXG4ZW</t>
  </si>
  <si>
    <t>17-08-2024 16:07</t>
  </si>
  <si>
    <t>21-08-2024 02:09</t>
  </si>
  <si>
    <t>res-BI34UWGA</t>
  </si>
  <si>
    <t>res-TUPZVVKE</t>
  </si>
  <si>
    <t>28-08-2024 17:08</t>
  </si>
  <si>
    <t>res-GEV1Y8HI</t>
  </si>
  <si>
    <t>31-07-2024 21:15</t>
  </si>
  <si>
    <t>res-PAL051U9</t>
  </si>
  <si>
    <t>20-07-2024 14:35</t>
  </si>
  <si>
    <t>26-07-2024 03:48</t>
  </si>
  <si>
    <t>res-8J3C2M2T</t>
  </si>
  <si>
    <t>13-07-2024 16:46</t>
  </si>
  <si>
    <t>res-WSPS7X5M</t>
  </si>
  <si>
    <t>23-08-2024 15:36</t>
  </si>
  <si>
    <t>res-0IY5CRHC</t>
  </si>
  <si>
    <t>res-VYZLUG57</t>
  </si>
  <si>
    <t>res-OORW7Y1Q</t>
  </si>
  <si>
    <t>29-08-2024 00:04</t>
  </si>
  <si>
    <t>31-08-2024 00:56</t>
  </si>
  <si>
    <t>res-A5ZSG12K</t>
  </si>
  <si>
    <t>24-07-2024 06:00</t>
  </si>
  <si>
    <t>26-07-2024 23:45</t>
  </si>
  <si>
    <t>res-MAVKE4GL</t>
  </si>
  <si>
    <t>13-08-2024 05:19</t>
  </si>
  <si>
    <t>14-08-2024 19:46</t>
  </si>
  <si>
    <t>res-0YFKNFF9</t>
  </si>
  <si>
    <t>29-08-2024 01:57</t>
  </si>
  <si>
    <t>res-9MSA5DVB</t>
  </si>
  <si>
    <t>13-08-2024 07:22</t>
  </si>
  <si>
    <t>14-08-2024 17:23</t>
  </si>
  <si>
    <t>res-0NU1STIM</t>
  </si>
  <si>
    <t>13-07-2024 15:18</t>
  </si>
  <si>
    <t>res-QGS9F0Q3</t>
  </si>
  <si>
    <t>20-07-2024 22:19</t>
  </si>
  <si>
    <t>24-07-2024 23:18</t>
  </si>
  <si>
    <t>res-55NYF6H9</t>
  </si>
  <si>
    <t>15-08-2024 01:42</t>
  </si>
  <si>
    <t>res-THH37V0A</t>
  </si>
  <si>
    <t>30-06-2024 17:08</t>
  </si>
  <si>
    <t>res-TFPMPEIG</t>
  </si>
  <si>
    <t>15-07-2024 14:32</t>
  </si>
  <si>
    <t>18-07-2024 04:48</t>
  </si>
  <si>
    <t>res-6N22OLZ8</t>
  </si>
  <si>
    <t>res-U03PSDGO</t>
  </si>
  <si>
    <t>28-08-2024 12:31</t>
  </si>
  <si>
    <t>31-08-2024 11:26</t>
  </si>
  <si>
    <t>res-C2BO9C9A</t>
  </si>
  <si>
    <t>res-GTVL3MN7</t>
  </si>
  <si>
    <t>25-08-2024 21:15</t>
  </si>
  <si>
    <t>28-08-2024 07:52</t>
  </si>
  <si>
    <t>res-OZF4OSTM</t>
  </si>
  <si>
    <t>res-8VF7SQNS</t>
  </si>
  <si>
    <t>res-TXE03SK4</t>
  </si>
  <si>
    <t>res-IKCJY3HZ</t>
  </si>
  <si>
    <t>13-07-2024 16:13</t>
  </si>
  <si>
    <t>res-TIBV15AR</t>
  </si>
  <si>
    <t>15-08-2024 23:02</t>
  </si>
  <si>
    <t>res-5YAYM33B</t>
  </si>
  <si>
    <t>16-08-2024 10:02</t>
  </si>
  <si>
    <t>22-08-2024 02:51</t>
  </si>
  <si>
    <t>res-TH1L34PP</t>
  </si>
  <si>
    <t>17-07-2024 13:34</t>
  </si>
  <si>
    <t>res-TX87IQKK</t>
  </si>
  <si>
    <t>28-07-2024 19:01</t>
  </si>
  <si>
    <t>30-07-2024 03:23</t>
  </si>
  <si>
    <t>res-SGGDE383</t>
  </si>
  <si>
    <t>res-GHLDEZ5Z</t>
  </si>
  <si>
    <t>14-08-2024 18:02</t>
  </si>
  <si>
    <t>17-08-2024 02:19</t>
  </si>
  <si>
    <t>res-UKLS5GOC</t>
  </si>
  <si>
    <t>16-07-2024 22:05</t>
  </si>
  <si>
    <t>21-07-2024 06:17</t>
  </si>
  <si>
    <t>res-02OHKV13</t>
  </si>
  <si>
    <t>25-07-2024 12:01</t>
  </si>
  <si>
    <t>30-07-2024 12:28</t>
  </si>
  <si>
    <t>res-9NKCFDV5</t>
  </si>
  <si>
    <t>25-08-2024 02:41</t>
  </si>
  <si>
    <t>29-08-2024 07:39</t>
  </si>
  <si>
    <t>res-3L534J8F</t>
  </si>
  <si>
    <t>res-8URTNW3D</t>
  </si>
  <si>
    <t>29-07-2024 07:48</t>
  </si>
  <si>
    <t>res-JANIO4Q7</t>
  </si>
  <si>
    <t>19-08-2024 20:36</t>
  </si>
  <si>
    <t>21-08-2024 17:40</t>
  </si>
  <si>
    <t>res-D898I2VF</t>
  </si>
  <si>
    <t>15-07-2024 17:28</t>
  </si>
  <si>
    <t>19-07-2024 17:52</t>
  </si>
  <si>
    <t>res-MHZNFQHE</t>
  </si>
  <si>
    <t>res-DH7HJH9O</t>
  </si>
  <si>
    <t>res-A1PJKUSI</t>
  </si>
  <si>
    <t>25-08-2024 14:55</t>
  </si>
  <si>
    <t>27-08-2024 04:36</t>
  </si>
  <si>
    <t>res-B7JMXF5F</t>
  </si>
  <si>
    <t>29-08-2024 08:40</t>
  </si>
  <si>
    <t>res-ETVN9GGT</t>
  </si>
  <si>
    <t>res-AVLT0649</t>
  </si>
  <si>
    <t>17-08-2024 04:20</t>
  </si>
  <si>
    <t>res-6LDJHEG0</t>
  </si>
  <si>
    <t>21-08-2024 01:17</t>
  </si>
  <si>
    <t>22-08-2024 16:50</t>
  </si>
  <si>
    <t>res-KMJQB3LC</t>
  </si>
  <si>
    <t>27-08-2024 18:42</t>
  </si>
  <si>
    <t>29-08-2024 11:27</t>
  </si>
  <si>
    <t>res-39V2TT63</t>
  </si>
  <si>
    <t>20-07-2024 22:58</t>
  </si>
  <si>
    <t>22-07-2024 13:45</t>
  </si>
  <si>
    <t>res-JNJGGP0G</t>
  </si>
  <si>
    <t>res-Q845DRSP</t>
  </si>
  <si>
    <t>res-VWLOQR77</t>
  </si>
  <si>
    <t>20-07-2024 09:48</t>
  </si>
  <si>
    <t>23-07-2024 08:09</t>
  </si>
  <si>
    <t>res-DVVN7T9Q</t>
  </si>
  <si>
    <t>20-08-2024 16:06</t>
  </si>
  <si>
    <t>22-08-2024 15:15</t>
  </si>
  <si>
    <t>res-2YXBZC6D</t>
  </si>
  <si>
    <t>25-08-2024 13:28</t>
  </si>
  <si>
    <t>28-08-2024 10:07</t>
  </si>
  <si>
    <t>res-0N5NMWZL</t>
  </si>
  <si>
    <t>21-07-2024 00:55</t>
  </si>
  <si>
    <t>25-07-2024 21:12</t>
  </si>
  <si>
    <t>res-YGMO3Z8T</t>
  </si>
  <si>
    <t>13-07-2024 09:07</t>
  </si>
  <si>
    <t>16-07-2024 02:24</t>
  </si>
  <si>
    <t>res-8RTLG18B</t>
  </si>
  <si>
    <t>res-G02OJ5GU</t>
  </si>
  <si>
    <t>21-07-2024 20:22</t>
  </si>
  <si>
    <t>23-07-2024 00:38</t>
  </si>
  <si>
    <t>res-0OBWMFY3</t>
  </si>
  <si>
    <t>res-O6D0SC42</t>
  </si>
  <si>
    <t>21-08-2024 09:54</t>
  </si>
  <si>
    <t>27-08-2024 05:14</t>
  </si>
  <si>
    <t>res-7G8BZR6E</t>
  </si>
  <si>
    <t>14-08-2024 14:44</t>
  </si>
  <si>
    <t>res-AGO278CW</t>
  </si>
  <si>
    <t>res-Q4HVSTFI</t>
  </si>
  <si>
    <t>16-07-2024 13:34</t>
  </si>
  <si>
    <t>res-LDUWFQNE</t>
  </si>
  <si>
    <t>17-08-2024 17:54</t>
  </si>
  <si>
    <t>20-08-2024 02:26</t>
  </si>
  <si>
    <t>res-C9KNE491</t>
  </si>
  <si>
    <t>res-XQMIIKI9</t>
  </si>
  <si>
    <t>16-07-2024 22:56</t>
  </si>
  <si>
    <t>22-07-2024 05:06</t>
  </si>
  <si>
    <t>res-60OEWXWF</t>
  </si>
  <si>
    <t>res-DUKFU5I4</t>
  </si>
  <si>
    <t>22-08-2024 09:50</t>
  </si>
  <si>
    <t>27-08-2024 15:15</t>
  </si>
  <si>
    <t>res-G1ZCLA7N</t>
  </si>
  <si>
    <t>28-08-2024 01:26</t>
  </si>
  <si>
    <t>30-08-2024 18:24</t>
  </si>
  <si>
    <t>res-XNWD3FA7</t>
  </si>
  <si>
    <t>27-08-2024 16:01</t>
  </si>
  <si>
    <t>res-CKK4HJG9</t>
  </si>
  <si>
    <t>15-07-2024 22:32</t>
  </si>
  <si>
    <t>res-D58ANTC0</t>
  </si>
  <si>
    <t>14-08-2024 22:37</t>
  </si>
  <si>
    <t>res-W1QVUAUY</t>
  </si>
  <si>
    <t>19-07-2024 14:48</t>
  </si>
  <si>
    <t>25-07-2024 13:12</t>
  </si>
  <si>
    <t>res-YECWTX82</t>
  </si>
  <si>
    <t>19-07-2024 09:44</t>
  </si>
  <si>
    <t>24-07-2024 02:20</t>
  </si>
  <si>
    <t>res-5ON05WRC</t>
  </si>
  <si>
    <t>28-08-2024 19:12</t>
  </si>
  <si>
    <t>res-JEOTOEFV</t>
  </si>
  <si>
    <t>res-B9MWAZE5</t>
  </si>
  <si>
    <t>28-07-2024 02:35</t>
  </si>
  <si>
    <t>31-07-2024 12:09</t>
  </si>
  <si>
    <t>res-5O2320IK</t>
  </si>
  <si>
    <t>24-07-2024 09:05</t>
  </si>
  <si>
    <t>27-07-2024 22:33</t>
  </si>
  <si>
    <t>res-2J6KURCC</t>
  </si>
  <si>
    <t>17-07-2024 13:03</t>
  </si>
  <si>
    <t>20-07-2024 02:17</t>
  </si>
  <si>
    <t>res-2E4RS9BK</t>
  </si>
  <si>
    <t>15-07-2024 04:09</t>
  </si>
  <si>
    <t>17-07-2024 08:52</t>
  </si>
  <si>
    <t>res-2B6KCTWB</t>
  </si>
  <si>
    <t>13-08-2024 15:21</t>
  </si>
  <si>
    <t>18-08-2024 06:46</t>
  </si>
  <si>
    <t>res-AKIHTJ34</t>
  </si>
  <si>
    <t>20-07-2024 11:27</t>
  </si>
  <si>
    <t>21-07-2024 17:41</t>
  </si>
  <si>
    <t>res-DV9JRPGE</t>
  </si>
  <si>
    <t>16-08-2024 15:54</t>
  </si>
  <si>
    <t>22-08-2024 09:24</t>
  </si>
  <si>
    <t>res-366EBDKF</t>
  </si>
  <si>
    <t>res-RILN0892</t>
  </si>
  <si>
    <t>24-07-2024 07:23</t>
  </si>
  <si>
    <t>28-07-2024 05:55</t>
  </si>
  <si>
    <t>res-UGI64PSX</t>
  </si>
  <si>
    <t>17-08-2024 02:34</t>
  </si>
  <si>
    <t>18-08-2024 13:05</t>
  </si>
  <si>
    <t>res-L7CEPN9U</t>
  </si>
  <si>
    <t>res-X1LNU5KK</t>
  </si>
  <si>
    <t>res-IUHELOPE</t>
  </si>
  <si>
    <t>31-07-2024 06:14</t>
  </si>
  <si>
    <t>res-1J9NB1YD</t>
  </si>
  <si>
    <t>13-07-2024 06:12</t>
  </si>
  <si>
    <t>16-07-2024 02:37</t>
  </si>
  <si>
    <t>res-J4Q4WQCN</t>
  </si>
  <si>
    <t>29-07-2024 12:33</t>
  </si>
  <si>
    <t>res-L8NU3JXW</t>
  </si>
  <si>
    <t>29-07-2024 02:21</t>
  </si>
  <si>
    <t>res-9ZHF4QCE</t>
  </si>
  <si>
    <t>23-07-2024 07:44</t>
  </si>
  <si>
    <t>24-07-2024 12:27</t>
  </si>
  <si>
    <t>res-C7Q1K5Q8</t>
  </si>
  <si>
    <t>30-07-2024 21:13</t>
  </si>
  <si>
    <t>res-EVJ09YOW</t>
  </si>
  <si>
    <t>20-07-2024 00:10</t>
  </si>
  <si>
    <t>21-07-2024 22:26</t>
  </si>
  <si>
    <t>res-DCKJEF1X</t>
  </si>
  <si>
    <t>18-08-2024 22:57</t>
  </si>
  <si>
    <t>22-08-2024 11:18</t>
  </si>
  <si>
    <t>res-4NZZD9YJ</t>
  </si>
  <si>
    <t>24-07-2024 18:15</t>
  </si>
  <si>
    <t>28-07-2024 08:19</t>
  </si>
  <si>
    <t>res-E84XFGZ8</t>
  </si>
  <si>
    <t>27-08-2024 07:47</t>
  </si>
  <si>
    <t>31-08-2024 17:03</t>
  </si>
  <si>
    <t>res-I66UDVD3</t>
  </si>
  <si>
    <t>30-07-2024 06:59</t>
  </si>
  <si>
    <t>res-DYPURO0P</t>
  </si>
  <si>
    <t>13-08-2024 18:54</t>
  </si>
  <si>
    <t>res-N1Q1Z73E</t>
  </si>
  <si>
    <t>14-07-2024 15:04</t>
  </si>
  <si>
    <t>16-07-2024 05:01</t>
  </si>
  <si>
    <t>res-LWK6DJPU</t>
  </si>
  <si>
    <t>Duration Hours</t>
  </si>
  <si>
    <t>CPU Status</t>
  </si>
  <si>
    <t>Memory Status</t>
  </si>
  <si>
    <t>Network Total (GB)</t>
  </si>
  <si>
    <t>Cost Tier</t>
  </si>
  <si>
    <t>Efficiency Score</t>
  </si>
  <si>
    <t xml:space="preserve"> </t>
  </si>
  <si>
    <t>SUM of Total Cost (INR)</t>
  </si>
  <si>
    <t>COUNTA of Resource ID</t>
  </si>
  <si>
    <t>Underutilized</t>
  </si>
  <si>
    <t>Normal</t>
  </si>
  <si>
    <t>High</t>
  </si>
  <si>
    <t>Grand Total</t>
  </si>
  <si>
    <t>Google Cloud FinOps Cost Optimization Dashboard</t>
  </si>
  <si>
    <t>Total Spend</t>
  </si>
  <si>
    <t>Avg CPU Utilization</t>
  </si>
  <si>
    <t>Underutilized Resources</t>
  </si>
  <si>
    <t>High Cost Resources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</si>
</sst>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-dd-yyyy h:mm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b/>
      <sz val="24.0"/>
      <color theme="1"/>
      <name val="Arial"/>
      <scheme val="minor"/>
    </font>
    <font>
      <b/>
      <sz val="12.0"/>
      <color theme="1"/>
      <name val="Arial"/>
      <scheme val="minor"/>
    </font>
    <font/>
    <font>
      <b/>
      <sz val="20.0"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</fills>
  <borders count="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1" xfId="0" applyAlignment="1" applyFont="1" applyNumberFormat="1">
      <alignment readingOrder="0"/>
    </xf>
    <xf borderId="0" fillId="0" fontId="1" numFmtId="0" xfId="0" applyFont="1"/>
    <xf borderId="0" fillId="0" fontId="1" numFmtId="164" xfId="0" applyFont="1" applyNumberFormat="1"/>
    <xf borderId="0" fillId="0" fontId="1" numFmtId="11" xfId="0" applyFont="1" applyNumberFormat="1"/>
    <xf borderId="0" fillId="2" fontId="2" numFmtId="0" xfId="0" applyAlignment="1" applyFill="1" applyFont="1">
      <alignment horizontal="left" readingOrder="0"/>
    </xf>
    <xf borderId="1" fillId="2" fontId="3" numFmtId="0" xfId="0" applyAlignment="1" applyBorder="1" applyFont="1">
      <alignment horizontal="center" readingOrder="0"/>
    </xf>
    <xf borderId="2" fillId="0" fontId="4" numFmtId="0" xfId="0" applyBorder="1" applyFont="1"/>
    <xf borderId="0" fillId="2" fontId="3" numFmtId="0" xfId="0" applyAlignment="1" applyFont="1">
      <alignment horizontal="center" readingOrder="0"/>
    </xf>
    <xf borderId="0" fillId="3" fontId="5" numFmtId="0" xfId="0" applyAlignment="1" applyFill="1" applyFont="1">
      <alignment horizontal="center"/>
    </xf>
    <xf borderId="0" fillId="4" fontId="5" numFmtId="0" xfId="0" applyAlignment="1" applyFill="1" applyFont="1">
      <alignment horizontal="center"/>
    </xf>
    <xf borderId="0" fillId="5" fontId="5" numFmtId="0" xfId="0" applyAlignment="1" applyFill="1" applyFont="1">
      <alignment horizontal="center"/>
    </xf>
    <xf borderId="0" fillId="6" fontId="5" numFmtId="0" xfId="0" applyAlignment="1" applyFill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pivotCacheDefinition" Target="pivotCache/pivotCacheDefinition2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Cost by Service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Pivot_Tables!$B$1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Pivot_Tables!$A$2:$A$1503</c:f>
            </c:strRef>
          </c:cat>
          <c:val>
            <c:numRef>
              <c:f>Pivot_Tables!$B$2:$B$1503</c:f>
              <c:numCache/>
            </c:numRef>
          </c:val>
        </c:ser>
        <c:axId val="774842926"/>
        <c:axId val="1383468167"/>
      </c:barChart>
      <c:catAx>
        <c:axId val="77484292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83468167"/>
      </c:catAx>
      <c:valAx>
        <c:axId val="138346816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74842926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Cost by Region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Pivot_Tables!$H$1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Pivot_Tables!$G$2:$G$1503</c:f>
            </c:strRef>
          </c:cat>
          <c:val>
            <c:numRef>
              <c:f>Pivot_Tables!$H$2:$H$1503</c:f>
              <c:numCache/>
            </c:numRef>
          </c:val>
        </c:ser>
        <c:axId val="275255297"/>
        <c:axId val="1602701071"/>
      </c:barChart>
      <c:catAx>
        <c:axId val="27525529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02701071"/>
      </c:catAx>
      <c:valAx>
        <c:axId val="160270107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7525529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CPU Utilization Mix</a:t>
            </a:r>
          </a:p>
        </c:rich>
      </c:tx>
      <c:overlay val="0"/>
    </c:title>
    <c:view3D>
      <c:rotX val="50"/>
      <c:perspective val="0"/>
    </c:view3D>
    <c:plotArea>
      <c:layout/>
      <c:doughnutChart>
        <c:varyColors val="1"/>
        <c:ser>
          <c:idx val="0"/>
          <c:order val="0"/>
          <c:tx>
            <c:strRef>
              <c:f>Pivot_Tables!$N$1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Pivot_Tables!$M$2:$M$6</c:f>
            </c:strRef>
          </c:cat>
          <c:val>
            <c:numRef>
              <c:f>Pivot_Tables!$N$2:$N$6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Top Cost Drivers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Pivot_Tables!$S$1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Pivot_Tables!$R$2:$R$13</c:f>
            </c:strRef>
          </c:cat>
          <c:val>
            <c:numRef>
              <c:f>Pivot_Tables!$S$2:$S$13</c:f>
              <c:numCache/>
            </c:numRef>
          </c:val>
        </c:ser>
        <c:axId val="114742558"/>
        <c:axId val="1758549775"/>
      </c:barChart>
      <c:catAx>
        <c:axId val="11474255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58549775"/>
      </c:catAx>
      <c:valAx>
        <c:axId val="175854977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4742558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5</xdr:row>
      <xdr:rowOff>19050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533400</xdr:colOff>
      <xdr:row>5</xdr:row>
      <xdr:rowOff>19050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25</xdr:row>
      <xdr:rowOff>38100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5</xdr:col>
      <xdr:colOff>533400</xdr:colOff>
      <xdr:row>25</xdr:row>
      <xdr:rowOff>38100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Z1501" sheet="Cleaned_Data"/>
  </cacheSource>
  <cacheFields>
    <cacheField name="Resource ID" numFmtId="0">
      <sharedItems containsBlank="1">
        <s v="res-ST6BAJ2N"/>
        <s v="res-TYGNR0RV"/>
        <s v="res-S3I9C869"/>
        <s v="res-1RY9BZ6G"/>
        <s v="res-S3HQYIZ2"/>
        <s v="res-MWGCR6VT"/>
        <s v="res-FSWKHTQW"/>
        <s v="res-S7I6Z6JD"/>
        <s v="res-U3CCWT2L"/>
        <s v="res-4DX4UZEY"/>
        <s v="res-JAL9EY6P"/>
        <s v="res-B4GZM2Q6"/>
        <s v="res-012HZFAA"/>
        <s v="res-ELZMGAPV"/>
        <s v="res-XACLYR7O"/>
        <s v="res-O0Y1GSUY"/>
        <s v="res-S3LT44XO"/>
        <s v="res-4FELBDAQ"/>
        <s v="res-8DBLI7MV"/>
        <s v="res-KI6SEH8K"/>
        <s v="res-QTQQHAC7"/>
        <s v="res-4F4ZI2VT"/>
        <s v="res-EJ3TCI72"/>
        <s v="res-27V25S4F"/>
        <s v="res-T91EICVM"/>
        <s v="res-251A50KH"/>
        <s v="res-3JSZVG7Z"/>
        <s v="res-5O0LZKYC"/>
        <s v="res-PGHLRRI4"/>
        <s v="res-E5DZLWUA"/>
        <s v="res-A6LFJNRY"/>
        <s v="res-CWFW5Z7I"/>
        <s v="res-UEL2KJBD"/>
        <s v="res-2NWIUO2C"/>
        <s v="res-TDYG7ESV"/>
        <s v="res-66L7XN4J"/>
        <s v="res-SG6WQFX8"/>
        <s v="res-6EL50YPV"/>
        <s v="res-ALHVTEHO"/>
        <s v="res-Y3DP4TQK"/>
        <s v="res-XGSQU6G9"/>
        <s v="res-JYW9QXTH"/>
        <s v="res-M0XOPAGW"/>
        <s v="res-HLWAGRJX"/>
        <s v="res-TH2HV714"/>
        <s v="res-NGNWFF0O"/>
        <s v="res-UB3MG63E"/>
        <s v="res-P0IB37XB"/>
        <s v="res-8DMDOAEB"/>
        <s v="res-ZWIM5IQO"/>
        <s v="res-ND973JKK"/>
        <s v="res-RMU6GKFR"/>
        <s v="res-4DS5ZYPH"/>
        <s v="res-5K3QHZV3"/>
        <s v="res-N3JA77XL"/>
        <s v="res-SSBP7G7A"/>
        <s v="res-8EKE64Y9"/>
        <s v="res-5JQE0V7N"/>
        <s v="res-IGDCS3TU"/>
        <s v="res-UPEK7TGF"/>
        <s v="res-Q31L0E0M"/>
        <s v="res-3DE1XB74"/>
        <s v="res-WRHTSLS8"/>
        <s v="res-YAJ9RWIJ"/>
        <s v="res-J1A4NFH8"/>
        <s v="res-EALEFOKP"/>
        <s v="res-WN4BM9FD"/>
        <s v="res-TATL6NKT"/>
        <s v="res-OJK06WNM"/>
        <s v="res-ASTO68FD"/>
        <s v="res-F3P3S9SJ"/>
        <s v="res-R96K0UAA"/>
        <s v="res-UF72S2ZA"/>
        <s v="res-SPITPRK0"/>
        <s v="res-KENC5DI4"/>
        <s v="res-N4DACW72"/>
        <s v="res-UMDNFSOR"/>
        <s v="res-PAQEKYLT"/>
        <s v="res-7WNF8X7W"/>
        <s v="res-183YWOLN"/>
        <s v="res-QZSVFSSA"/>
        <s v="res-ACEAM0OK"/>
        <s v="res-S463U44F"/>
        <s v="res-1MJM7FDN"/>
        <s v="res-5ZMFEUSN"/>
        <s v="res-0XZC95XI"/>
        <s v="res-UYX9HR56"/>
        <s v="res-DJA0J2HT"/>
        <s v="res-YFTXHZ6V"/>
        <s v="res-IF612JJD"/>
        <s v="res-P48QXSH3"/>
        <s v="res-DMQNKYQI"/>
        <s v="res-W17TJLS5"/>
        <s v="res-Y743O1KJ"/>
        <s v="res-UOBIS97Y"/>
        <s v="res-IPSRXLS0"/>
        <s v="res-028HLTIJ"/>
        <s v="res-NOJL21YR"/>
        <s v="res-IPXAPWCU"/>
        <s v="res-3MIS5OW4"/>
        <s v="res-4AA89AW0"/>
        <s v="res-50ENK9SD"/>
        <s v="res-EL6QGI8H"/>
        <s v="res-I30ERORH"/>
        <s v="res-WZAXU5QI"/>
        <s v="res-BPP2I4JY"/>
        <s v="res-SXTAFMSQ"/>
        <s v="res-6QQFCS6P"/>
        <s v="res-3XQFDWRL"/>
        <s v="res-332C4VUK"/>
        <s v="res-9BI125KP"/>
        <s v="res-WSIQKZD2"/>
        <s v="res-S9RSLPXV"/>
        <s v="res-LHYKHUU8"/>
        <s v="res-M8RGW39R"/>
        <s v="res-LXFL51RN"/>
        <s v="res-QW1X0I92"/>
        <s v="res-ZRV6SYR0"/>
        <s v="res-DYNXWF06"/>
        <s v="res-4GSM5UB0"/>
        <s v="res-5YOKEQSZ"/>
        <s v="res-FJ60VPX8"/>
        <s v="res-IE6CLT4T"/>
        <s v="res-42IIGA5O"/>
        <s v="res-R88AAWSC"/>
        <s v="res-3INHYCC5"/>
        <s v="res-CX98PG3J"/>
        <s v="res-JI5I18V9"/>
        <s v="res-BVU9L5PE"/>
        <s v="res-BI1A8DVI"/>
        <s v="res-A6QRE83W"/>
        <s v="res-IVCT1BUF"/>
        <s v="res-BX65RY02"/>
        <s v="res-FNMVRLU5"/>
        <s v="res-K3BCF3R1"/>
        <s v="res-5DH5XK7R"/>
        <s v="res-OIFGN9S6"/>
        <s v="res-QFCBS0OP"/>
        <s v="res-HH25CATI"/>
        <s v="res-R75ZLOMH"/>
        <s v="res-D8Z8BVYA"/>
        <s v="res-NIS6F5IW"/>
        <s v="res-9DJ03H48"/>
        <s v="res-3SQHP1DE"/>
        <s v="res-07FYPZ25"/>
        <s v="res-51VG0KX4"/>
        <s v="res-EBIEIX2P"/>
        <s v="res-6ACV3TGJ"/>
        <s v="res-6TMZ7XGI"/>
        <s v="res-ND8F0M4A"/>
        <s v="res-KEQ8NILK"/>
        <s v="res-XQ207VHQ"/>
        <s v="res-SJ11891I"/>
        <s v="res-H19C9MGQ"/>
        <s v="res-XIM3O9P0"/>
        <s v="res-05LVI8W6"/>
        <s v="res-X8HLQJGR"/>
        <s v="res-NG4EDZQN"/>
        <s v="res-AK01OOOD"/>
        <s v="res-X0MRQ1EA"/>
        <s v="res-QC42LBFL"/>
        <s v="res-VK89NCIB"/>
        <s v="res-KH6Q1KUH"/>
        <s v="res-R4MY6SNT"/>
        <s v="res-ZOGT34FS"/>
        <s v="res-F9SA2UW2"/>
        <s v="res-PEEXNBZM"/>
        <s v="res-GTEJU4UK"/>
        <s v="res-WFOF16UH"/>
        <s v="res-2SCCW6WM"/>
        <s v="res-QD3IBKRP"/>
        <s v="res-86KNN8SR"/>
        <s v="res-1055YKL2"/>
        <s v="res-WAAIIIM2"/>
        <s v="res-F1AKU3HS"/>
        <s v="res-GL3BFL4Z"/>
        <s v="res-4ZVRCGH1"/>
        <s v="res-VH7R6G7G"/>
        <s v="res-IO7OE2QW"/>
        <s v="res-HI37MWQ9"/>
        <s v="res-XXMU8Z57"/>
        <s v="res-G8DQRSLB"/>
        <s v="res-YB8GRSNJ"/>
        <s v="res-Q18AS5C1"/>
        <s v="res-NNEGV70F"/>
        <s v="res-OGI8DBG9"/>
        <s v="res-B4TR1ASK"/>
        <s v="res-3UA97I0E"/>
        <s v="res-VTW7EGMW"/>
        <s v="res-2RR6XXID"/>
        <s v="res-3JI3YHI8"/>
        <s v="res-BZ5W9M5K"/>
        <s v="res-F3AE7OUB"/>
        <s v="res-359KKTUA"/>
        <s v="res-1MDPME6E"/>
        <s v="res-EWB6WO2A"/>
        <s v="res-AG72N60A"/>
        <s v="res-GYU2G1O4"/>
        <s v="res-X0KL98G2"/>
        <s v="res-HMB0HL0N"/>
        <s v="res-RL3ZN00U"/>
        <s v="res-U7QQJ58L"/>
        <s v="res-6B2CMM2G"/>
        <s v="res-4TYSS5S3"/>
        <s v="res-Y50DHQFX"/>
        <s v="res-0EVT01ZJ"/>
        <s v="res-BN0T44IH"/>
        <s v="res-BPLHVSWK"/>
        <s v="res-7XIEH2GK"/>
        <s v="res-1J7E15GY"/>
        <s v="res-0N5EXOOX"/>
        <s v="res-BUSP3LSD"/>
        <s v="res-0564S9TF"/>
        <s v="res-43HSMX9Z"/>
        <s v="res-ON0OFWM0"/>
        <s v="res-736OPXF9"/>
        <s v="res-FQYG4I9V"/>
        <s v="res-95M0B8PU"/>
        <s v="res-YQ03U4NW"/>
        <s v="res-3ECMMHD3"/>
        <s v="res-YDYYGRBW"/>
        <s v="res-T4P2WKQB"/>
        <s v="res-KA8S76JP"/>
        <s v="res-HUV1NEIA"/>
        <s v="res-TMUUSOKX"/>
        <s v="res-SF4TOUWB"/>
        <s v="res-M10NG09Z"/>
        <s v="res-LHH3C6YV"/>
        <s v="res-NCB7MZNO"/>
        <s v="res-NPBLNHIG"/>
        <s v="res-82OZQF0P"/>
        <s v="res-YHWPU7BD"/>
        <s v="res-X5BAACYY"/>
        <s v="res-WM0B0C31"/>
        <s v="res-FCXPJQYL"/>
        <s v="res-38ISYK8S"/>
        <s v="res-E8NJ0KAF"/>
        <s v="res-1OOHFVAM"/>
        <s v="res-A9LFGMQ4"/>
        <s v="res-PDEQJ7U4"/>
        <s v="res-LWGX075A"/>
        <s v="res-65HI6BOX"/>
        <s v="res-IOPJEVUT"/>
        <s v="res-AQX7XE3J"/>
        <s v="res-O0TIM29P"/>
        <s v="res-3JKQG3E4"/>
        <s v="res-TDS8CF7O"/>
        <s v="res-KSGEF76B"/>
        <s v="res-7HPPI6FR"/>
        <s v="res-R357HHSJ"/>
        <s v="res-VVSWUAAE"/>
        <s v="res-5YX2EPSC"/>
        <s v="res-URCNWFQT"/>
        <s v="res-BUIL1EJV"/>
        <s v="res-VH870SCG"/>
        <s v="res-QKN93IUQ"/>
        <s v="res-BZBXUZYI"/>
        <s v="res-8OXJAS77"/>
        <s v="res-4IJ5Z6XM"/>
        <s v="res-4RM5Q210"/>
        <s v="res-K36OUS3E"/>
        <s v="res-ZCBXMI9R"/>
        <s v="res-B8DX6CAK"/>
        <s v="res-H2ADSWPM"/>
        <s v="res-Z6YLMLP0"/>
        <s v="res-A1U5Y9Z5"/>
        <s v="res-RD9ZXRO7"/>
        <s v="res-X4V3GS0X"/>
        <s v="res-QZVTIOPY"/>
        <s v="res-V8M6PWQA"/>
        <s v="res-3ZENSZLY"/>
        <s v="res-RN9QSQUX"/>
        <s v="res-HZFHS19U"/>
        <s v="res-RMKORSAL"/>
        <s v="res-SRHDS40W"/>
        <s v="res-4TY3J9IY"/>
        <s v="res-A8ISV5AK"/>
        <s v="res-C2XM3T1J"/>
        <s v="res-YO1RR5X7"/>
        <s v="res-JZACY5C6"/>
        <s v="res-D21R9SB1"/>
        <s v="res-WU10MTCT"/>
        <s v="res-9VSL8AKL"/>
        <s v="res-XQ2SNANY"/>
        <s v="res-DM1O00MA"/>
        <s v="res-1KZU3DQJ"/>
        <s v="res-J34Y24JL"/>
        <s v="res-88VX0F0Q"/>
        <s v="res-0C0LFDHN"/>
        <s v="res-PN87VCFD"/>
        <s v="res-J5Y0L80C"/>
        <s v="res-WYVJMQ5V"/>
        <s v="res-46F0DI7D"/>
        <s v="res-AUBOWRG6"/>
        <s v="res-V6XDWUHS"/>
        <s v="res-A2IYLGCP"/>
        <s v="res-YM61GD4T"/>
        <s v="res-B1KP68K8"/>
        <s v="res-456UVDXI"/>
        <s v="res-N5X9BFE3"/>
        <s v="res-919DA5VW"/>
        <s v="res-DE1PLN2D"/>
        <s v="res-ZVWW1WO8"/>
        <s v="res-OXE22REJ"/>
        <s v="res-ILI945FI"/>
        <s v="res-MDO55NUJ"/>
        <s v="res-XRQLR0TM"/>
        <s v="res-VP7PCV8U"/>
        <s v="res-1JUX8LS9"/>
        <s v="res-PVXWL5C0"/>
        <s v="res-1YJWKW8I"/>
        <s v="res-G71C069R"/>
        <s v="res-39FWQC69"/>
        <s v="res-3PG1IW3C"/>
        <s v="res-PJBYZUOO"/>
        <s v="res-67NUV63U"/>
        <s v="res-5QMXZ068"/>
        <s v="res-DJYS3EO0"/>
        <s v="res-K8RTFPZB"/>
        <s v="res-LMD14FLO"/>
        <s v="res-1L3R61L2"/>
        <s v="res-6P1VN6A6"/>
        <s v="res-8IM8M8TY"/>
        <s v="res-CFVZ9YM8"/>
        <s v="res-RZPR26RG"/>
        <s v="res-0D7YRCPL"/>
        <s v="res-IK64CSKN"/>
        <s v="res-K7ZK8W1L"/>
        <s v="res-78Q0LVMD"/>
        <s v="res-JWK1VY6C"/>
        <s v="res-S7Q4AYVH"/>
        <s v="res-0DCGVMQZ"/>
        <s v="res-67MMOXFA"/>
        <s v="res-8YQ9D8TD"/>
        <s v="res-QMUAHM07"/>
        <s v="res-O6M9SSN4"/>
        <s v="res-LHZFUPDP"/>
        <s v="res-AOZJGYUX"/>
        <s v="res-NFHPGG0Z"/>
        <s v="res-KRBRGY62"/>
        <s v="res-L0UE4NJN"/>
        <s v="res-YDT1D7I0"/>
        <s v="res-LSZORKYT"/>
        <s v="res-TOM757KG"/>
        <s v="res-P3K1XB02"/>
        <s v="res-Q9JMMDUX"/>
        <s v="res-HGKJZW45"/>
        <s v="res-5V6UFGIT"/>
        <s v="res-CDVJC43F"/>
        <s v="res-QMCYY81X"/>
        <s v="res-VUSTFBR7"/>
        <s v="res-4PZ1KJHH"/>
        <s v="res-THEHRU3S"/>
        <s v="res-F13OGCS1"/>
        <s v="res-KGO1KFI6"/>
        <s v="res-00VD7NNT"/>
        <s v="res-GCNCHXF4"/>
        <s v="res-UMMHRIG7"/>
        <s v="res-O249RCT8"/>
        <s v="res-O5HIQONO"/>
        <s v="res-MSIXWNK6"/>
        <s v="res-9L80VK58"/>
        <s v="res-KNQJEPTH"/>
        <s v="res-BHG77DRY"/>
        <s v="res-CGVIM3VM"/>
        <s v="res-4PLMEJQY"/>
        <s v="res-X0NWEN6B"/>
        <s v="res-YA2CNX3Q"/>
        <s v="res-7L8FKGV4"/>
        <s v="res-L83XSLB2"/>
        <s v="res-ORVHD3QJ"/>
        <s v="res-WNYYXOZ8"/>
        <s v="res-OPAHBCNW"/>
        <s v="res-9BXRHYAB"/>
        <s v="res-IFIVJIKO"/>
        <s v="res-N63N1THH"/>
        <s v="res-YBFM0HGL"/>
        <s v="res-0IP8J7AC"/>
        <s v="res-W2V0JO7D"/>
        <s v="res-GGDLBTZY"/>
        <s v="res-P764A8A1"/>
        <s v="res-M3J3HSIX"/>
        <s v="res-0HQNQVI5"/>
        <s v="res-35L3HOZL"/>
        <s v="res-AUEOBCLI"/>
        <s v="res-P7E29M8B"/>
        <s v="res-ZCUUTLGI"/>
        <s v="res-QL123BDS"/>
        <s v="res-L6L55VM8"/>
        <s v="res-2PQ8JLFF"/>
        <s v="res-XUQR0FEN"/>
        <s v="res-0XF3LPGM"/>
        <s v="res-K77K7HI1"/>
        <s v="res-B6UNMR1R"/>
        <s v="res-XCONMZ4R"/>
        <s v="res-F5EMGMM8"/>
        <s v="res-O3VMKAIQ"/>
        <s v="res-WNBNYM8O"/>
        <s v="res-LOBNLX91"/>
        <s v="res-04X4P614"/>
        <s v="res-09NGMZMO"/>
        <s v="res-HPZG31IQ"/>
        <s v="res-6KO0D3WF"/>
        <s v="res-BIUTYIMI"/>
        <s v="res-D1HIUXNT"/>
        <s v="res-AFB773PU"/>
        <s v="res-4N1DTK2I"/>
        <s v="res-SFJXVKKV"/>
        <s v="res-OYTZUKIA"/>
        <s v="res-WLX7A2R1"/>
        <s v="res-HX66EBRY"/>
        <s v="res-7UGY460K"/>
        <s v="res-13MDNGII"/>
        <s v="res-ASCHOJSB"/>
        <s v="res-M3ZBKI2V"/>
        <s v="res-ZVJ578GN"/>
        <s v="res-6EVRQG86"/>
        <s v="res-XE6UW387"/>
        <s v="res-6OMQ4VML"/>
        <s v="res-W2W76LHZ"/>
        <s v="res-XKCDKTD2"/>
        <s v="res-JIXXZX0J"/>
        <s v="res-JS3UWAGV"/>
        <s v="res-ZA5L8Z41"/>
        <s v="res-V7ARIHDE"/>
        <s v="res-J6ZAWPRX"/>
        <s v="res-83N992IF"/>
        <s v="res-WK1ERI38"/>
        <s v="res-6KHDCRDB"/>
        <s v="res-EM2XFZ8L"/>
        <s v="res-G09747ZS"/>
        <s v="res-6BOEVI0R"/>
        <s v="res-NXRJ4YNL"/>
        <s v="res-GZEVM27G"/>
        <s v="res-9N3H6DQ3"/>
        <s v="res-VTF7HJFJ"/>
        <s v="res-MT5KX17K"/>
        <s v="res-MUK4Z2BS"/>
        <s v="res-ZKMC08Q6"/>
        <s v="res-JVK1HOLG"/>
        <s v="res-IFBHPEQV"/>
        <s v="res-H40WACZG"/>
        <s v="res-1WUR8G93"/>
        <s v="res-TZCL1KUV"/>
        <s v="res-C7QGGDW5"/>
        <s v="res-73GWCHWA"/>
        <s v="res-EO8OTO8A"/>
        <s v="res-73ZAL0VC"/>
        <s v="res-YLWPCS4J"/>
        <s v="res-P1D6Y54C"/>
        <s v="res-P7GN3K3R"/>
        <s v="res-MZB1S515"/>
        <s v="res-1T4FT6CF"/>
        <s v="res-90LFZLNG"/>
        <s v="res-8N8FWB7N"/>
        <s v="res-EN9HYT2Z"/>
        <s v="res-5L671N5R"/>
        <s v="res-1M0Q8CHS"/>
        <s v="res-J6HX9Q39"/>
        <s v="res-WXMB7NAK"/>
        <s v="res-170DHBTE"/>
        <s v="res-Z5B8KSYG"/>
        <s v="res-29Q20CVB"/>
        <s v="res-GXCYBT0U"/>
        <s v="res-UGRRL92J"/>
        <s v="res-OT3AHW3P"/>
        <s v="res-302U0L3S"/>
        <s v="res-34QKC3L8"/>
        <s v="res-7KU20OYT"/>
        <s v="res-53MWIOTB"/>
        <s v="res-EYHDF3I5"/>
        <s v="res-DTA164QF"/>
        <s v="res-WBZ9MQQ6"/>
        <s v="res-736606E0"/>
        <s v="res-3SESG8V7"/>
        <s v="res-DFQJABAV"/>
        <s v="res-IP58UFOC"/>
        <s v="res-DXFGDOXR"/>
        <s v="res-B5CBCS7N"/>
        <s v="res-89970DYQ"/>
        <s v="res-2AKD3D5G"/>
        <s v="res-283P4R0H"/>
        <s v="res-4DJD3851"/>
        <s v="res-M9M70ZPZ"/>
        <s v="res-4NROFVST"/>
        <s v="res-7HJ4T115"/>
        <s v="res-3LCAI3LD"/>
        <s v="res-WCPBCXOU"/>
        <s v="res-6J904SEE"/>
        <s v="res-C7XKMCFZ"/>
        <s v="res-4B0XP5WC"/>
        <s v="res-UDEMX028"/>
        <s v="res-91ZZKPJI"/>
        <s v="res-JVDFHO7N"/>
        <s v="res-0218J7D8"/>
        <s v="res-JTYGDNH2"/>
        <s v="res-Y7Q58WZT"/>
        <s v="res-3UMQCQ7L"/>
        <s v="res-18VH12GB"/>
        <s v="res-JN0AHW8I"/>
        <s v="res-Q146W4NW"/>
        <s v="res-RY520DKS"/>
        <s v="res-FIFHP5ZQ"/>
        <s v="res-VIBAAJU5"/>
        <s v="res-1YDLUFQT"/>
        <s v="res-4SLUER38"/>
        <s v="res-QF6RILJO"/>
        <s v="res-DMFUA1DF"/>
        <s v="res-F1XQDNVO"/>
        <s v="res-MOZFAE74"/>
        <s v="res-GVFZ0SMQ"/>
        <s v="res-26V8MDKP"/>
        <s v="res-ZGMEQDGM"/>
        <s v="res-G897SS0M"/>
        <s v="res-SLNI45BI"/>
        <s v="res-K1E7YCCI"/>
        <s v="res-PYSNFSN2"/>
        <s v="res-VIN5D25W"/>
        <s v="res-7XJ95SED"/>
        <s v="res-86BKSPWE"/>
        <s v="res-9QO2FLXN"/>
        <s v="res-RTW0L80S"/>
        <s v="res-W3LTP3WP"/>
        <s v="res-YQQ8HHB8"/>
        <s v="res-IZW2W4XT"/>
        <s v="res-3F8DKCVT"/>
        <s v="res-1LJV1O1D"/>
        <s v="res-2UBLDDOC"/>
        <s v="res-IKZR0V6S"/>
        <s v="res-0GZ8OVBM"/>
        <s v="res-JIIFFF2O"/>
        <s v="res-1C1MLL0U"/>
        <s v="res-MF4NDR22"/>
        <s v="res-4ZQSMUOB"/>
        <s v="res-100J1BTT"/>
        <s v="res-RJ0E47ZX"/>
        <s v="res-YXBRWF8R"/>
        <s v="res-ATPOHCEH"/>
        <s v="res-XVWM45WT"/>
        <s v="res-4ZQ18WTF"/>
        <s v="res-S5U6W344"/>
        <s v="res-VA3KJDZY"/>
        <s v="res-Z35RBDV4"/>
        <s v="res-3VGZRWN0"/>
        <s v="res-MRQ0A8DI"/>
        <s v="res-DXKGGUD7"/>
        <s v="res-F6974M69"/>
        <s v="res-6NNXDHTY"/>
        <s v="res-RUL6UJ2I"/>
        <s v="res-7FJ5OXXK"/>
        <s v="res-5LLLKIJS"/>
        <s v="res-ZUP1NWYK"/>
        <s v="res-Z3DIR5XZ"/>
        <s v="res-G35CH69Y"/>
        <s v="res-UIJBQHY2"/>
        <s v="res-BGUFYUQ7"/>
        <s v="res-YVDZ7Y3W"/>
        <s v="res-7WRJI2RL"/>
        <s v="res-MHVWXAQE"/>
        <s v="res-6SG95JJU"/>
        <s v="res-4PF8L5PT"/>
        <s v="res-0GMDP20S"/>
        <s v="res-URVB26BJ"/>
        <s v="res-9K7LR2E5"/>
        <s v="res-EEVOKLZA"/>
        <s v="res-P3JCTDOS"/>
        <s v="res-EBCDGE0Z"/>
        <s v="res-S8V5CKIR"/>
        <s v="res-L9JQCL5H"/>
        <s v="res-U8V4KCX7"/>
        <s v="res-W85DRFX6"/>
        <s v="res-G0M36ARR"/>
        <s v="res-ZL3PAL15"/>
        <s v="res-LQKRRLX7"/>
        <s v="res-UATET0ZG"/>
        <s v="res-H0FLX264"/>
        <s v="res-6IVQ41GN"/>
        <s v="res-3KCNHXTD"/>
        <s v="res-K495NBU3"/>
        <s v="res-OTHYLWH2"/>
        <s v="res-6801EISE"/>
        <s v="res-M9S9G8PA"/>
        <s v="res-9R1D3HRY"/>
        <s v="res-CRE9O9RH"/>
        <s v="res-T0OGQ1VW"/>
        <s v="res-U0XU6E1T"/>
        <s v="res-IY6FLR1C"/>
        <s v="res-FKAJATB6"/>
        <s v="res-NWYU1CZI"/>
        <s v="res-92H4UOES"/>
        <s v="res-7MPLP0WF"/>
        <s v="res-MJRPXFOX"/>
        <s v="res-MD82YFPZ"/>
        <s v="res-BTTU0WCG"/>
        <s v="res-7LLUZT3G"/>
        <s v="res-P8SSCHN9"/>
        <s v="res-OPE31JB2"/>
        <s v="res-D2NUI8OM"/>
        <s v="res-FUUMP7RH"/>
        <s v="res-2H6QN7WR"/>
        <s v="res-C3AMONZ6"/>
        <s v="res-A7Y0GW1C"/>
        <s v="res-IU418MQO"/>
        <s v="res-X1YXF17C"/>
        <s v="res-ZZQL1YQ2"/>
        <s v="res-WIQEH8YU"/>
        <s v="res-OYKGBR4C"/>
        <s v="res-8ZPK23NO"/>
        <s v="res-UM51L7IM"/>
        <s v="res-3E70ZYHQ"/>
        <s v="res-6SP2IRJE"/>
        <s v="res-GLWSU5H0"/>
        <s v="res-RF559IVM"/>
        <s v="res-ZRWDCB3G"/>
        <s v="res-HD39T851"/>
        <s v="res-5KDNGDZZ"/>
        <s v="res-5RZ6TIFT"/>
        <s v="res-4TBQH6B1"/>
        <s v="res-RNNS13FP"/>
        <s v="res-7GZ4LH6T"/>
        <s v="res-UPQDPFWM"/>
        <s v="res-65KB06P4"/>
        <s v="res-PNEPCKHW"/>
        <s v="res-UWUK1WBC"/>
        <s v="res-LOIOQXNF"/>
        <s v="res-RDEPCFLV"/>
        <s v="res-6XJ1JNZ2"/>
        <s v="res-LBZMB3VM"/>
        <s v="res-O49NSWHT"/>
        <s v="res-20FMK4XS"/>
        <s v="res-17K5MA2I"/>
        <s v="res-GDQLCMX8"/>
        <s v="res-NKCZLRJU"/>
        <s v="res-Q1HJ9CE1"/>
        <s v="res-6LM9YMD7"/>
        <s v="res-12TS2RYR"/>
        <s v="res-O8PDL53S"/>
        <s v="res-3KX732X1"/>
        <s v="res-JVCW6WXY"/>
        <s v="res-SXWYPIJP"/>
        <s v="res-2QQ6HOHO"/>
        <s v="res-PAFNOK2A"/>
        <s v="res-D79LIUCM"/>
        <s v="res-O7TJPBX0"/>
        <s v="res-WGSVDFWN"/>
        <s v="res-4DO2MP7J"/>
        <s v="res-E1TEQ68A"/>
        <s v="res-9EXDL0LJ"/>
        <s v="res-9I0KF8ZE"/>
        <s v="res-1P8GV0VG"/>
        <s v="res-C6M2YMQC"/>
        <s v="res-Y540QPHT"/>
        <s v="res-74241U61"/>
        <s v="res-6F43M9Y6"/>
        <s v="res-VWM05I69"/>
        <s v="res-G5VJ1M4Z"/>
        <s v="res-HS2X631B"/>
        <s v="res-LYGNJ32Z"/>
        <s v="res-Z56ZPSDU"/>
        <s v="res-C6R5KLBL"/>
        <s v="res-5GDKWNDY"/>
        <s v="res-T3Y6SA4H"/>
        <s v="res-1HP4FD4P"/>
        <s v="res-GZ7OSG7F"/>
        <s v="res-JVCSJXZW"/>
        <s v="res-3KHNOERC"/>
        <s v="res-82O1CU5O"/>
        <s v="res-FKBX47G9"/>
        <s v="res-VN7DLO1M"/>
        <s v="res-DN37URKZ"/>
        <s v="res-4E62CARB"/>
        <s v="res-5GP5VC4H"/>
        <s v="res-NSTICBTG"/>
        <s v="res-0WGR132X"/>
        <s v="res-1ET43TWO"/>
        <s v="res-J3K0S8WA"/>
        <s v="res-ZNB547LC"/>
        <s v="res-TJ8PJWH3"/>
        <s v="res-X8Z2TTPB"/>
        <s v="res-ID3TQL0D"/>
        <s v="res-VQUTFC77"/>
        <s v="res-3KUVBA4U"/>
        <s v="res-8TQHCUBR"/>
        <s v="res-G1UKX19E"/>
        <s v="res-5Z4G3E2Q"/>
        <s v="res-389SKH1S"/>
        <s v="res-PMFSLBBH"/>
        <s v="res-PUPHN3NU"/>
        <s v="res-EYL1TUPP"/>
        <s v="res-J19CN3NN"/>
        <s v="res-YJD6C3D4"/>
        <s v="res-CUF8T9GJ"/>
        <s v="res-ZYJ0EG74"/>
        <s v="res-OGSC78DB"/>
        <s v="res-VE7R48S7"/>
        <s v="res-LOLZV3LI"/>
        <s v="res-5X6K6WLT"/>
        <s v="res-0CUDY9AM"/>
        <s v="res-AQ4RAS3L"/>
        <s v="res-646U2LFY"/>
        <s v="res-AL8CY2G4"/>
        <s v="res-I1EQ5CLU"/>
        <s v="res-RX9UX2JI"/>
        <s v="res-XZR73CZX"/>
        <s v="res-0TOZI6GW"/>
        <s v="res-73GJ8ZUQ"/>
        <s v="res-AEERPNRU"/>
        <s v="res-04VZR9YX"/>
        <s v="res-XCM67VGG"/>
        <s v="res-MHUZ0UCB"/>
        <s v="res-6DI4L9KW"/>
        <s v="res-1OTG2ED8"/>
        <s v="res-YC6UWXKN"/>
        <s v="res-EZZPDSGT"/>
        <s v="res-1RO85N0I"/>
        <s v="res-B0V0BXYX"/>
        <s v="res-Q1Z642YW"/>
        <s v="res-7I5BNPH4"/>
        <s v="res-8OS99PYD"/>
        <s v="res-8BZBGC0U"/>
        <s v="res-0PKXQAXF"/>
        <s v="res-16BUMNBK"/>
        <s v="res-MF8DX3V6"/>
        <s v="res-H0DVICQY"/>
        <s v="res-MMDE8EPH"/>
        <s v="res-4S2BRMYT"/>
        <s v="res-XQL2AHQF"/>
        <s v="res-RQBGWF4Z"/>
        <s v="res-6RW65FE5"/>
        <s v="res-BCMWHPZX"/>
        <s v="res-O31OVWGU"/>
        <s v="res-E7UTIGZQ"/>
        <s v="res-09E1SUAC"/>
        <s v="res-7DE9JX1O"/>
        <s v="res-KMJ0ZWLU"/>
        <s v="res-7YHGGLUF"/>
        <s v="res-AVL32DIT"/>
        <s v="res-NDDYJYFK"/>
        <s v="res-VUQ7XBR2"/>
        <s v="res-58DCP6N2"/>
        <s v="res-OZI3Q9ZQ"/>
        <s v="res-BTHVTPVM"/>
        <s v="res-C5CZKKHQ"/>
        <s v="res-VF6FXCMT"/>
        <s v="res-72P7USQ6"/>
        <s v="res-PTRRMRUK"/>
        <s v="res-IJNXZ1NF"/>
        <s v="res-8F9Q0YB6"/>
        <s v="res-ZT4WVZWK"/>
        <s v="res-KSQS8ZME"/>
        <s v="res-LYT5L04L"/>
        <s v="res-Z20WG5ZX"/>
        <s v="res-S0A3I6KB"/>
        <s v="res-EJM2VMLK"/>
        <s v="res-1N1PQBTG"/>
        <s v="res-9DDBUWHQ"/>
        <s v="res-KC83Q99Y"/>
        <s v="res-YD1IOCX0"/>
        <s v="res-US4RKQ3B"/>
        <s v="res-45UOBT4K"/>
        <s v="res-R6V1BSDX"/>
        <s v="res-539OP86H"/>
        <s v="res-R6V5BB2L"/>
        <s v="res-2RV15ZP7"/>
        <s v="res-XK8ZUWJA"/>
        <s v="res-ZYERG9LE"/>
        <s v="res-0JHYJ1B4"/>
        <s v="res-2JRVPSWP"/>
        <s v="res-AP3286AB"/>
        <s v="res-9DNO9QPT"/>
        <s v="res-J4TRG8XL"/>
        <s v="res-S6ZTAF66"/>
        <s v="res-FOA4IPAX"/>
        <s v="res-3C0U1R2L"/>
        <s v="res-TN5WOFB9"/>
        <s v="res-WVOZ77BZ"/>
        <s v="res-C2XCQI33"/>
        <s v="res-2477FO6T"/>
        <s v="res-ORDNJ24E"/>
        <s v="res-FRZUHUVP"/>
        <s v="res-UROCE2L7"/>
        <s v="res-LR7KJKOA"/>
        <s v="res-UGEUXAAR"/>
        <s v="res-W8GT53T9"/>
        <s v="res-ALXOYSRK"/>
        <s v="res-BZNFRDX2"/>
        <s v="res-6C3V0R66"/>
        <s v="res-UOI35WIO"/>
        <s v="res-7SK0IW04"/>
        <s v="res-FHUOQ7BP"/>
        <s v="res-2H5XPJCL"/>
        <s v="res-2XJ967QZ"/>
        <s v="res-4QU0YIQZ"/>
        <s v="res-X5BTK7T1"/>
        <s v="res-ILRQ5BOR"/>
        <s v="res-LZN5MXKZ"/>
        <s v="res-GIS6VY8D"/>
        <s v="res-9PQAWL9B"/>
        <s v="res-A4ULLZJW"/>
        <s v="res-NMOO691Q"/>
        <s v="res-JIHT0WWH"/>
        <s v="res-AFUYJB0H"/>
        <s v="res-JMGZF3QU"/>
        <s v="res-244K42M1"/>
        <s v="res-FSPGUZ6S"/>
        <s v="res-NJ8FT0KB"/>
        <s v="res-P8YZ4FWM"/>
        <s v="res-1GXD61J7"/>
        <s v="res-2QG7Y510"/>
        <s v="res-LN6R2D91"/>
        <s v="res-5YTFENT5"/>
        <s v="res-G5MKIZMW"/>
        <s v="res-602AFQM4"/>
        <s v="res-AHNBC1V6"/>
        <s v="res-L5LC38CL"/>
        <s v="res-ZOOSV7U0"/>
        <s v="res-1J735M7J"/>
        <s v="res-RRTQYB1W"/>
        <s v="res-FGBS0WGH"/>
        <s v="res-PWICWFVI"/>
        <s v="res-7YK3TQE4"/>
        <s v="res-J0V30FRI"/>
        <s v="res-V73RDKOP"/>
        <s v="res-PU0JBV9Y"/>
        <s v="res-1KB82DYG"/>
        <s v="res-X2N9B19G"/>
        <s v="res-20XGKVRF"/>
        <s v="res-RMU6UPAA"/>
        <s v="res-D9YP5JBF"/>
        <s v="res-Q001KRCJ"/>
        <s v="res-88PVHM3A"/>
        <s v="res-G6T28FP4"/>
        <s v="res-SV1O8NCR"/>
        <s v="res-2JNCMS7N"/>
        <s v="res-V74BYSS7"/>
        <s v="res-7HN7RZ4O"/>
        <s v="res-GS1KK7AZ"/>
        <s v="res-D6S0XWDH"/>
        <s v="res-T0HRH0Q7"/>
        <s v="res-S76CVVV0"/>
        <s v="res-XID13Z75"/>
        <s v="res-IAQOWG44"/>
        <s v="res-LWCETABL"/>
        <s v="res-AVUOMRX1"/>
        <s v="res-J8G7NJAD"/>
        <s v="res-VDWB23OS"/>
        <s v="res-FJK6RBWJ"/>
        <s v="res-89Y5XH07"/>
        <s v="res-51S0QIGR"/>
        <s v="res-RQ2DAE5D"/>
        <s v="res-MUPY9G3R"/>
        <s v="res-12ONWGY0"/>
        <s v="res-TIDGZD5D"/>
        <s v="res-OQIQBRJ4"/>
        <s v="res-TOWIZPQ6"/>
        <s v="res-HL2D36SZ"/>
        <s v="res-HXSZTC02"/>
        <s v="res-XVQ1M91N"/>
        <s v="res-79FPROWE"/>
        <s v="res-723DJQ6D"/>
        <s v="res-UUZ2KMR0"/>
        <s v="res-2YI0KXQ4"/>
        <s v="res-BIZLO9XV"/>
        <s v="res-3O5Q6SPM"/>
        <s v="res-LF2TM5UY"/>
        <s v="res-N1V5L3PF"/>
        <s v="res-K27AH0K9"/>
        <s v="res-FFU623P2"/>
        <s v="res-XWQV2S7H"/>
        <s v="res-9H929X64"/>
        <s v="res-0OKK21UC"/>
        <s v="res-CL1J2OYA"/>
        <s v="res-X4MU63JA"/>
        <s v="res-SEIJTZ7P"/>
        <s v="res-0JDXNFWD"/>
        <s v="res-DFXDPR49"/>
        <s v="res-39CXL3S6"/>
        <s v="res-I8QITTRF"/>
        <s v="res-7G3IAMPQ"/>
        <s v="res-MSQ1NK26"/>
        <s v="res-3R9TGT07"/>
        <s v="res-SQ9YX98C"/>
        <s v="res-2W7UN71I"/>
        <s v="res-P3ZI6VO8"/>
        <s v="res-LDEFKZID"/>
        <s v="res-88OPB1KK"/>
        <s v="res-GN2VQM09"/>
        <s v="res-AJJX91AK"/>
        <s v="res-7DBWLHZC"/>
        <s v="res-3B55JMP3"/>
        <s v="res-ESKAT58I"/>
        <s v="res-BNWFJDUX"/>
        <s v="res-Y2LPJK5N"/>
        <s v="res-UCRJNM18"/>
        <s v="res-ZGO426P7"/>
        <s v="res-RJHBOG4O"/>
        <s v="res-BJRQUXE2"/>
        <s v="res-B56DIFV0"/>
        <s v="res-0ICXG4ZW"/>
        <s v="res-BI34UWGA"/>
        <s v="res-TUPZVVKE"/>
        <s v="res-GEV1Y8HI"/>
        <s v="res-PAL051U9"/>
        <s v="res-8J3C2M2T"/>
        <s v="res-WSPS7X5M"/>
        <s v="res-0IY5CRHC"/>
        <s v="res-VYZLUG57"/>
        <s v="res-OORW7Y1Q"/>
        <s v="res-A5ZSG12K"/>
        <s v="res-MAVKE4GL"/>
        <s v="res-0YFKNFF9"/>
        <s v="res-9MSA5DVB"/>
        <s v="res-0NU1STIM"/>
        <s v="res-QGS9F0Q3"/>
        <s v="res-55NYF6H9"/>
        <s v="res-THH37V0A"/>
        <s v="res-TFPMPEIG"/>
        <s v="res-6N22OLZ8"/>
        <s v="res-U03PSDGO"/>
        <s v="res-C2BO9C9A"/>
        <s v="res-GTVL3MN7"/>
        <s v="res-OZF4OSTM"/>
        <s v="res-8VF7SQNS"/>
        <s v="res-TXE03SK4"/>
        <s v="res-IKCJY3HZ"/>
        <s v="res-TIBV15AR"/>
        <s v="res-5YAYM33B"/>
        <s v="res-TH1L34PP"/>
        <s v="res-TX87IQKK"/>
        <s v="res-SGGDE383"/>
        <s v="res-GHLDEZ5Z"/>
        <s v="res-UKLS5GOC"/>
        <s v="res-02OHKV13"/>
        <s v="res-9NKCFDV5"/>
        <s v="res-3L534J8F"/>
        <s v="res-8URTNW3D"/>
        <s v="res-JANIO4Q7"/>
        <s v="res-D898I2VF"/>
        <s v="res-MHZNFQHE"/>
        <s v="res-DH7HJH9O"/>
        <s v="res-A1PJKUSI"/>
        <s v="res-B7JMXF5F"/>
        <s v="res-ETVN9GGT"/>
        <s v="res-AVLT0649"/>
        <s v="res-6LDJHEG0"/>
        <s v="res-KMJQB3LC"/>
        <s v="res-39V2TT63"/>
        <s v="res-JNJGGP0G"/>
        <s v="res-Q845DRSP"/>
        <s v="res-VWLOQR77"/>
        <s v="res-DVVN7T9Q"/>
        <s v="res-2YXBZC6D"/>
        <s v="res-0N5NMWZL"/>
        <s v="res-YGMO3Z8T"/>
        <s v="res-8RTLG18B"/>
        <s v="res-G02OJ5GU"/>
        <s v="res-0OBWMFY3"/>
        <s v="res-O6D0SC42"/>
        <s v="res-7G8BZR6E"/>
        <s v="res-AGO278CW"/>
        <s v="res-Q4HVSTFI"/>
        <s v="res-LDUWFQNE"/>
        <s v="res-C9KNE491"/>
        <s v="res-XQMIIKI9"/>
        <s v="res-60OEWXWF"/>
        <s v="res-DUKFU5I4"/>
        <s v="res-G1ZCLA7N"/>
        <s v="res-XNWD3FA7"/>
        <s v="res-CKK4HJG9"/>
        <s v="res-D58ANTC0"/>
        <s v="res-W1QVUAUY"/>
        <s v="res-YECWTX82"/>
        <s v="res-5ON05WRC"/>
        <s v="res-JEOTOEFV"/>
        <s v="res-B9MWAZE5"/>
        <s v="res-5O2320IK"/>
        <s v="res-2J6KURCC"/>
        <s v="res-2E4RS9BK"/>
        <s v="res-2B6KCTWB"/>
        <s v="res-AKIHTJ34"/>
        <s v="res-DV9JRPGE"/>
        <s v="res-366EBDKF"/>
        <s v="res-RILN0892"/>
        <s v="res-UGI64PSX"/>
        <s v="res-L7CEPN9U"/>
        <s v="res-X1LNU5KK"/>
        <s v="res-IUHELOPE"/>
        <s v="res-1J9NB1YD"/>
        <s v="res-J4Q4WQCN"/>
        <s v="res-L8NU3JXW"/>
        <s v="res-9ZHF4QCE"/>
        <s v="res-C7Q1K5Q8"/>
        <s v="res-EVJ09YOW"/>
        <s v="res-DCKJEF1X"/>
        <s v="res-4NZZD9YJ"/>
        <s v="res-E84XFGZ8"/>
        <s v="res-I66UDVD3"/>
        <s v="res-DYPURO0P"/>
        <s v="res-N1Q1Z73E"/>
        <s v="res-LWK6DJPU"/>
        <m/>
      </sharedItems>
    </cacheField>
    <cacheField name="Service Name" numFmtId="0">
      <sharedItems containsBlank="1">
        <s v="Cloud Dataproc"/>
        <s v="Pub/Sub"/>
        <s v="BigQuery"/>
        <s v="Cloud Endpoints"/>
        <s v="Cloud Spanner"/>
        <s v="Cloud Run"/>
        <s v="Cloud CDN"/>
        <s v="Cloud VPN"/>
        <s v="Firestore"/>
        <s v="Compute Engine"/>
        <s v="AI Platform"/>
        <s v="Cloud Interconnect"/>
        <s v="Cloud Build"/>
        <s v="Cloud Armor"/>
        <s v="Cloud Load Balancing"/>
        <s v="Dataflow"/>
        <s v="Cloud VPC"/>
        <s v="Cloud NAT"/>
        <s v="Kubernetes Engine"/>
        <s v="Cloud Functions"/>
        <s v="Cloud SQL"/>
        <s v="Cloud Memorystore"/>
        <s v="Container Registry"/>
        <s v="Cloud Storage"/>
        <s v="Cloud Data Fusion"/>
        <m/>
      </sharedItems>
    </cacheField>
    <cacheField name="Usage Quantity" numFmtId="0">
      <sharedItems containsString="0" containsBlank="1" containsNumber="1">
        <n v="954.9843"/>
        <n v="479.6348"/>
        <n v="114.4129"/>
        <n v="413.193"/>
        <n v="335.9892"/>
        <n v="50.8"/>
        <n v="333.6126"/>
        <n v="49.5833"/>
        <n v="384.7979"/>
        <n v="533.6245"/>
        <n v="78.7"/>
        <n v="86.6333"/>
        <n v="290.0492"/>
        <n v="96.9514"/>
        <n v="657.3878"/>
        <n v="98.3833"/>
        <n v="713.5354"/>
        <n v="609.9901"/>
        <n v="61.3889"/>
        <n v="194.6074"/>
        <n v="590.1037"/>
        <n v="152.1866"/>
        <n v="90.7333"/>
        <n v="389.9843"/>
        <n v="389.6408"/>
        <n v="902.3603"/>
        <n v="355.828"/>
        <n v="477.7508"/>
        <n v="31.5518"/>
        <n v="24.5167"/>
        <n v="85.0167"/>
        <n v="832.1664"/>
        <n v="298.0653"/>
        <n v="868.8778"/>
        <n v="306.7861"/>
        <n v="31.9333"/>
        <n v="715.0198"/>
        <n v="749.8858"/>
        <n v="110.3167"/>
        <n v="55.5667"/>
        <n v="37.85"/>
        <n v="25.1167"/>
        <n v="222.3365"/>
        <n v="565.1884"/>
        <n v="668.343"/>
        <n v="502.7493"/>
        <n v="144.2559"/>
        <n v="67.2368"/>
        <n v="992.0661"/>
        <n v="992.7546"/>
        <n v="760.0749"/>
        <n v="657.0231"/>
        <n v="32.4667"/>
        <n v="65.3167"/>
        <n v="90.6"/>
        <n v="742.5462"/>
        <n v="961.1396"/>
        <n v="227.7202"/>
        <n v="960.8627"/>
        <n v="339.41"/>
        <n v="132.8637"/>
        <n v="102.9044"/>
        <n v="271.0462"/>
        <n v="940.1312"/>
        <n v="789.3788"/>
        <n v="64.1167"/>
        <n v="804.4451"/>
        <n v="16.8701"/>
        <n v="86.0206"/>
        <n v="107.9329"/>
        <n v="410.0347"/>
        <n v="58.0667"/>
        <n v="868.3373"/>
        <n v="103.5667"/>
        <n v="511.4297"/>
        <n v="536.385"/>
        <n v="50.7833"/>
        <n v="755.6246"/>
        <n v="500.0325"/>
        <n v="647.2573"/>
        <n v="325.0195"/>
        <n v="876.9623"/>
        <n v="324.1135"/>
        <n v="269.1385"/>
        <n v="955.6515"/>
        <n v="251.7631"/>
        <n v="474.1196"/>
        <n v="992.5085"/>
        <n v="531.6863"/>
        <n v="26.6167"/>
        <n v="555.9826"/>
        <n v="335.4807"/>
        <n v="906.43"/>
        <n v="385.5739"/>
        <n v="127.3833"/>
        <n v="587.1242"/>
        <n v="385.5698"/>
        <n v="85.8"/>
        <n v="135.0333"/>
        <n v="597.679"/>
        <n v="359.8386"/>
        <n v="419.7798"/>
        <n v="491.2257"/>
        <n v="91.8667"/>
        <n v="450.6231"/>
        <n v="531.0639"/>
        <n v="478.0201"/>
        <n v="129.2667"/>
        <n v="527.3959"/>
        <n v="868.9443"/>
        <n v="74.9833"/>
        <n v="152.2884"/>
        <n v="323.1606"/>
        <n v="130.15"/>
        <n v="376.4622"/>
        <n v="824.8213"/>
        <n v="54.4"/>
        <n v="96.0667"/>
        <n v="272.1443"/>
        <n v="467.4799"/>
        <n v="473.736"/>
        <n v="229.216"/>
        <n v="737.7243"/>
        <n v="480.9411"/>
        <n v="188.1078"/>
        <n v="131.4516"/>
        <n v="334.1195"/>
        <n v="934.7773"/>
        <n v="132.65"/>
        <n v="955.8838"/>
        <n v="84.4333"/>
        <n v="945.9349"/>
        <n v="78.7333"/>
        <n v="747.5286"/>
        <n v="597.1564"/>
        <n v="458.406"/>
        <n v="624.6729"/>
        <n v="748.3421"/>
        <n v="11.5256"/>
        <n v="289.7888"/>
        <n v="957.1176"/>
        <n v="130.2"/>
        <n v="193.7868"/>
        <n v="165.5867"/>
        <n v="32.85"/>
        <n v="98.6"/>
        <n v="513.8208"/>
        <n v="151.9106"/>
        <n v="33.5644"/>
        <n v="81.9667"/>
        <n v="91.2833"/>
        <n v="285.4157"/>
        <n v="920.1814"/>
        <n v="172.8983"/>
        <n v="797.1267"/>
        <n v="969.2377"/>
        <n v="41.0"/>
        <n v="29.4333"/>
        <n v="527.2681"/>
        <n v="479.0396"/>
        <n v="380.5532"/>
        <n v="85.9833"/>
        <n v="229.8575"/>
        <n v="40.5167"/>
        <n v="83.7833"/>
        <n v="951.3968"/>
        <n v="70.2611"/>
        <n v="238.7864"/>
        <n v="922.9486"/>
        <n v="725.2437"/>
        <n v="105.8667"/>
        <n v="104.3167"/>
        <n v="93.7206"/>
        <n v="856.1696"/>
        <n v="698.9762"/>
        <n v="30.4465"/>
        <n v="71.3667"/>
        <n v="699.0504"/>
        <n v="511.0128"/>
        <n v="169.8362"/>
        <n v="77.6"/>
        <n v="142.6833"/>
        <n v="110.75"/>
        <n v="116.6333"/>
        <n v="401.5322"/>
        <n v="845.8993"/>
        <n v="257.9384"/>
        <n v="233.7572"/>
        <n v="58.6417"/>
        <n v="843.6341"/>
        <n v="18.7376"/>
        <n v="42.3"/>
        <n v="22.134"/>
        <n v="586.1986"/>
        <n v="296.0929"/>
        <n v="233.0245"/>
        <n v="365.1951"/>
        <n v="743.4157"/>
        <n v="338.8579"/>
        <n v="118.4167"/>
        <n v="61.0941"/>
        <n v="698.7765"/>
        <n v="328.5871"/>
        <n v="478.2343"/>
        <n v="92.4167"/>
        <n v="679.2041"/>
        <n v="280.1796"/>
        <n v="416.5054"/>
        <n v="810.033"/>
        <n v="115.0667"/>
        <n v="991.6019"/>
        <n v="41.45"/>
        <n v="613.0738"/>
        <n v="195.6873"/>
        <n v="994.9911"/>
        <n v="110.5"/>
        <n v="93.0837"/>
        <n v="77.9"/>
        <n v="702.8504"/>
        <n v="882.3972"/>
        <n v="95.6382"/>
        <n v="494.502"/>
        <n v="922.602"/>
        <n v="250.9953"/>
        <n v="289.8287"/>
        <n v="265.6305"/>
        <n v="135.35"/>
        <n v="799.878"/>
        <n v="137.0785"/>
        <n v="130.9667"/>
        <n v="60.418"/>
        <n v="571.2061"/>
        <n v="62.0833"/>
        <n v="453.6261"/>
        <n v="274.034"/>
        <n v="676.4654"/>
        <n v="547.5155"/>
        <n v="401.4413"/>
        <n v="427.4798"/>
        <n v="615.3185"/>
        <n v="923.9322"/>
        <n v="523.1705"/>
        <n v="38.4"/>
        <n v="577.191"/>
        <n v="320.712"/>
        <n v="25.9515"/>
        <n v="216.1408"/>
        <n v="405.8485"/>
        <n v="82.8667"/>
        <n v="108.1187"/>
        <n v="371.4837"/>
        <n v="940.2852"/>
        <n v="134.4698"/>
        <n v="267.6789"/>
        <n v="138.2667"/>
        <n v="112.55"/>
        <n v="381.5112"/>
        <n v="896.8482"/>
        <n v="45.4336"/>
        <n v="483.5996"/>
        <n v="833.4644"/>
        <n v="336.8194"/>
        <n v="645.5661"/>
        <n v="184.1868"/>
        <n v="118.8667"/>
        <n v="466.6962"/>
        <n v="129.45"/>
        <n v="479.1793"/>
        <n v="982.2498"/>
        <n v="194.8714"/>
        <n v="995.4"/>
        <n v="83.0"/>
        <n v="616.4254"/>
        <n v="136.75"/>
        <n v="45.1096"/>
        <n v="948.5312"/>
        <n v="457.1743"/>
        <n v="40.4833"/>
        <n v="89.5833"/>
        <n v="203.1992"/>
        <n v="407.7949"/>
        <n v="210.4333"/>
        <n v="687.6223"/>
        <n v="479.8823"/>
        <n v="109.9833"/>
        <n v="277.6608"/>
        <n v="941.414"/>
        <n v="381.8599"/>
        <n v="747.7278"/>
        <n v="515.3703"/>
        <n v="71.4"/>
        <n v="177.7278"/>
        <n v="70.9"/>
        <n v="417.5436"/>
        <n v="64.1684"/>
        <n v="119.3159"/>
        <n v="62.4667"/>
        <n v="60.7"/>
        <n v="331.7406"/>
        <n v="125.55"/>
        <n v="163.075"/>
        <n v="724.7898"/>
        <n v="589.1842"/>
        <n v="295.4871"/>
        <n v="93.4167"/>
        <n v="46.3667"/>
        <n v="406.9697"/>
        <n v="778.2469"/>
        <n v="118.1"/>
        <n v="86.9833"/>
        <n v="406.7662"/>
        <n v="675.0447"/>
        <n v="152.5828"/>
        <n v="250.3807"/>
        <n v="376.8075"/>
        <n v="881.6954"/>
        <n v="468.1951"/>
        <n v="113.9094"/>
        <n v="23.909"/>
        <n v="79.1905"/>
        <n v="366.9656"/>
        <n v="117.0833"/>
        <n v="105.0167"/>
        <n v="636.7192"/>
        <n v="753.0083"/>
        <n v="460.4479"/>
        <n v="103.3"/>
        <n v="618.0578"/>
        <n v="788.1574"/>
        <n v="217.147"/>
        <n v="116.3833"/>
        <n v="34.35"/>
        <n v="375.6492"/>
        <n v="73.45"/>
        <n v="53.5267"/>
        <n v="64.4"/>
        <n v="335.9038"/>
        <n v="290.508"/>
        <n v="998.0055"/>
        <n v="129.6833"/>
        <n v="352.7508"/>
        <n v="564.102"/>
        <n v="898.8626"/>
        <n v="142.35"/>
        <n v="72.1167"/>
        <n v="342.8746"/>
        <n v="104.4167"/>
        <n v="98.75"/>
        <n v="29.9333"/>
        <n v="247.0655"/>
        <n v="529.6849"/>
        <n v="45.7667"/>
        <n v="123.1474"/>
        <n v="415.0475"/>
        <n v="562.1492"/>
        <n v="411.0275"/>
        <n v="137.2256"/>
        <n v="28.625"/>
        <n v="410.1007"/>
        <n v="930.9815"/>
        <n v="25.5167"/>
        <n v="707.5327"/>
        <n v="87.4167"/>
        <n v="116.0833"/>
        <n v="131.05"/>
        <n v="42.4428"/>
        <n v="577.1848"/>
        <n v="107.8333"/>
        <n v="353.0524"/>
        <n v="515.6089"/>
        <n v="975.6498"/>
        <n v="806.53"/>
        <n v="31.3667"/>
        <n v="56.7674"/>
        <n v="485.5364"/>
        <n v="50.2833"/>
        <n v="887.9699"/>
        <n v="109.15"/>
        <n v="625.8686"/>
        <n v="46.1"/>
        <n v="496.2727"/>
        <n v="299.7279"/>
        <n v="117.8769"/>
        <n v="64.3167"/>
        <n v="109.713"/>
        <n v="546.5469"/>
        <n v="584.1002"/>
        <n v="510.6689"/>
        <n v="32.8167"/>
        <n v="301.1685"/>
        <n v="744.5"/>
        <n v="931.8438"/>
        <n v="769.3033"/>
        <n v="105.55"/>
        <n v="754.5171"/>
        <n v="948.2171"/>
        <n v="446.4162"/>
        <n v="394.3393"/>
        <n v="32.35"/>
        <n v="163.497"/>
        <n v="570.1344"/>
        <n v="548.395"/>
        <n v="793.0592"/>
        <n v="975.0557"/>
        <n v="709.8165"/>
        <n v="867.3309"/>
        <n v="528.3413"/>
        <n v="639.0835"/>
        <n v="645.113"/>
        <n v="40.7426"/>
        <n v="126.35"/>
        <n v="99.439"/>
        <n v="920.6326"/>
        <n v="101.9333"/>
        <n v="717.5885"/>
        <n v="120.0333"/>
        <n v="395.5674"/>
        <n v="587.3453"/>
        <n v="324.2647"/>
        <n v="614.073"/>
        <n v="807.3648"/>
        <n v="16.8857"/>
        <n v="407.0216"/>
        <n v="953.947"/>
        <n v="765.118"/>
        <n v="67.65"/>
        <n v="112.4167"/>
        <n v="134.2333"/>
        <n v="26.9667"/>
        <n v="92.7"/>
        <n v="527.927"/>
        <n v="661.2917"/>
        <n v="553.5392"/>
        <n v="103.15"/>
        <n v="175.9606"/>
        <n v="765.7001"/>
        <n v="526.0473"/>
        <n v="749.8458"/>
        <n v="109.8833"/>
        <n v="450.7195"/>
        <n v="132.7167"/>
        <n v="906.4412"/>
        <n v="138.45"/>
        <n v="994.506"/>
        <n v="79.2424"/>
        <n v="569.517"/>
        <n v="364.2323"/>
        <n v="273.6464"/>
        <n v="845.0349"/>
        <n v="369.9806"/>
        <n v="805.6513"/>
        <n v="128.9667"/>
        <n v="840.7866"/>
        <n v="524.3262"/>
        <n v="146.3289"/>
        <n v="979.532"/>
        <n v="313.9518"/>
        <n v="132.6833"/>
        <n v="143.7667"/>
        <n v="114.5333"/>
        <n v="91.8437"/>
        <n v="283.4613"/>
        <n v="156.8948"/>
        <n v="124.3833"/>
        <n v="337.8574"/>
        <n v="92.6792"/>
        <n v="466.4178"/>
        <n v="263.0482"/>
        <n v="650.7964"/>
        <n v="101.65"/>
        <n v="887.5022"/>
        <n v="496.9294"/>
        <n v="92.5512"/>
        <n v="346.6752"/>
        <n v="562.4955"/>
        <n v="922.2978"/>
        <n v="248.0948"/>
        <n v="169.6846"/>
        <n v="879.1095"/>
        <n v="435.086"/>
        <n v="32.4517"/>
        <n v="345.169"/>
        <n v="435.3222"/>
        <n v="46.4"/>
        <n v="588.0864"/>
        <n v="551.7888"/>
        <n v="122.3167"/>
        <n v="461.6625"/>
        <n v="360.35"/>
        <n v="174.6175"/>
        <n v="386.65"/>
        <n v="26.8333"/>
        <n v="684.6191"/>
        <n v="193.0226"/>
        <n v="107.6333"/>
        <n v="386.6959"/>
        <n v="490.5874"/>
        <n v="107.3667"/>
        <n v="820.0826"/>
        <n v="215.9883"/>
        <n v="255.9859"/>
        <n v="125.4"/>
        <n v="46.5333"/>
        <n v="35.0333"/>
        <n v="57.958"/>
        <n v="419.7062"/>
        <n v="426.0389"/>
        <n v="265.7357"/>
        <n v="988.0913"/>
        <n v="806.0261"/>
        <n v="788.8919"/>
        <n v="406.0277"/>
        <n v="86.45"/>
        <n v="271.4415"/>
        <n v="360.2906"/>
        <n v="344.5259"/>
        <n v="55.7104"/>
        <n v="785.0175"/>
        <n v="776.0638"/>
        <n v="609.1028"/>
        <n v="576.0473"/>
        <n v="190.5469"/>
        <n v="801.5769"/>
        <n v="160.4866"/>
        <n v="948.4506"/>
        <n v="61.5833"/>
        <n v="957.9646"/>
        <n v="964.4348"/>
        <n v="132.0667"/>
        <n v="997.4543"/>
        <n v="98.5522"/>
        <n v="755.9279"/>
        <n v="388.3619"/>
        <n v="568.3773"/>
        <n v="446.7635"/>
        <n v="137.0667"/>
        <n v="102.3167"/>
        <n v="164.0299"/>
        <n v="574.5176"/>
        <n v="60.7833"/>
        <n v="315.848"/>
        <n v="851.9663"/>
        <n v="102.4153"/>
        <n v="530.5378"/>
        <n v="439.1355"/>
        <n v="139.8127"/>
        <n v="33.9333"/>
        <n v="983.2136"/>
        <n v="68.5167"/>
        <n v="668.9061"/>
        <n v="70.9833"/>
        <n v="399.8697"/>
        <n v="661.8909"/>
        <n v="133.9256"/>
        <n v="104.7603"/>
        <n v="952.6501"/>
        <n v="47.7975"/>
        <n v="244.9716"/>
        <n v="908.6697"/>
        <n v="81.0727"/>
        <n v="24.2667"/>
        <n v="184.2222"/>
        <n v="978.7496"/>
        <n v="962.1663"/>
        <n v="28.6667"/>
        <n v="311.0466"/>
        <n v="30.9371"/>
        <n v="80.4"/>
        <n v="734.7722"/>
        <n v="366.9998"/>
        <n v="832.7303"/>
        <n v="350.6873"/>
        <n v="575.093"/>
        <n v="195.4914"/>
        <n v="555.4361"/>
        <n v="779.8708"/>
        <n v="344.424"/>
        <n v="457.5282"/>
        <n v="96.3442"/>
        <n v="95.1226"/>
        <n v="906.1268"/>
        <n v="663.1473"/>
        <n v="929.1694"/>
        <n v="685.0582"/>
        <n v="779.1763"/>
        <n v="83.4333"/>
        <n v="90.0833"/>
        <n v="120.5022"/>
        <n v="802.3156"/>
        <n v="139.5333"/>
        <n v="470.2063"/>
        <n v="31.2833"/>
        <n v="214.9452"/>
        <n v="958.0251"/>
        <n v="56.0054"/>
        <n v="58.8167"/>
        <n v="388.8883"/>
        <n v="278.6818"/>
        <n v="107.7011"/>
        <n v="472.5108"/>
        <n v="34.2833"/>
        <n v="199.0047"/>
        <n v="74.4667"/>
        <n v="30.7"/>
        <n v="402.1611"/>
        <n v="70.0"/>
        <n v="109.6333"/>
        <n v="740.4587"/>
        <n v="422.7299"/>
        <n v="758.306"/>
        <n v="768.0133"/>
        <n v="933.6444"/>
        <n v="579.897"/>
        <n v="75.9818"/>
        <n v="364.5037"/>
        <n v="82.9"/>
        <n v="357.5289"/>
        <n v="61.4833"/>
        <n v="132.5833"/>
        <n v="931.6294"/>
        <n v="103.9167"/>
        <n v="142.5774"/>
        <n v="395.8666"/>
        <n v="691.7493"/>
        <n v="31.4"/>
        <n v="94.6982"/>
        <n v="323.6305"/>
        <n v="773.7328"/>
        <n v="654.2975"/>
        <n v="353.1097"/>
        <n v="733.4302"/>
        <n v="440.8594"/>
        <n v="829.9321"/>
        <n v="987.5483"/>
        <n v="110.8"/>
        <n v="96.1333"/>
        <n v="970.2519"/>
        <n v="205.2521"/>
        <n v="670.2735"/>
        <n v="851.117"/>
        <n v="424.6237"/>
        <n v="839.2951"/>
        <n v="390.8588"/>
        <n v="972.7981"/>
        <n v="94.5509"/>
        <n v="421.893"/>
        <n v="45.2833"/>
        <n v="194.5629"/>
        <n v="296.3158"/>
        <n v="664.4434"/>
        <n v="978.5674"/>
        <n v="99.95"/>
        <n v="553.1158"/>
        <n v="977.6097"/>
        <n v="92.6833"/>
        <n v="135.65"/>
        <n v="113.9667"/>
        <n v="125.2833"/>
        <n v="360.9702"/>
        <n v="480.5511"/>
        <n v="220.6895"/>
        <n v="499.9709"/>
        <n v="402.6602"/>
        <n v="230.4643"/>
        <n v="607.4707"/>
        <n v="46.6333"/>
        <n v="38.2167"/>
        <n v="506.0399"/>
        <n v="532.48"/>
        <n v="663.0369"/>
        <n v="137.6362"/>
        <n v="345.3023"/>
        <n v="825.0126"/>
        <n v="515.2714"/>
        <n v="645.6266"/>
        <n v="153.5011"/>
        <n v="776.2761"/>
        <n v="722.3221"/>
        <n v="335.0037"/>
        <n v="68.5667"/>
        <n v="143.45"/>
        <n v="64.4925"/>
        <n v="488.8016"/>
        <n v="165.4426"/>
        <n v="55.9333"/>
        <n v="70.2667"/>
        <n v="707.5356"/>
        <n v="837.1211"/>
        <n v="100.2167"/>
        <n v="133.9833"/>
        <n v="90.0333"/>
        <n v="967.6514"/>
        <n v="258.9203"/>
        <n v="486.0461"/>
        <n v="101.0333"/>
        <n v="739.8663"/>
        <n v="67.9333"/>
        <n v="14.7407"/>
        <n v="678.9377"/>
        <n v="16.014"/>
        <n v="640.3689"/>
        <n v="67.6167"/>
        <n v="537.9744"/>
        <n v="429.39"/>
        <n v="113.7167"/>
        <n v="68.3914"/>
        <n v="863.095"/>
        <n v="942.5422"/>
        <n v="593.7"/>
        <n v="131.4333"/>
        <n v="69.4"/>
        <n v="101.5"/>
        <n v="67.75"/>
        <n v="107.2042"/>
        <n v="644.9753"/>
        <n v="128.65"/>
        <n v="270.5498"/>
        <n v="849.6378"/>
        <n v="716.3448"/>
        <n v="244.6044"/>
        <n v="766.1013"/>
        <n v="605.434"/>
        <n v="314.7352"/>
        <n v="487.5577"/>
        <n v="594.3292"/>
        <n v="383.5646"/>
        <n v="105.5833"/>
        <n v="477.7968"/>
        <n v="479.4566"/>
        <n v="44.9267"/>
        <n v="766.1311"/>
        <n v="470.6748"/>
        <n v="745.3387"/>
        <n v="377.7123"/>
        <n v="122.5333"/>
        <n v="864.4102"/>
        <n v="51.5167"/>
        <n v="304.946"/>
        <n v="996.0188"/>
        <n v="556.7204"/>
        <n v="496.1508"/>
        <n v="10.5402"/>
        <n v="807.1147"/>
        <n v="421.5073"/>
        <n v="850.1416"/>
        <n v="169.1456"/>
        <n v="47.05"/>
        <n v="365.9219"/>
        <n v="249.2844"/>
        <n v="797.4945"/>
        <n v="226.5132"/>
        <n v="87.8738"/>
        <n v="143.3"/>
        <n v="25.5"/>
        <n v="80.2667"/>
        <n v="417.9798"/>
        <n v="438.1467"/>
        <n v="568.0884"/>
        <n v="139.5167"/>
        <n v="904.0008"/>
        <n v="805.2556"/>
        <n v="428.4611"/>
        <n v="812.9251"/>
        <n v="780.5168"/>
        <n v="652.3815"/>
        <n v="38.2833"/>
        <n v="509.2785"/>
        <n v="140.6604"/>
        <n v="28.6167"/>
        <n v="50.3167"/>
        <n v="305.5855"/>
        <n v="676.7908"/>
        <n v="495.8071"/>
        <n v="510.126"/>
        <n v="195.2324"/>
        <n v="20.3487"/>
        <n v="135.5667"/>
        <n v="42.6833"/>
        <n v="402.5675"/>
        <n v="493.3255"/>
        <n v="112.4333"/>
        <n v="685.6808"/>
        <n v="11.9494"/>
        <n v="763.7549"/>
        <n v="217.4256"/>
        <n v="833.7372"/>
        <n v="56.2214"/>
        <n v="910.6406"/>
        <n v="566.6421"/>
        <n v="809.6094"/>
        <n v="453.4353"/>
        <n v="328.3641"/>
        <n v="659.5464"/>
        <n v="793.7649"/>
        <n v="194.0681"/>
        <n v="630.455"/>
        <n v="340.1787"/>
        <n v="517.1946"/>
        <n v="665.624"/>
        <n v="432.7213"/>
        <n v="25.3189"/>
        <n v="776.2808"/>
        <n v="90.9833"/>
        <n v="357.5233"/>
        <n v="601.8144"/>
        <n v="153.8323"/>
        <n v="46.6833"/>
        <n v="33.5167"/>
        <n v="754.9827"/>
        <n v="132.15"/>
        <n v="57.15"/>
        <n v="388.7474"/>
        <n v="32.3167"/>
        <n v="704.9892"/>
        <n v="96.5333"/>
        <n v="224.6634"/>
        <n v="549.3916"/>
        <n v="791.6701"/>
        <n v="113.35"/>
        <n v="341.9698"/>
        <n v="209.4004"/>
        <n v="587.6768"/>
        <n v="517.2012"/>
        <n v="302.3678"/>
        <n v="727.624"/>
        <n v="58.8667"/>
        <n v="396.9256"/>
        <n v="64.0"/>
        <n v="969.402"/>
        <n v="43.2167"/>
        <n v="429.6128"/>
        <n v="553.815"/>
        <n v="129.8672"/>
        <n v="883.9655"/>
        <n v="650.1731"/>
        <n v="113.8"/>
        <n v="825.9177"/>
        <n v="302.0"/>
        <n v="369.457"/>
        <n v="988.4076"/>
        <n v="635.6509"/>
        <n v="575.5324"/>
        <n v="145.9373"/>
        <n v="70.8167"/>
        <n v="147.5414"/>
        <n v="82.8167"/>
        <n v="411.7334"/>
        <n v="57.3667"/>
        <n v="416.7408"/>
        <n v="109.3975"/>
        <n v="116.0494"/>
        <n v="742.8148"/>
        <n v="375.4176"/>
        <n v="31.2755"/>
        <n v="35.4333"/>
        <n v="777.8178"/>
        <n v="216.1677"/>
        <n v="967.0035"/>
        <n v="614.1449"/>
        <n v="700.1031"/>
        <n v="749.4753"/>
        <n v="647.1712"/>
        <n v="609.1025"/>
        <n v="804.0664"/>
        <n v="187.2887"/>
        <n v="377.6054"/>
        <n v="67.7333"/>
        <n v="73.95"/>
        <n v="568.7916"/>
        <n v="36.25"/>
        <n v="288.1675"/>
        <n v="48.75"/>
        <n v="123.5333"/>
        <n v="603.5435"/>
        <n v="673.8625"/>
        <n v="142.6776"/>
        <n v="30.7914"/>
        <n v="61.75"/>
        <n v="98.7196"/>
        <n v="598.3014"/>
        <n v="305.88"/>
        <n v="32.7667"/>
        <n v="275.9775"/>
        <n v="601.8522"/>
        <n v="93.35"/>
        <n v="746.6981"/>
        <n v="843.7141"/>
        <n v="778.0122"/>
        <n v="742.733"/>
        <n v="101.3667"/>
        <n v="206.065"/>
        <n v="40.9833"/>
        <n v="135.875"/>
        <n v="475.9021"/>
        <n v="366.7652"/>
        <n v="78.1574"/>
        <n v="584.6599"/>
        <n v="769.1603"/>
        <n v="950.8256"/>
        <n v="188.1814"/>
        <n v="133.2167"/>
        <n v="580.6282"/>
        <n v="609.7804"/>
        <n v="446.8464"/>
        <n v="821.4108"/>
        <n v="48.8667"/>
        <n v="65.75"/>
        <n v="710.9828"/>
        <n v="351.7877"/>
        <n v="107.1353"/>
        <n v="856.7478"/>
        <n v="194.1528"/>
        <n v="337.1101"/>
        <n v="364.1758"/>
        <n v="850.293"/>
        <n v="358.3231"/>
        <n v="70.9167"/>
        <n v="359.6147"/>
        <n v="65.8491"/>
        <n v="111.4167"/>
        <n v="77.1615"/>
        <n v="296.8281"/>
        <n v="809.9885"/>
        <n v="175.2578"/>
        <n v="229.21"/>
        <n v="110.6333"/>
        <n v="32.3667"/>
        <n v="202.9644"/>
        <n v="403.475"/>
        <n v="658.4138"/>
        <n v="687.2747"/>
        <n v="141.724"/>
        <n v="806.7405"/>
        <n v="420.3552"/>
        <n v="953.3639"/>
        <n v="203.471"/>
        <n v="178.9791"/>
        <n v="28.7833"/>
        <n v="37.6833"/>
        <n v="82.5667"/>
        <n v="76.6833"/>
        <n v="128.8"/>
        <n v="414.6583"/>
        <n v="630.7125"/>
        <n v="49.8981"/>
        <n v="116.4333"/>
        <n v="502.9505"/>
        <n v="530.888"/>
        <n v="47.15"/>
        <n v="966.1292"/>
        <n v="116.2833"/>
        <n v="65.2833"/>
        <n v="39.0333"/>
        <n v="125.9564"/>
        <n v="277.8297"/>
        <n v="367.5864"/>
        <n v="615.9233"/>
        <n v="127.7333"/>
        <n v="759.7956"/>
        <n v="340.3693"/>
        <n v="28.6273"/>
        <n v="556.4179"/>
        <n v="108.4167"/>
        <n v="40.2558"/>
        <n v="432.8095"/>
        <n v="218.0232"/>
        <n v="93.2833"/>
        <n v="181.0234"/>
        <n v="142.4"/>
        <n v="359.37"/>
        <n v="117.2097"/>
        <n v="757.7714"/>
        <n v="929.0325"/>
        <n v="887.4779"/>
        <n v="845.9607"/>
        <n v="52.7167"/>
        <n v="44.3384"/>
        <n v="28.3886"/>
        <n v="974.8384"/>
        <n v="565.7255"/>
        <n v="521.4659"/>
        <n v="34.5167"/>
        <n v="112.6667"/>
        <n v="996.4919"/>
        <n v="102.4"/>
        <n v="68.4167"/>
        <n v="336.6242"/>
        <n v="561.7267"/>
        <n v="25.7631"/>
        <n v="389.7455"/>
        <n v="942.0782"/>
        <n v="217.5637"/>
        <n v="20.2608"/>
        <n v="105.2667"/>
        <n v="691.4302"/>
        <n v="195.0857"/>
        <n v="646.5474"/>
        <n v="98.0667"/>
        <m/>
      </sharedItems>
    </cacheField>
    <cacheField name="Usage Unit" numFmtId="0">
      <sharedItems containsBlank="1">
        <s v="Requests"/>
        <s v="GB"/>
        <s v="Hours"/>
        <m/>
      </sharedItems>
    </cacheField>
    <cacheField name="Region/Zone" numFmtId="0">
      <sharedItems containsBlank="1">
        <s v="europe-north1"/>
        <s v="europe-west1"/>
        <s v="southamerica-east1"/>
        <s v="us-central1"/>
        <s v="asia-southeast1"/>
        <s v="northamerica-northeast1"/>
        <s v="australia-southeast1"/>
        <s v="asia-east1"/>
        <s v="us-east1"/>
        <s v="europe-west3"/>
        <s v="us-west1"/>
        <s v="asia-northeast1"/>
        <m/>
      </sharedItems>
    </cacheField>
    <cacheField name="CPU Utilization (%)" numFmtId="0">
      <sharedItems containsString="0" containsBlank="1" containsNumber="1">
        <n v="92.72"/>
        <n v="37.78"/>
        <n v="82.54"/>
        <n v="86.68"/>
        <n v="82.95"/>
        <n v="32.36"/>
        <n v="12.21"/>
        <n v="59.18"/>
        <n v="36.67"/>
        <n v="96.4"/>
        <n v="68.28"/>
        <n v="12.91"/>
        <n v="53.93"/>
        <n v="73.72"/>
        <n v="43.57"/>
        <n v="47.61"/>
        <n v="93.56"/>
        <n v="98.66"/>
        <n v="20.25"/>
        <n v="71.48"/>
        <n v="55.53"/>
        <n v="78.9"/>
        <n v="22.41"/>
        <n v="97.47"/>
        <n v="65.57"/>
        <n v="27.7"/>
        <n v="89.39"/>
        <n v="63.32"/>
        <n v="62.15"/>
        <n v="63.68"/>
        <n v="67.5"/>
        <n v="23.65"/>
        <n v="66.82"/>
        <n v="72.08"/>
        <n v="19.59"/>
        <n v="5.7"/>
        <n v="44.97"/>
        <n v="84.06"/>
        <n v="49.67"/>
        <n v="4.03"/>
        <n v="30.13"/>
        <n v="31.07"/>
        <n v="45.3"/>
        <n v="5.46"/>
        <n v="57.12"/>
        <n v="62.01"/>
        <n v="99.71"/>
        <n v="95.28"/>
        <n v="59.72"/>
        <n v="7.86"/>
        <n v="98.05"/>
        <n v="30.7"/>
        <n v="19.26"/>
        <n v="68.32"/>
        <n v="76.61"/>
        <n v="29.67"/>
        <n v="55.96"/>
        <n v="54.59"/>
        <n v="15.27"/>
        <n v="88.22"/>
        <n v="68.3"/>
        <n v="91.67"/>
        <n v="74.75"/>
        <n v="67.13"/>
        <n v="32.32"/>
        <n v="46.3"/>
        <n v="99.56"/>
        <n v="35.67"/>
        <n v="0.17"/>
        <n v="97.14"/>
        <n v="24.22"/>
        <n v="21.65"/>
        <n v="48.26"/>
        <n v="64.54"/>
        <n v="14.87"/>
        <n v="58.59"/>
        <n v="62.22"/>
        <n v="40.49"/>
        <n v="8.38"/>
        <n v="83.58"/>
        <n v="7.74"/>
        <n v="69.75"/>
        <n v="53.21"/>
        <n v="0.15"/>
        <n v="17.81"/>
        <n v="48.02"/>
        <n v="99.31"/>
        <n v="43.51"/>
        <n v="14.82"/>
        <n v="2.24"/>
        <n v="74.51"/>
        <n v="97.03"/>
        <n v="69.4"/>
        <n v="9.36"/>
        <n v="24.73"/>
        <n v="92.06"/>
        <n v="56.82"/>
        <n v="88.6"/>
        <n v="35.52"/>
        <n v="95.36"/>
        <n v="32.05"/>
        <n v="43.21"/>
        <n v="32.28"/>
        <n v="60.91"/>
        <n v="75.38"/>
        <n v="45.44"/>
        <n v="48.49"/>
        <n v="53.57"/>
        <n v="7.93"/>
        <n v="59.0"/>
        <n v="97.7"/>
        <n v="3.71"/>
        <n v="95.19"/>
        <n v="13.08"/>
        <n v="87.46"/>
        <n v="20.38"/>
        <n v="61.98"/>
        <n v="78.11"/>
        <n v="46.41"/>
        <n v="1.34"/>
        <n v="82.75"/>
        <n v="84.02"/>
        <n v="77.93"/>
        <n v="56.02"/>
        <n v="29.46"/>
        <n v="89.13"/>
        <n v="60.89"/>
        <n v="76.25"/>
        <n v="73.05"/>
        <n v="16.18"/>
        <n v="2.21"/>
        <n v="28.89"/>
        <n v="99.27"/>
        <n v="59.22"/>
        <n v="86.76"/>
        <n v="37.12"/>
        <n v="70.54"/>
        <n v="88.75"/>
        <n v="49.21"/>
        <n v="80.93"/>
        <n v="92.54"/>
        <n v="43.96"/>
        <n v="49.06"/>
        <n v="23.43"/>
        <n v="81.13"/>
        <n v="58.21"/>
        <n v="49.47"/>
        <n v="64.51"/>
        <n v="9.11"/>
        <n v="49.39"/>
        <n v="61.17"/>
        <n v="11.67"/>
        <n v="65.78"/>
        <n v="47.26"/>
        <n v="75.63"/>
        <n v="12.48"/>
        <n v="42.37"/>
        <n v="61.56"/>
        <n v="42.92"/>
        <n v="72.64"/>
        <n v="53.92"/>
        <n v="57.46"/>
        <n v="72.28"/>
        <n v="76.93"/>
        <n v="12.4"/>
        <n v="79.35"/>
        <n v="5.93"/>
        <n v="76.92"/>
        <n v="8.5"/>
        <n v="61.54"/>
        <n v="68.9"/>
        <n v="37.37"/>
        <n v="91.24"/>
        <n v="57.55"/>
        <n v="99.65"/>
        <n v="83.66"/>
        <n v="53.13"/>
        <n v="11.45"/>
        <n v="75.4"/>
        <n v="94.98"/>
        <n v="71.19"/>
        <n v="53.2"/>
        <n v="8.0"/>
        <n v="65.74"/>
        <n v="0.45"/>
        <n v="71.17"/>
        <n v="24.38"/>
        <n v="25.09"/>
        <n v="79.92"/>
        <n v="59.91"/>
        <n v="45.38"/>
        <n v="58.98"/>
        <n v="3.02"/>
        <n v="68.7"/>
        <n v="3.78"/>
        <n v="35.5"/>
        <n v="19.14"/>
        <n v="67.77"/>
        <n v="47.88"/>
        <n v="53.88"/>
        <n v="78.62"/>
        <n v="43.45"/>
        <n v="81.9"/>
        <n v="98.92"/>
        <n v="82.61"/>
        <n v="89.32"/>
        <n v="2.97"/>
        <n v="54.32"/>
        <n v="92.88"/>
        <n v="88.97"/>
        <n v="32.38"/>
        <n v="65.79"/>
        <n v="36.04"/>
        <n v="7.33"/>
        <n v="78.83"/>
        <n v="17.79"/>
        <n v="38.05"/>
        <n v="46.47"/>
        <n v="29.77"/>
        <n v="26.96"/>
        <n v="44.11"/>
        <n v="8.77"/>
        <n v="13.61"/>
        <n v="64.56"/>
        <n v="51.03"/>
        <n v="68.78"/>
        <n v="30.4"/>
        <n v="73.04"/>
        <n v="96.9"/>
        <n v="5.5"/>
        <n v="43.49"/>
        <n v="11.9"/>
        <n v="2.68"/>
        <n v="93.59"/>
        <n v="46.83"/>
        <n v="58.13"/>
        <n v="16.34"/>
        <n v="7.35"/>
        <n v="63.29"/>
        <n v="8.55"/>
        <n v="5.13"/>
        <n v="51.38"/>
        <n v="36.35"/>
        <n v="44.68"/>
        <n v="0.06"/>
        <n v="58.16"/>
        <n v="65.62"/>
        <n v="92.77"/>
        <n v="81.75"/>
        <n v="73.31"/>
        <n v="21.38"/>
        <n v="88.59"/>
        <n v="35.7"/>
        <n v="62.25"/>
        <n v="41.92"/>
        <n v="67.64"/>
        <n v="3.75"/>
        <n v="44.35"/>
        <n v="81.41"/>
        <n v="78.94"/>
        <n v="51.91"/>
        <n v="40.42"/>
        <n v="8.92"/>
        <n v="33.56"/>
        <n v="17.08"/>
        <n v="18.2"/>
        <n v="32.11"/>
        <n v="32.51"/>
        <n v="4.02"/>
        <n v="6.62"/>
        <n v="74.25"/>
        <n v="50.29"/>
        <n v="85.18"/>
        <n v="63.73"/>
        <n v="40.52"/>
        <n v="9.69"/>
        <n v="71.14"/>
        <n v="77.45"/>
        <n v="32.21"/>
        <n v="66.09"/>
        <n v="68.48"/>
        <n v="4.46"/>
        <n v="29.11"/>
        <n v="20.74"/>
        <n v="60.35"/>
        <n v="40.15"/>
        <n v="26.2"/>
        <n v="98.89"/>
        <n v="22.8"/>
        <n v="13.03"/>
        <n v="38.88"/>
        <n v="8.42"/>
        <n v="17.84"/>
        <n v="20.21"/>
        <n v="73.18"/>
        <n v="69.14"/>
        <n v="38.52"/>
        <n v="39.06"/>
        <n v="75.97"/>
        <n v="1.26"/>
        <n v="84.66"/>
        <n v="95.91"/>
        <n v="61.25"/>
        <n v="31.52"/>
        <n v="31.48"/>
        <n v="78.41"/>
        <n v="20.6"/>
        <n v="29.61"/>
        <n v="92.1"/>
        <n v="60.01"/>
        <n v="68.87"/>
        <n v="98.14"/>
        <n v="84.63"/>
        <n v="87.35"/>
        <n v="60.48"/>
        <n v="69.63"/>
        <n v="26.45"/>
        <n v="68.88"/>
        <n v="18.42"/>
        <n v="37.03"/>
        <n v="13.67"/>
        <n v="27.43"/>
        <n v="93.19"/>
        <n v="43.47"/>
        <n v="29.57"/>
        <n v="56.31"/>
        <n v="15.56"/>
        <n v="73.65"/>
        <n v="63.9"/>
        <n v="64.4"/>
        <n v="72.52"/>
        <n v="43.54"/>
        <n v="2.34"/>
        <n v="18.88"/>
        <n v="2.58"/>
        <n v="79.34"/>
        <n v="30.82"/>
        <n v="55.67"/>
        <n v="77.76"/>
        <n v="82.78"/>
        <n v="33.42"/>
        <n v="79.69"/>
        <n v="65.42"/>
        <n v="92.04"/>
        <n v="18.99"/>
        <n v="65.15"/>
        <n v="10.79"/>
        <n v="57.33"/>
        <n v="62.81"/>
        <n v="62.21"/>
        <n v="22.24"/>
        <n v="93.73"/>
        <n v="27.55"/>
        <n v="54.99"/>
        <n v="41.38"/>
        <n v="25.8"/>
        <n v="21.13"/>
        <n v="75.12"/>
        <n v="38.24"/>
        <n v="78.6"/>
        <n v="79.54"/>
        <n v="85.75"/>
        <n v="37.68"/>
        <n v="18.97"/>
        <n v="35.2"/>
        <n v="86.36"/>
        <n v="70.34"/>
        <n v="80.52"/>
        <n v="45.55"/>
        <n v="46.61"/>
        <n v="12.86"/>
        <n v="95.23"/>
        <n v="66.17"/>
        <n v="6.36"/>
        <n v="94.48"/>
        <n v="10.75"/>
        <n v="84.67"/>
        <n v="98.75"/>
        <n v="36.26"/>
        <n v="79.13"/>
        <n v="73.99"/>
        <n v="64.93"/>
        <n v="94.09"/>
        <n v="38.82"/>
        <n v="50.16"/>
        <n v="3.37"/>
        <n v="41.13"/>
        <n v="22.26"/>
        <n v="44.43"/>
        <n v="84.72"/>
        <n v="57.31"/>
        <n v="88.64"/>
        <n v="6.2"/>
        <n v="13.18"/>
        <n v="64.73"/>
        <n v="78.98"/>
        <n v="77.27"/>
        <n v="93.94"/>
        <n v="0.05"/>
        <n v="24.8"/>
        <n v="79.78"/>
        <n v="48.74"/>
        <n v="83.1"/>
        <n v="32.08"/>
        <n v="98.57"/>
        <n v="88.82"/>
        <n v="79.24"/>
        <n v="95.69"/>
        <n v="52.88"/>
        <n v="63.44"/>
        <n v="40.23"/>
        <n v="19.8"/>
        <n v="76.75"/>
        <n v="46.66"/>
        <n v="45.75"/>
        <n v="84.53"/>
        <n v="77.63"/>
        <n v="11.6"/>
        <n v="2.99"/>
        <n v="64.78"/>
        <n v="52.87"/>
        <n v="71.61"/>
        <n v="89.11"/>
        <n v="3.09"/>
        <n v="24.84"/>
        <n v="17.41"/>
        <n v="33.3"/>
        <n v="90.66"/>
        <n v="94.51"/>
        <n v="85.96"/>
        <n v="37.77"/>
        <n v="56.67"/>
        <n v="12.98"/>
        <n v="91.43"/>
        <n v="1.0"/>
        <n v="10.4"/>
        <n v="75.84"/>
        <n v="47.53"/>
        <n v="58.32"/>
        <n v="34.12"/>
        <n v="65.25"/>
        <n v="60.36"/>
        <n v="53.72"/>
        <n v="59.04"/>
        <n v="19.53"/>
        <n v="21.04"/>
        <n v="69.53"/>
        <n v="33.65"/>
        <n v="87.12"/>
        <n v="73.41"/>
        <n v="79.32"/>
        <n v="45.37"/>
        <n v="82.22"/>
        <n v="52.3"/>
        <n v="69.06"/>
        <n v="85.58"/>
        <n v="51.25"/>
        <n v="77.26"/>
        <n v="48.44"/>
        <n v="50.55"/>
        <n v="6.12"/>
        <n v="23.88"/>
        <n v="62.45"/>
        <n v="80.96"/>
        <n v="55.44"/>
        <n v="34.33"/>
        <n v="3.98"/>
        <n v="9.72"/>
        <n v="95.51"/>
        <n v="43.53"/>
        <n v="44.23"/>
        <n v="12.19"/>
        <n v="41.26"/>
        <n v="96.27"/>
        <n v="22.38"/>
        <n v="99.3"/>
        <n v="88.4"/>
        <n v="93.46"/>
        <n v="13.63"/>
        <n v="81.79"/>
        <n v="28.62"/>
        <n v="74.98"/>
        <n v="86.33"/>
        <n v="62.27"/>
        <n v="85.69"/>
        <n v="76.03"/>
        <n v="36.0"/>
        <n v="13.91"/>
        <n v="18.18"/>
        <n v="86.87"/>
        <n v="89.58"/>
        <n v="59.3"/>
        <n v="16.01"/>
        <n v="57.85"/>
        <n v="10.48"/>
        <n v="84.58"/>
        <n v="77.86"/>
        <n v="35.96"/>
        <n v="97.77"/>
        <n v="81.44"/>
        <n v="74.59"/>
        <n v="21.34"/>
        <n v="72.9"/>
        <n v="44.12"/>
        <n v="96.17"/>
        <n v="28.47"/>
        <n v="24.03"/>
        <n v="75.94"/>
        <n v="98.94"/>
        <n v="1.21"/>
        <n v="82.52"/>
        <n v="34.35"/>
        <n v="34.32"/>
        <n v="95.33"/>
        <n v="92.23"/>
        <n v="98.21"/>
        <n v="15.36"/>
        <n v="91.96"/>
        <n v="38.11"/>
        <n v="8.79"/>
        <n v="38.45"/>
        <n v="28.29"/>
        <n v="86.34"/>
        <n v="8.67"/>
        <n v="99.22"/>
        <n v="89.95"/>
        <n v="16.04"/>
        <n v="0.69"/>
        <n v="5.63"/>
        <n v="36.36"/>
        <n v="5.08"/>
        <n v="56.01"/>
        <n v="64.24"/>
        <n v="59.38"/>
        <n v="44.3"/>
        <n v="97.45"/>
        <n v="42.83"/>
        <n v="47.39"/>
        <n v="6.97"/>
        <n v="14.61"/>
        <n v="60.59"/>
        <n v="38.37"/>
        <n v="62.74"/>
        <n v="51.72"/>
        <n v="11.3"/>
        <n v="26.6"/>
        <n v="87.07"/>
        <n v="23.39"/>
        <n v="99.52"/>
        <n v="30.09"/>
        <n v="50.28"/>
        <n v="26.61"/>
        <n v="60.38"/>
        <n v="57.94"/>
        <n v="94.96"/>
        <n v="89.16"/>
        <n v="61.71"/>
        <n v="66.59"/>
        <n v="92.21"/>
        <n v="33.13"/>
        <n v="10.52"/>
        <n v="45.14"/>
        <n v="73.95"/>
        <n v="6.46"/>
        <n v="36.9"/>
        <n v="73.09"/>
        <n v="88.19"/>
        <n v="80.81"/>
        <n v="25.2"/>
        <n v="16.92"/>
        <n v="98.35"/>
        <n v="97.07"/>
        <n v="55.83"/>
        <n v="3.96"/>
        <n v="94.2"/>
        <n v="48.81"/>
        <n v="21.58"/>
        <n v="82.09"/>
        <n v="92.84"/>
        <n v="80.23"/>
        <n v="68.82"/>
        <n v="24.41"/>
        <n v="59.68"/>
        <n v="10.03"/>
        <n v="68.2"/>
        <n v="5.07"/>
        <n v="93.43"/>
        <n v="58.6"/>
        <n v="0.19"/>
        <n v="97.05"/>
        <n v="4.53"/>
        <n v="1.72"/>
        <n v="71.11"/>
        <n v="5.33"/>
        <n v="15.28"/>
        <n v="18.79"/>
        <n v="50.11"/>
        <n v="44.88"/>
        <n v="19.36"/>
        <n v="73.77"/>
        <n v="32.95"/>
        <n v="69.47"/>
        <n v="93.48"/>
        <n v="61.06"/>
        <n v="31.76"/>
        <n v="3.07"/>
        <n v="66.21"/>
        <n v="98.0"/>
        <n v="85.01"/>
        <n v="0.72"/>
        <n v="20.92"/>
        <n v="59.44"/>
        <n v="63.21"/>
        <n v="95.97"/>
        <n v="64.58"/>
        <n v="17.24"/>
        <n v="19.84"/>
        <n v="0.88"/>
        <n v="54.75"/>
        <n v="46.23"/>
        <n v="27.67"/>
        <n v="8.65"/>
        <n v="13.28"/>
        <n v="98.64"/>
        <n v="97.98"/>
        <n v="13.6"/>
        <n v="74.52"/>
        <n v="34.31"/>
        <n v="65.68"/>
        <n v="43.62"/>
        <n v="84.34"/>
        <n v="24.37"/>
        <n v="83.18"/>
        <n v="44.1"/>
        <n v="32.34"/>
        <n v="42.96"/>
        <n v="44.81"/>
        <n v="83.34"/>
        <n v="28.85"/>
        <n v="48.3"/>
        <n v="24.66"/>
        <n v="60.44"/>
        <n v="45.68"/>
        <n v="34.9"/>
        <n v="52.02"/>
        <n v="18.05"/>
        <n v="50.19"/>
        <n v="41.18"/>
        <n v="2.5"/>
        <n v="16.08"/>
        <n v="55.5"/>
        <n v="37.54"/>
        <n v="44.96"/>
        <n v="59.39"/>
        <n v="83.99"/>
        <n v="26.65"/>
        <n v="59.36"/>
        <n v="94.84"/>
        <n v="69.96"/>
        <n v="35.79"/>
        <n v="61.69"/>
        <n v="60.79"/>
        <n v="93.75"/>
        <n v="10.47"/>
        <n v="1.43"/>
        <n v="81.57"/>
        <n v="42.57"/>
        <n v="58.63"/>
        <n v="51.68"/>
        <n v="48.01"/>
        <n v="27.91"/>
        <n v="71.99"/>
        <n v="53.95"/>
        <n v="65.04"/>
        <n v="96.28"/>
        <n v="27.66"/>
        <n v="49.9"/>
        <n v="86.77"/>
        <n v="33.89"/>
        <n v="73.97"/>
        <n v="80.8"/>
        <n v="88.89"/>
        <n v="22.19"/>
        <n v="44.24"/>
        <n v="88.72"/>
        <n v="25.5"/>
        <n v="81.15"/>
        <n v="47.99"/>
        <n v="37.57"/>
        <n v="40.24"/>
        <n v="8.12"/>
        <n v="35.24"/>
        <n v="24.7"/>
        <n v="59.54"/>
        <n v="85.67"/>
        <n v="90.6"/>
        <n v="59.37"/>
        <n v="22.52"/>
        <n v="39.3"/>
        <n v="96.89"/>
        <n v="55.72"/>
        <n v="5.05"/>
        <n v="29.94"/>
        <n v="43.56"/>
        <n v="49.46"/>
        <n v="73.8"/>
        <n v="30.35"/>
        <n v="0.67"/>
        <n v="11.58"/>
        <n v="50.22"/>
        <n v="28.98"/>
        <n v="52.27"/>
        <n v="5.71"/>
        <n v="53.64"/>
        <n v="4.19"/>
        <n v="83.25"/>
        <n v="55.0"/>
        <n v="84.79"/>
        <n v="7.5"/>
        <n v="55.6"/>
        <n v="69.25"/>
        <n v="62.75"/>
        <n v="98.37"/>
        <n v="95.56"/>
        <n v="65.91"/>
        <n v="54.61"/>
        <n v="80.47"/>
        <n v="31.15"/>
        <n v="14.52"/>
        <n v="80.25"/>
        <n v="59.15"/>
        <n v="34.64"/>
        <n v="90.33"/>
        <n v="1.32"/>
        <n v="21.6"/>
        <n v="54.66"/>
        <n v="32.98"/>
        <n v="85.02"/>
        <n v="1.31"/>
        <n v="76.47"/>
        <n v="5.09"/>
        <n v="88.9"/>
        <n v="19.67"/>
        <n v="24.27"/>
        <n v="79.25"/>
        <n v="59.62"/>
        <n v="47.74"/>
        <n v="44.2"/>
        <n v="51.86"/>
        <n v="70.13"/>
        <n v="74.65"/>
        <n v="92.08"/>
        <n v="52.52"/>
        <n v="6.07"/>
        <n v="94.02"/>
        <n v="23.07"/>
        <n v="18.53"/>
        <n v="74.93"/>
        <n v="94.49"/>
        <n v="39.04"/>
        <n v="77.41"/>
        <n v="87.85"/>
        <n v="9.78"/>
        <n v="21.95"/>
        <n v="37.34"/>
        <n v="27.33"/>
        <n v="90.24"/>
        <n v="79.56"/>
        <n v="13.58"/>
        <n v="99.97"/>
        <n v="97.85"/>
        <n v="40.56"/>
        <n v="84.51"/>
        <n v="20.99"/>
        <n v="97.4"/>
        <n v="58.89"/>
        <n v="59.89"/>
        <n v="34.89"/>
        <n v="76.81"/>
        <n v="26.95"/>
        <n v="78.93"/>
        <n v="83.95"/>
        <n v="72.75"/>
        <n v="76.49"/>
        <n v="28.27"/>
        <n v="49.33"/>
        <n v="96.43"/>
        <n v="12.45"/>
        <n v="56.26"/>
        <n v="91.64"/>
        <n v="73.3"/>
        <n v="44.05"/>
        <n v="81.61"/>
        <n v="51.35"/>
        <n v="90.78"/>
        <n v="75.76"/>
        <n v="9.57"/>
        <n v="57.06"/>
        <n v="9.87"/>
        <n v="44.87"/>
        <n v="7.57"/>
        <n v="81.55"/>
        <n v="5.83"/>
        <n v="81.56"/>
        <n v="97.68"/>
        <n v="58.0"/>
        <n v="95.54"/>
        <n v="36.32"/>
        <n v="67.88"/>
        <n v="15.15"/>
        <n v="57.93"/>
        <n v="45.97"/>
        <n v="9.59"/>
        <n v="25.47"/>
        <n v="83.68"/>
        <n v="44.99"/>
        <n v="95.1"/>
        <n v="15.52"/>
        <n v="66.47"/>
        <n v="56.03"/>
        <n v="22.99"/>
        <n v="25.89"/>
        <n v="35.39"/>
        <n v="53.52"/>
        <n v="7.96"/>
        <n v="49.41"/>
        <n v="37.22"/>
        <n v="85.61"/>
        <n v="12.38"/>
        <n v="62.06"/>
        <n v="75.7"/>
        <n v="81.86"/>
        <n v="31.21"/>
        <n v="95.83"/>
        <n v="93.44"/>
        <n v="70.05"/>
        <n v="57.77"/>
        <n v="38.26"/>
        <n v="10.17"/>
        <n v="56.0"/>
        <n v="5.96"/>
        <n v="46.98"/>
        <n v="72.5"/>
        <n v="99.67"/>
        <n v="21.01"/>
        <n v="81.91"/>
        <n v="43.99"/>
        <n v="62.24"/>
        <n v="49.86"/>
        <n v="31.71"/>
        <n v="39.94"/>
        <n v="7.34"/>
        <n v="79.14"/>
        <n v="53.62"/>
        <n v="7.16"/>
        <n v="71.06"/>
        <n v="47.14"/>
        <n v="58.92"/>
        <n v="52.04"/>
        <n v="39.2"/>
        <n v="28.77"/>
        <n v="36.6"/>
        <n v="59.17"/>
        <n v="45.59"/>
        <n v="53.45"/>
        <n v="35.25"/>
        <n v="53.22"/>
        <n v="95.03"/>
        <n v="64.12"/>
        <n v="43.12"/>
        <n v="68.52"/>
        <n v="59.21"/>
        <n v="2.61"/>
        <n v="87.72"/>
        <n v="5.54"/>
        <n v="33.72"/>
        <n v="51.19"/>
        <n v="59.61"/>
        <n v="67.07"/>
        <n v="15.22"/>
        <n v="63.27"/>
        <n v="29.83"/>
        <n v="14.81"/>
        <n v="7.52"/>
        <n v="8.17"/>
        <n v="52.18"/>
        <n v="96.41"/>
        <n v="51.62"/>
        <n v="65.39"/>
        <n v="78.52"/>
        <n v="9.38"/>
        <n v="66.96"/>
        <n v="31.41"/>
        <n v="89.81"/>
        <n v="24.74"/>
        <n v="25.97"/>
        <n v="74.45"/>
        <n v="25.53"/>
        <n v="40.96"/>
        <n v="12.74"/>
        <n v="66.18"/>
        <n v="63.58"/>
        <n v="18.21"/>
        <n v="54.68"/>
        <n v="6.38"/>
        <n v="5.17"/>
        <n v="19.48"/>
        <n v="13.75"/>
        <n v="59.27"/>
        <n v="33.43"/>
        <n v="28.36"/>
        <n v="7.24"/>
        <n v="29.26"/>
        <n v="50.46"/>
        <n v="46.44"/>
        <n v="14.64"/>
        <n v="43.68"/>
        <n v="2.54"/>
        <n v="76.01"/>
        <n v="44.75"/>
        <n v="57.84"/>
        <n v="12.13"/>
        <n v="57.86"/>
        <n v="68.85"/>
        <n v="15.91"/>
        <n v="79.09"/>
        <n v="17.02"/>
        <n v="34.57"/>
        <n v="44.48"/>
        <n v="54.45"/>
        <n v="26.77"/>
        <n v="44.62"/>
        <n v="85.23"/>
        <n v="68.13"/>
        <n v="37.1"/>
        <n v="36.59"/>
        <n v="3.69"/>
        <n v="99.25"/>
        <n v="48.72"/>
        <n v="29.65"/>
        <n v="86.74"/>
        <n v="88.78"/>
        <n v="33.15"/>
        <n v="11.97"/>
        <n v="77.29"/>
        <n v="5.84"/>
        <n v="18.89"/>
        <n v="72.41"/>
        <n v="94.81"/>
        <n v="48.47"/>
        <n v="10.28"/>
        <n v="76.58"/>
        <n v="32.91"/>
        <m/>
      </sharedItems>
    </cacheField>
    <cacheField name="Memory Utilization (%)" numFmtId="0">
      <sharedItems containsString="0" containsBlank="1" containsNumber="1">
        <n v="70.42"/>
        <n v="46.8"/>
        <n v="59.47"/>
        <n v="97.63"/>
        <n v="21.58"/>
        <n v="95.15"/>
        <n v="62.31"/>
        <n v="6.07"/>
        <n v="9.41"/>
        <n v="52.4"/>
        <n v="26.56"/>
        <n v="5.41"/>
        <n v="14.51"/>
        <n v="1.94"/>
        <n v="32.42"/>
        <n v="86.01"/>
        <n v="2.89"/>
        <n v="51.52"/>
        <n v="49.89"/>
        <n v="83.84"/>
        <n v="76.7"/>
        <n v="60.38"/>
        <n v="61.79"/>
        <n v="35.99"/>
        <n v="42.91"/>
        <n v="72.18"/>
        <n v="91.02"/>
        <n v="46.75"/>
        <n v="16.46"/>
        <n v="9.91"/>
        <n v="76.78"/>
        <n v="80.19"/>
        <n v="57.94"/>
        <n v="28.06"/>
        <n v="95.71"/>
        <n v="31.59"/>
        <n v="13.16"/>
        <n v="47.12"/>
        <n v="26.17"/>
        <n v="16.21"/>
        <n v="51.99"/>
        <n v="40.3"/>
        <n v="95.77"/>
        <n v="98.89"/>
        <n v="76.38"/>
        <n v="51.31"/>
        <n v="0.93"/>
        <n v="57.91"/>
        <n v="17.93"/>
        <n v="24.27"/>
        <n v="41.43"/>
        <n v="10.91"/>
        <n v="8.78"/>
        <n v="2.37"/>
        <n v="96.05"/>
        <n v="96.85"/>
        <n v="8.8"/>
        <n v="42.02"/>
        <n v="94.05"/>
        <n v="64.11"/>
        <n v="65.19"/>
        <n v="72.89"/>
        <n v="64.91"/>
        <n v="85.12"/>
        <n v="14.03"/>
        <n v="93.62"/>
        <n v="53.42"/>
        <n v="78.98"/>
        <n v="34.07"/>
        <n v="54.14"/>
        <n v="20.83"/>
        <n v="16.41"/>
        <n v="26.13"/>
        <n v="62.33"/>
        <n v="73.22"/>
        <n v="56.39"/>
        <n v="76.15"/>
        <n v="63.72"/>
        <n v="45.3"/>
        <n v="21.8"/>
        <n v="32.63"/>
        <n v="67.91"/>
        <n v="24.7"/>
        <n v="73.37"/>
        <n v="79.33"/>
        <n v="36.94"/>
        <n v="49.17"/>
        <n v="62.0"/>
        <n v="12.52"/>
        <n v="44.84"/>
        <n v="9.65"/>
        <n v="0.51"/>
        <n v="1.48"/>
        <n v="27.67"/>
        <n v="66.82"/>
        <n v="11.63"/>
        <n v="55.33"/>
        <n v="65.99"/>
        <n v="38.97"/>
        <n v="86.53"/>
        <n v="19.1"/>
        <n v="68.35"/>
        <n v="84.95"/>
        <n v="22.03"/>
        <n v="12.43"/>
        <n v="58.32"/>
        <n v="79.99"/>
        <n v="54.26"/>
        <n v="58.75"/>
        <n v="10.81"/>
        <n v="32.34"/>
        <n v="74.27"/>
        <n v="7.84"/>
        <n v="0.58"/>
        <n v="12.53"/>
        <n v="81.34"/>
        <n v="47.25"/>
        <n v="49.2"/>
        <n v="97.44"/>
        <n v="40.77"/>
        <n v="72.53"/>
        <n v="10.6"/>
        <n v="82.64"/>
        <n v="94.9"/>
        <n v="51.03"/>
        <n v="2.68"/>
        <n v="34.97"/>
        <n v="35.21"/>
        <n v="60.61"/>
        <n v="49.56"/>
        <n v="98.03"/>
        <n v="13.96"/>
        <n v="57.33"/>
        <n v="56.06"/>
        <n v="39.16"/>
        <n v="15.38"/>
        <n v="72.19"/>
        <n v="93.94"/>
        <n v="8.33"/>
        <n v="21.64"/>
        <n v="97.74"/>
        <n v="53.32"/>
        <n v="85.71"/>
        <n v="74.89"/>
        <n v="53.15"/>
        <n v="86.88"/>
        <n v="92.47"/>
        <n v="55.66"/>
        <n v="91.81"/>
        <n v="55.98"/>
        <n v="60.41"/>
        <n v="6.75"/>
        <n v="49.37"/>
        <n v="32.4"/>
        <n v="26.47"/>
        <n v="86.83"/>
        <n v="10.16"/>
        <n v="43.96"/>
        <n v="44.41"/>
        <n v="5.69"/>
        <n v="87.64"/>
        <n v="77.24"/>
        <n v="1.07"/>
        <n v="36.58"/>
        <n v="54.56"/>
        <n v="87.01"/>
        <n v="62.48"/>
        <n v="85.55"/>
        <n v="97.79"/>
        <n v="32.76"/>
        <n v="78.67"/>
        <n v="52.97"/>
        <n v="32.24"/>
        <n v="24.88"/>
        <n v="0.11"/>
        <n v="66.91"/>
        <n v="5.13"/>
        <n v="18.5"/>
        <n v="25.97"/>
        <n v="41.46"/>
        <n v="48.74"/>
        <n v="11.98"/>
        <n v="16.9"/>
        <n v="17.79"/>
        <n v="8.79"/>
        <n v="21.32"/>
        <n v="59.62"/>
        <n v="27.26"/>
        <n v="34.61"/>
        <n v="83.97"/>
        <n v="51.72"/>
        <n v="64.55"/>
        <n v="62.51"/>
        <n v="40.39"/>
        <n v="67.68"/>
        <n v="11.41"/>
        <n v="61.36"/>
        <n v="0.87"/>
        <n v="61.95"/>
        <n v="17.8"/>
        <n v="96.73"/>
        <n v="69.03"/>
        <n v="53.13"/>
        <n v="56.01"/>
        <n v="97.65"/>
        <n v="70.16"/>
        <n v="63.12"/>
        <n v="14.47"/>
        <n v="74.97"/>
        <n v="30.12"/>
        <n v="33.94"/>
        <n v="61.6"/>
        <n v="73.63"/>
        <n v="9.18"/>
        <n v="92.83"/>
        <n v="83.98"/>
        <n v="85.61"/>
        <n v="9.48"/>
        <n v="46.44"/>
        <n v="58.97"/>
        <n v="78.62"/>
        <n v="63.35"/>
        <n v="37.92"/>
        <n v="33.39"/>
        <n v="81.23"/>
        <n v="1.84"/>
        <n v="27.66"/>
        <n v="68.73"/>
        <n v="7.02"/>
        <n v="91.73"/>
        <n v="31.02"/>
        <n v="25.0"/>
        <n v="67.98"/>
        <n v="88.7"/>
        <n v="69.43"/>
        <n v="38.33"/>
        <n v="46.11"/>
        <n v="95.4"/>
        <n v="60.67"/>
        <n v="2.7"/>
        <n v="52.81"/>
        <n v="74.47"/>
        <n v="64.92"/>
        <n v="48.36"/>
        <n v="72.15"/>
        <n v="26.34"/>
        <n v="83.44"/>
        <n v="2.46"/>
        <n v="41.13"/>
        <n v="33.75"/>
        <n v="17.42"/>
        <n v="42.53"/>
        <n v="93.78"/>
        <n v="67.45"/>
        <n v="99.81"/>
        <n v="18.62"/>
        <n v="95.66"/>
        <n v="27.96"/>
        <n v="6.1"/>
        <n v="14.64"/>
        <n v="83.01"/>
        <n v="92.69"/>
        <n v="4.78"/>
        <n v="70.83"/>
        <n v="71.15"/>
        <n v="91.07"/>
        <n v="26.03"/>
        <n v="36.38"/>
        <n v="88.53"/>
        <n v="19.15"/>
        <n v="94.8"/>
        <n v="2.48"/>
        <n v="80.49"/>
        <n v="51.26"/>
        <n v="32.81"/>
        <n v="82.35"/>
        <n v="68.48"/>
        <n v="65.3"/>
        <n v="56.96"/>
        <n v="94.07"/>
        <n v="1.08"/>
        <n v="24.58"/>
        <n v="22.93"/>
        <n v="73.0"/>
        <n v="99.8"/>
        <n v="28.36"/>
        <n v="98.76"/>
        <n v="81.87"/>
        <n v="7.95"/>
        <n v="64.13"/>
        <n v="39.45"/>
        <n v="90.96"/>
        <n v="42.14"/>
        <n v="88.6"/>
        <n v="59.1"/>
        <n v="45.09"/>
        <n v="37.57"/>
        <n v="93.53"/>
        <n v="60.63"/>
        <n v="13.82"/>
        <n v="27.02"/>
        <n v="68.85"/>
        <n v="61.26"/>
        <n v="35.59"/>
        <n v="40.65"/>
        <n v="59.16"/>
        <n v="89.27"/>
        <n v="52.83"/>
        <n v="46.67"/>
        <n v="80.03"/>
        <n v="51.91"/>
        <n v="1.99"/>
        <n v="41.17"/>
        <n v="60.77"/>
        <n v="78.71"/>
        <n v="77.27"/>
        <n v="55.84"/>
        <n v="96.47"/>
        <n v="70.7"/>
        <n v="2.65"/>
        <n v="29.21"/>
        <n v="34.41"/>
        <n v="94.74"/>
        <n v="47.91"/>
        <n v="83.33"/>
        <n v="84.27"/>
        <n v="83.81"/>
        <n v="0.06"/>
        <n v="45.03"/>
        <n v="71.53"/>
        <n v="49.7"/>
        <n v="78.18"/>
        <n v="21.88"/>
        <n v="61.47"/>
        <n v="76.42"/>
        <n v="40.44"/>
        <n v="57.32"/>
        <n v="49.82"/>
        <n v="23.13"/>
        <n v="95.42"/>
        <n v="50.6"/>
        <n v="44.48"/>
        <n v="26.69"/>
        <n v="31.85"/>
        <n v="31.61"/>
        <n v="67.46"/>
        <n v="29.42"/>
        <n v="82.45"/>
        <n v="59.28"/>
        <n v="81.42"/>
        <n v="45.08"/>
        <n v="79.37"/>
        <n v="7.46"/>
        <n v="85.89"/>
        <n v="91.03"/>
        <n v="55.25"/>
        <n v="95.39"/>
        <n v="32.47"/>
        <n v="69.35"/>
        <n v="10.74"/>
        <n v="54.87"/>
        <n v="96.34"/>
        <n v="36.55"/>
        <n v="19.79"/>
        <n v="64.97"/>
        <n v="45.93"/>
        <n v="74.51"/>
        <n v="49.91"/>
        <n v="99.25"/>
        <n v="97.38"/>
        <n v="22.79"/>
        <n v="3.16"/>
        <n v="33.79"/>
        <n v="20.63"/>
        <n v="25.07"/>
        <n v="85.23"/>
        <n v="34.04"/>
        <n v="95.76"/>
        <n v="31.36"/>
        <n v="35.96"/>
        <n v="78.64"/>
        <n v="92.8"/>
        <n v="2.77"/>
        <n v="53.51"/>
        <n v="46.58"/>
        <n v="30.39"/>
        <n v="91.46"/>
        <n v="87.82"/>
        <n v="18.29"/>
        <n v="20.26"/>
        <n v="72.55"/>
        <n v="56.53"/>
        <n v="94.45"/>
        <n v="51.63"/>
        <n v="55.19"/>
        <n v="37.74"/>
        <n v="87.5"/>
        <n v="27.19"/>
        <n v="56.3"/>
        <n v="69.69"/>
        <n v="75.85"/>
        <n v="95.47"/>
        <n v="48.02"/>
        <n v="84.32"/>
        <n v="14.15"/>
        <n v="0.2"/>
        <n v="99.09"/>
        <n v="39.26"/>
        <n v="95.25"/>
        <n v="89.69"/>
        <n v="25.92"/>
        <n v="18.89"/>
        <n v="67.49"/>
        <n v="65.78"/>
        <n v="96.32"/>
        <n v="62.41"/>
        <n v="59.94"/>
        <n v="96.7"/>
        <n v="99.01"/>
        <n v="26.83"/>
        <n v="45.28"/>
        <n v="12.57"/>
        <n v="22.98"/>
        <n v="63.51"/>
        <n v="72.71"/>
        <n v="34.47"/>
        <n v="99.05"/>
        <n v="50.82"/>
        <n v="58.44"/>
        <n v="36.74"/>
        <n v="27.08"/>
        <n v="12.91"/>
        <n v="18.24"/>
        <n v="15.17"/>
        <n v="59.81"/>
        <n v="25.67"/>
        <n v="52.13"/>
        <n v="68.25"/>
        <n v="48.46"/>
        <n v="47.88"/>
        <n v="34.34"/>
        <n v="17.38"/>
        <n v="76.26"/>
        <n v="66.74"/>
        <n v="31.97"/>
        <n v="64.79"/>
        <n v="48.33"/>
        <n v="65.04"/>
        <n v="36.53"/>
        <n v="92.54"/>
        <n v="13.38"/>
        <n v="90.15"/>
        <n v="52.29"/>
        <n v="23.16"/>
        <n v="31.66"/>
        <n v="67.42"/>
        <n v="98.73"/>
        <n v="90.93"/>
        <n v="51.34"/>
        <n v="40.23"/>
        <n v="61.01"/>
        <n v="89.83"/>
        <n v="55.38"/>
        <n v="74.75"/>
        <n v="92.34"/>
        <n v="95.33"/>
        <n v="27.23"/>
        <n v="16.97"/>
        <n v="48.93"/>
        <n v="54.35"/>
        <n v="94.15"/>
        <n v="84.66"/>
        <n v="85.79"/>
        <n v="71.52"/>
        <n v="1.93"/>
        <n v="48.11"/>
        <n v="80.32"/>
        <n v="66.68"/>
        <n v="63.9"/>
        <n v="75.88"/>
        <n v="86.06"/>
        <n v="89.42"/>
        <n v="49.0"/>
        <n v="8.24"/>
        <n v="31.18"/>
        <n v="52.71"/>
        <n v="39.77"/>
        <n v="34.83"/>
        <n v="89.77"/>
        <n v="21.71"/>
        <n v="16.45"/>
        <n v="69.12"/>
        <n v="17.51"/>
        <n v="51.35"/>
        <n v="44.85"/>
        <n v="50.53"/>
        <n v="32.19"/>
        <n v="68.46"/>
        <n v="75.61"/>
        <n v="66.01"/>
        <n v="5.25"/>
        <n v="66.36"/>
        <n v="81.97"/>
        <n v="44.07"/>
        <n v="21.19"/>
        <n v="43.71"/>
        <n v="97.47"/>
        <n v="81.61"/>
        <n v="21.39"/>
        <n v="56.56"/>
        <n v="80.47"/>
        <n v="31.08"/>
        <n v="31.1"/>
        <n v="88.63"/>
        <n v="66.1"/>
        <n v="2.13"/>
        <n v="25.12"/>
        <n v="48.43"/>
        <n v="83.56"/>
        <n v="91.61"/>
        <n v="0.95"/>
        <n v="91.41"/>
        <n v="9.27"/>
        <n v="52.74"/>
        <n v="58.64"/>
        <n v="4.12"/>
        <n v="15.71"/>
        <n v="25.58"/>
        <n v="99.12"/>
        <n v="17.36"/>
        <n v="3.39"/>
        <n v="92.44"/>
        <n v="79.14"/>
        <n v="80.46"/>
        <n v="57.08"/>
        <n v="12.6"/>
        <n v="95.79"/>
        <n v="61.74"/>
        <n v="51.42"/>
        <n v="46.71"/>
        <n v="77.29"/>
        <n v="51.81"/>
        <n v="33.87"/>
        <n v="23.04"/>
        <n v="38.48"/>
        <n v="29.33"/>
        <n v="58.3"/>
        <n v="24.0"/>
        <n v="95.07"/>
        <n v="66.9"/>
        <n v="22.33"/>
        <n v="28.26"/>
        <n v="26.62"/>
        <n v="33.92"/>
        <n v="56.76"/>
        <n v="22.92"/>
        <n v="42.9"/>
        <n v="11.88"/>
        <n v="62.42"/>
        <n v="37.62"/>
        <n v="77.92"/>
        <n v="0.73"/>
        <n v="91.21"/>
        <n v="58.88"/>
        <n v="96.64"/>
        <n v="93.68"/>
        <n v="88.01"/>
        <n v="86.59"/>
        <n v="45.25"/>
        <n v="76.09"/>
        <n v="70.47"/>
        <n v="38.66"/>
        <n v="91.42"/>
        <n v="53.54"/>
        <n v="16.22"/>
        <n v="57.52"/>
        <n v="47.44"/>
        <n v="51.05"/>
        <n v="14.6"/>
        <n v="92.23"/>
        <n v="24.91"/>
        <n v="49.34"/>
        <n v="49.35"/>
        <n v="41.57"/>
        <n v="26.87"/>
        <n v="29.04"/>
        <n v="32.7"/>
        <n v="96.22"/>
        <n v="51.61"/>
        <n v="44.06"/>
        <n v="60.69"/>
        <n v="70.99"/>
        <n v="63.07"/>
        <n v="74.01"/>
        <n v="74.52"/>
        <n v="20.31"/>
        <n v="50.11"/>
        <n v="35.54"/>
        <n v="86.99"/>
        <n v="10.51"/>
        <n v="2.28"/>
        <n v="94.96"/>
        <n v="40.14"/>
        <n v="16.96"/>
        <n v="50.84"/>
        <n v="60.8"/>
        <n v="32.8"/>
        <n v="25.1"/>
        <n v="4.0"/>
        <n v="5.56"/>
        <n v="60.58"/>
        <n v="36.52"/>
        <n v="78.84"/>
        <n v="75.7"/>
        <n v="76.59"/>
        <n v="63.19"/>
        <n v="62.96"/>
        <n v="81.01"/>
        <n v="44.27"/>
        <n v="63.3"/>
        <n v="65.59"/>
        <n v="38.28"/>
        <n v="78.54"/>
        <n v="93.39"/>
        <n v="64.83"/>
        <n v="10.1"/>
        <n v="10.66"/>
        <n v="86.26"/>
        <n v="64.86"/>
        <n v="92.04"/>
        <n v="72.79"/>
        <n v="16.13"/>
        <n v="45.39"/>
        <n v="58.07"/>
        <n v="75.96"/>
        <n v="39.99"/>
        <n v="59.63"/>
        <n v="34.63"/>
        <n v="42.97"/>
        <n v="39.11"/>
        <n v="78.87"/>
        <n v="51.43"/>
        <n v="92.55"/>
        <n v="90.99"/>
        <n v="3.98"/>
        <n v="77.79"/>
        <n v="22.22"/>
        <n v="34.24"/>
        <n v="75.19"/>
        <n v="9.28"/>
        <n v="66.6"/>
        <n v="81.14"/>
        <n v="40.41"/>
        <n v="67.34"/>
        <n v="40.82"/>
        <n v="63.99"/>
        <n v="1.19"/>
        <n v="44.96"/>
        <n v="3.49"/>
        <n v="46.32"/>
        <n v="65.76"/>
        <n v="68.23"/>
        <n v="67.52"/>
        <n v="53.28"/>
        <n v="7.4"/>
        <n v="81.69"/>
        <n v="51.64"/>
        <n v="54.69"/>
        <n v="57.09"/>
        <n v="4.35"/>
        <n v="77.78"/>
        <n v="20.82"/>
        <n v="90.71"/>
        <n v="9.73"/>
        <n v="27.86"/>
        <n v="3.91"/>
        <n v="35.39"/>
        <n v="12.92"/>
        <n v="9.87"/>
        <n v="30.59"/>
        <n v="13.99"/>
        <n v="20.89"/>
        <n v="58.96"/>
        <n v="50.81"/>
        <n v="62.7"/>
        <n v="88.33"/>
        <n v="54.12"/>
        <n v="89.97"/>
        <n v="15.88"/>
        <n v="33.15"/>
        <n v="94.08"/>
        <n v="32.15"/>
        <n v="19.38"/>
        <n v="42.07"/>
        <n v="50.33"/>
        <n v="82.03"/>
        <n v="17.43"/>
        <n v="57.03"/>
        <n v="16.05"/>
        <n v="20.17"/>
        <n v="11.7"/>
        <n v="69.62"/>
        <n v="87.84"/>
        <n v="40.37"/>
        <n v="34.96"/>
        <n v="23.61"/>
        <n v="38.53"/>
        <n v="31.14"/>
        <n v="27.76"/>
        <n v="94.56"/>
        <n v="44.74"/>
        <n v="39.91"/>
        <n v="27.72"/>
        <n v="85.56"/>
        <n v="21.9"/>
        <n v="27.09"/>
        <n v="45.77"/>
        <n v="23.02"/>
        <n v="38.71"/>
        <n v="69.28"/>
        <n v="81.05"/>
        <n v="58.23"/>
        <n v="79.97"/>
        <n v="96.88"/>
        <n v="72.23"/>
        <n v="72.32"/>
        <n v="34.28"/>
        <n v="16.06"/>
        <n v="56.86"/>
        <n v="80.05"/>
        <n v="87.4"/>
        <n v="9.74"/>
        <n v="59.68"/>
        <n v="53.74"/>
        <n v="20.62"/>
        <n v="35.93"/>
        <n v="23.82"/>
        <n v="59.95"/>
        <n v="39.95"/>
        <n v="80.7"/>
        <n v="73.1"/>
        <n v="46.63"/>
        <n v="91.65"/>
        <n v="34.82"/>
        <n v="86.08"/>
        <n v="43.58"/>
        <n v="80.79"/>
        <n v="88.04"/>
        <n v="83.14"/>
        <n v="44.67"/>
        <n v="87.87"/>
        <n v="59.73"/>
        <n v="91.37"/>
        <n v="31.91"/>
        <n v="97.7"/>
        <n v="48.18"/>
        <n v="31.52"/>
        <n v="30.3"/>
        <n v="39.42"/>
        <n v="62.81"/>
        <n v="90.32"/>
        <n v="56.61"/>
        <n v="37.18"/>
        <n v="85.01"/>
        <n v="3.74"/>
        <n v="87.67"/>
        <n v="95.49"/>
        <n v="74.11"/>
        <n v="21.86"/>
        <n v="33.18"/>
        <n v="28.88"/>
        <n v="91.44"/>
        <n v="5.12"/>
        <n v="45.14"/>
        <n v="98.45"/>
        <n v="56.97"/>
        <n v="97.27"/>
        <n v="18.97"/>
        <n v="39.97"/>
        <n v="24.26"/>
        <n v="64.04"/>
        <n v="25.64"/>
        <n v="63.69"/>
        <n v="39.68"/>
        <n v="57.96"/>
        <n v="69.71"/>
        <n v="51.95"/>
        <n v="51.92"/>
        <n v="61.62"/>
        <n v="62.14"/>
        <n v="96.95"/>
        <n v="50.26"/>
        <n v="48.91"/>
        <n v="86.3"/>
        <n v="98.84"/>
        <n v="50.39"/>
        <n v="22.3"/>
        <n v="99.57"/>
        <n v="61.09"/>
        <n v="1.51"/>
        <n v="82.52"/>
        <n v="79.67"/>
        <n v="72.51"/>
        <n v="41.86"/>
        <n v="14.98"/>
        <n v="73.66"/>
        <n v="1.83"/>
        <n v="44.99"/>
        <n v="52.34"/>
        <n v="0.46"/>
        <n v="37.46"/>
        <n v="23.87"/>
        <n v="28.75"/>
        <n v="23.54"/>
        <n v="54.06"/>
        <n v="73.76"/>
        <n v="76.72"/>
        <n v="37.1"/>
        <n v="0.16"/>
        <n v="81.04"/>
        <n v="6.02"/>
        <n v="87.62"/>
        <n v="75.22"/>
        <n v="96.14"/>
        <n v="32.36"/>
        <n v="54.18"/>
        <n v="10.82"/>
        <n v="60.54"/>
        <n v="58.66"/>
        <n v="27.21"/>
        <n v="39.08"/>
        <n v="35.75"/>
        <n v="97.66"/>
        <n v="14.13"/>
        <n v="54.64"/>
        <n v="41.85"/>
        <n v="68.76"/>
        <n v="67.12"/>
        <n v="5.48"/>
        <n v="33.25"/>
        <n v="31.13"/>
        <n v="68.94"/>
        <n v="75.43"/>
        <n v="25.22"/>
        <n v="90.87"/>
        <n v="26.46"/>
        <n v="16.55"/>
        <n v="65.92"/>
        <n v="71.17"/>
        <n v="70.24"/>
        <n v="64.89"/>
        <n v="6.22"/>
        <n v="33.53"/>
        <n v="83.42"/>
        <n v="91.94"/>
        <n v="26.61"/>
        <n v="31.47"/>
        <n v="18.34"/>
        <n v="50.88"/>
        <n v="45.49"/>
        <n v="38.37"/>
        <n v="44.59"/>
        <n v="13.0"/>
        <n v="45.32"/>
        <n v="0.74"/>
        <n v="43.02"/>
        <n v="20.49"/>
        <n v="47.74"/>
        <n v="40.17"/>
        <n v="33.02"/>
        <n v="10.05"/>
        <n v="83.74"/>
        <n v="44.13"/>
        <n v="82.26"/>
        <n v="69.65"/>
        <n v="7.63"/>
        <n v="13.21"/>
        <n v="86.85"/>
        <n v="96.26"/>
        <n v="29.73"/>
        <n v="33.29"/>
        <n v="81.93"/>
        <n v="54.6"/>
        <n v="29.94"/>
        <n v="70.95"/>
        <n v="66.7"/>
        <n v="50.76"/>
        <n v="35.2"/>
        <n v="93.46"/>
        <n v="84.34"/>
        <n v="96.46"/>
        <n v="13.57"/>
        <n v="29.91"/>
        <n v="5.11"/>
        <n v="94.6"/>
        <n v="66.93"/>
        <n v="9.69"/>
        <n v="87.26"/>
        <n v="35.92"/>
        <n v="59.61"/>
        <n v="26.24"/>
        <n v="17.44"/>
        <n v="46.18"/>
        <n v="54.39"/>
        <n v="55.02"/>
        <n v="45.07"/>
        <n v="87.03"/>
        <n v="81.03"/>
        <n v="46.39"/>
        <n v="88.12"/>
        <n v="52.16"/>
        <n v="76.22"/>
        <n v="98.81"/>
        <n v="88.14"/>
        <n v="5.84"/>
        <n v="15.86"/>
        <n v="26.05"/>
        <n v="4.57"/>
        <n v="73.14"/>
        <n v="55.07"/>
        <n v="9.62"/>
        <n v="62.09"/>
        <n v="62.87"/>
        <n v="17.83"/>
        <n v="81.28"/>
        <n v="64.82"/>
        <n v="39.55"/>
        <n v="93.57"/>
        <n v="65.66"/>
        <n v="79.93"/>
        <n v="83.85"/>
        <n v="44.05"/>
        <n v="66.21"/>
        <n v="9.98"/>
        <n v="71.37"/>
        <n v="77.67"/>
        <n v="48.34"/>
        <n v="82.86"/>
        <n v="38.04"/>
        <n v="14.54"/>
        <n v="36.85"/>
        <n v="82.37"/>
        <n v="53.5"/>
        <n v="66.41"/>
        <n v="68.0"/>
        <n v="59.99"/>
        <n v="92.01"/>
        <n v="70.78"/>
        <n v="6.03"/>
        <n v="22.82"/>
        <m/>
      </sharedItems>
    </cacheField>
    <cacheField name="Network Inbound Data (Bytes)" numFmtId="0">
      <sharedItems containsString="0" containsBlank="1" containsNumber="1" containsInteger="1">
        <n v="7.7097035547E10"/>
        <n v="8.239357017E9"/>
        <n v="2.3358691883E10"/>
        <n v="5.3404385778E10"/>
        <n v="1.0795270461E10"/>
        <n v="6.7970493743E10"/>
        <n v="2.7515142149E10"/>
        <n v="6.907912595E10"/>
        <n v="1.4639390405E10"/>
        <n v="7.2632018521E10"/>
        <n v="6.0327278928E10"/>
        <n v="9.2616000746E10"/>
        <n v="1.5213923507E10"/>
        <n v="4.7714907583E10"/>
        <n v="6.4719533732E10"/>
        <n v="1.4130706238E10"/>
        <n v="6.105357266E10"/>
        <n v="7.0591459011E10"/>
        <n v="2.4459345122E10"/>
        <n v="5.0023921405E10"/>
        <n v="2.7785646604E10"/>
        <n v="3.1595229818E10"/>
        <n v="3.5788463783E10"/>
        <n v="9.6990383791E10"/>
        <n v="3.1182295135E10"/>
        <n v="7.5263901953E10"/>
        <n v="8.4041157244E10"/>
        <n v="8.8256196324E10"/>
        <n v="5.4485062086E10"/>
        <n v="3.4927527769E10"/>
        <n v="8.7269231137E10"/>
        <n v="9.3395407276E10"/>
        <n v="2.4527235493E10"/>
        <n v="1.3159648227E10"/>
        <n v="9.8160908124E10"/>
        <n v="3.5137713111E10"/>
        <n v="4.7790743712E10"/>
        <n v="5.8205533146E10"/>
        <n v="7.9950895147E10"/>
        <n v="3.9972807265E10"/>
        <n v="4.7432776135E10"/>
        <n v="6.7988066933E10"/>
        <n v="3.2935662005E10"/>
        <n v="8.7565187937E10"/>
        <n v="3.6394756934E10"/>
        <n v="7.0657848518E10"/>
        <n v="9.171731168E10"/>
        <n v="8.9003991655E10"/>
        <n v="4.9573513144E10"/>
        <n v="3.5775812684E10"/>
        <n v="4.6082827894E10"/>
        <n v="1.9271396797E10"/>
        <n v="4.946636304E10"/>
        <n v="3.2960902132E10"/>
        <n v="7.4434872643E10"/>
        <n v="4.0121800532E10"/>
        <n v="1.3441390615E10"/>
        <n v="7.9528411554E10"/>
        <n v="9.3545537622E10"/>
        <n v="9.0527835813E10"/>
        <n v="6.7918645337E10"/>
        <n v="9.5888780202E10"/>
        <n v="4.4584192276E10"/>
        <n v="3.6054564196E10"/>
        <n v="9.7102223452E10"/>
        <n v="6.652379505E10"/>
        <n v="5.0602995142E10"/>
        <n v="8.4728951352E10"/>
        <n v="4.991176366E9"/>
        <n v="9.1345077372E10"/>
        <n v="6.9278146151E10"/>
        <n v="6.419077674E9"/>
        <n v="8.6582029073E10"/>
        <n v="7.6959968688E10"/>
        <n v="6.0637102983E10"/>
        <n v="1.1254718888E10"/>
        <n v="2.0012839291E10"/>
        <n v="9.4863560207E10"/>
        <n v="3.95751099E10"/>
        <n v="6.9192548519E10"/>
        <n v="4.134917123E9"/>
        <n v="4.8325139711E10"/>
        <n v="5.6424730118E10"/>
        <n v="8.9921435525E10"/>
        <n v="1.9838594075E10"/>
        <n v="1.7720150775E10"/>
        <n v="2.3586761723E10"/>
        <n v="1.9452817894E10"/>
        <n v="3.696418486E9"/>
        <n v="8.8644466509E10"/>
        <n v="3.0995393336E10"/>
        <n v="4.3819259319E10"/>
        <n v="1.6632427891E10"/>
        <n v="6.2397005339E10"/>
        <n v="1.1088197445E10"/>
        <n v="3.8218995247E10"/>
        <n v="2.8186130091E10"/>
        <n v="3.3548048805E10"/>
        <n v="1.5437392711E10"/>
        <n v="2.044183245E10"/>
        <n v="7.6642890596E10"/>
        <n v="4.6826161996E10"/>
        <n v="8.6188507705E10"/>
        <n v="9.0325073305E10"/>
        <n v="9.8546508449E10"/>
        <n v="3.9898883632E10"/>
        <n v="4.7088754447E10"/>
        <n v="1.8073950898E10"/>
        <n v="1.0768910855E10"/>
        <n v="2.1532985039E10"/>
        <n v="6.5244828596E10"/>
        <n v="1.2626016997E10"/>
        <n v="6.6009372373E10"/>
        <n v="5.905788046E9"/>
        <n v="4.2831912294E10"/>
        <n v="3.9375271299E10"/>
        <n v="9.4605229974E10"/>
        <n v="7.1692174147E10"/>
        <n v="7.550665529E10"/>
        <n v="7.498329203E10"/>
        <n v="1.240181363E10"/>
        <n v="8.719227748E9"/>
        <n v="4.1209869585E10"/>
        <n v="9.465505252E9"/>
        <n v="5.553336123E10"/>
        <n v="7.043800643E9"/>
        <n v="8.4348089965E10"/>
        <n v="2.8268074454E10"/>
        <n v="2.2472644762E10"/>
        <n v="2.4165580908E10"/>
        <n v="4.338182587E9"/>
        <n v="1.2046826888E10"/>
        <n v="3.6974776658E10"/>
        <n v="8.9313187681E10"/>
        <n v="1.4203586534E10"/>
        <n v="3.871554594E9"/>
        <n v="3.6700200498E10"/>
        <n v="4.7338870319E10"/>
        <n v="4.1389322836E10"/>
        <n v="8.3185498241E10"/>
        <n v="2.577353951E9"/>
        <n v="1.6242121259E10"/>
        <n v="9.8898014103E10"/>
        <n v="2.7863103086E10"/>
        <n v="2.6704872779E10"/>
        <n v="1.2064722865E10"/>
        <n v="5.5706638511E10"/>
        <n v="8.1265407319E10"/>
        <n v="1.4816960426E10"/>
        <n v="2.733413636E9"/>
        <n v="2.2028437577E10"/>
        <n v="9.0250268485E10"/>
        <n v="4.1021653388E10"/>
        <n v="4.0690406858E10"/>
        <n v="4.9133289978E10"/>
        <n v="6.6245831479E10"/>
        <n v="6.7740447477E10"/>
        <n v="5.9618341689E10"/>
        <n v="2.6482469626E10"/>
        <n v="8.5684453033E10"/>
        <n v="3.859269819E10"/>
        <n v="6.2733736295E10"/>
        <n v="3.8855757756E10"/>
        <n v="6.6864225934E10"/>
        <n v="8.648174636E9"/>
        <n v="7.7197161447E10"/>
        <n v="2.5349910366E10"/>
        <n v="5.7070039373E10"/>
        <n v="6.5876897775E10"/>
        <n v="5.381390902E10"/>
        <n v="6.1905026501E10"/>
        <n v="9.7238146056E10"/>
        <n v="8.4776844257E10"/>
        <n v="3.379128365E9"/>
        <n v="4.379117542E9"/>
        <n v="1.65733187E9"/>
        <n v="6.3346149998E10"/>
        <n v="9.9559644545E10"/>
        <n v="8.0653163423E10"/>
        <n v="6.0578679054E10"/>
        <n v="7.315814339E9"/>
        <n v="7.1678352875E10"/>
        <n v="5.3292001133E10"/>
        <n v="3.1692931997E10"/>
        <n v="5.0360694511E10"/>
        <n v="2.4203029756E10"/>
        <n v="7.176355981E10"/>
        <n v="9.9690425133E10"/>
        <n v="6.758821856E10"/>
        <n v="2.689985021E10"/>
        <n v="1.4266501219E10"/>
        <n v="2.3645124707E10"/>
        <n v="9.1843197769E10"/>
        <n v="1.4979783091E10"/>
        <n v="9.643213347E10"/>
        <n v="5.214461831E10"/>
        <n v="5.9688317254E10"/>
        <n v="5.2672910291E10"/>
        <n v="1.2713936435E10"/>
        <n v="6.5766089414E10"/>
        <n v="8.6373536028E10"/>
        <n v="1.5702113681E10"/>
        <n v="9.8551362779E10"/>
        <n v="7.8305234617E10"/>
        <n v="8.7648117518E10"/>
        <n v="5.9160783943E10"/>
        <n v="1.6767803634E10"/>
        <n v="7.8376768286E10"/>
        <n v="3.1889502464E10"/>
        <n v="4.3700610779E10"/>
        <n v="3.2831863634E10"/>
        <n v="5.5443426727E10"/>
        <n v="6.6431832313E10"/>
        <n v="6.601516991E10"/>
        <n v="5.5869074709E10"/>
        <n v="3.2991739742E10"/>
        <n v="9.5481842905E10"/>
        <n v="9.294265963E10"/>
        <n v="1.0655239773E10"/>
        <n v="4.5169397512E10"/>
        <n v="2.1696064512E10"/>
        <n v="8.6182660634E10"/>
        <n v="4.2388780819E10"/>
        <n v="4.6527911504E10"/>
        <n v="9.4296289933E10"/>
        <n v="7.3610364832E10"/>
        <n v="2.2637099957E10"/>
        <n v="4.7731592778E10"/>
        <n v="5.9076497181E10"/>
        <n v="2.0878335863E10"/>
        <n v="6.5950112568E10"/>
        <n v="1.5610460343E10"/>
        <n v="9.801629391E10"/>
        <n v="6.8066971596E10"/>
        <n v="4.382792397E9"/>
        <n v="8.7271684521E10"/>
        <n v="6.5049379625E10"/>
        <n v="1.0445114237E10"/>
        <n v="5.82749435E10"/>
        <n v="3.814191214E10"/>
        <n v="6.920202928E10"/>
        <n v="7.0920563187E10"/>
        <n v="5.884612949E10"/>
        <n v="6.6605578559E10"/>
        <n v="6.365195429E9"/>
        <n v="6.0113044013E10"/>
        <n v="5.4360034912E10"/>
        <n v="7.4333715439E10"/>
        <n v="4.0399318096E10"/>
        <n v="1.6232800047E10"/>
        <n v="3.3496707994E10"/>
        <n v="1.4077225055E10"/>
        <n v="7.8806557651E10"/>
        <n v="5.3588211707E10"/>
        <n v="4.6054613143E10"/>
        <n v="5.111385877E9"/>
        <n v="6.0174329539E10"/>
        <n v="9.2219059947E10"/>
        <n v="4.6536399963E10"/>
        <n v="5.2489355406E10"/>
        <n v="3.437493141E9"/>
        <n v="2.8049316982E10"/>
        <n v="9.185164573E9"/>
        <n v="3.327188954E9"/>
        <n v="1.7654042718E10"/>
        <n v="7.9766617491E10"/>
        <n v="1.1207230058E10"/>
        <n v="8.0918182788E10"/>
        <n v="1.3345361356E10"/>
        <n v="9.7735710909E10"/>
        <n v="3.7777140467E10"/>
        <n v="8.3987459484E10"/>
        <n v="2.5286343338E10"/>
        <n v="6.223155302E9"/>
        <n v="5.96499864E9"/>
        <n v="5.7735263274E10"/>
        <n v="4.7312241597E10"/>
        <n v="2.4102967462E10"/>
        <n v="1.3766036928E10"/>
        <n v="6.3199644696E10"/>
        <n v="5.4268857907E10"/>
        <n v="6.8388437354E10"/>
        <n v="3.8892223577E10"/>
        <n v="7.2020991027E10"/>
        <n v="1.6213958271E10"/>
        <n v="7.3947753429E10"/>
        <n v="4.028608736E9"/>
        <n v="4.1790748625E10"/>
        <n v="5.710974286E10"/>
        <n v="8.8335739819E10"/>
        <n v="1.031886918E9"/>
        <n v="9.2640197584E10"/>
        <n v="6.9458668373E10"/>
        <n v="8.3207228959E10"/>
        <n v="2.8166238801E10"/>
        <n v="2.857084277E9"/>
        <n v="5.6299065995E10"/>
        <n v="3.4279058769E10"/>
        <n v="8.190551982E10"/>
        <n v="7.5269655994E10"/>
        <n v="7.872419289E10"/>
        <n v="7.8477752098E10"/>
        <n v="8.7811828441E10"/>
        <n v="3.592743618E9"/>
        <n v="9.9747398472E10"/>
        <n v="2.865101214E10"/>
        <n v="7.1136873838E10"/>
        <n v="2.4624786354E10"/>
        <n v="4.773068726E9"/>
        <n v="7.0761031842E10"/>
        <n v="3.6836744438E10"/>
        <n v="3.4586931717E10"/>
        <n v="7.4586150767E10"/>
        <n v="5.6910738249E10"/>
        <n v="3.9391998186E10"/>
        <n v="5.2142857257E10"/>
        <n v="8.1939046283E10"/>
        <n v="2.5364257534E10"/>
        <n v="3.730716178E10"/>
        <n v="8.6611985073E10"/>
        <n v="4.0233865968E10"/>
        <n v="5.1699509941E10"/>
        <n v="9.313854289E10"/>
        <n v="3.777085117E9"/>
        <n v="7.2340339037E10"/>
        <n v="7.3702127574E10"/>
        <n v="4.0692757568E10"/>
        <n v="8.8779763311E10"/>
        <n v="5.7395783635E10"/>
        <n v="8.3416670685E10"/>
        <n v="5.3504390791E10"/>
        <n v="6.3239879907E10"/>
        <n v="5.0490854855E10"/>
        <n v="9.3719184439E10"/>
        <n v="5.1211702E10"/>
        <n v="7.858161709E9"/>
        <n v="9.5554380366E10"/>
        <n v="8.2517483439E10"/>
        <n v="7.1141485983E10"/>
        <n v="8.3812667148E10"/>
        <n v="6.503092444E9"/>
        <n v="3.688312366E9"/>
        <n v="5.3035924242E10"/>
        <n v="8.6268017228E10"/>
        <n v="8.9055577237E10"/>
        <n v="4.2891926185E10"/>
        <n v="4.6183519043E10"/>
        <n v="5.8779022555E10"/>
        <n v="6.2393207408E10"/>
        <n v="1.9398010695E10"/>
        <n v="5.1345086472E10"/>
        <n v="3.1573493695E10"/>
        <n v="5.4377988584E10"/>
        <n v="6.1746897051E10"/>
        <n v="6.6518850001E10"/>
        <n v="6.5136667002E10"/>
        <n v="9.263934936E10"/>
        <n v="1.376717326E10"/>
        <n v="7.1907689924E10"/>
        <n v="2.7914653321E10"/>
        <n v="9.9775084902E10"/>
        <n v="8.5654937298E10"/>
        <n v="5.4770195468E10"/>
        <n v="9.5116553397E10"/>
        <n v="5.7269897913E10"/>
        <n v="3.9173049234E10"/>
        <n v="3.0752391797E10"/>
        <n v="3.080550399E10"/>
        <n v="5.2962884609E10"/>
        <n v="8.8341396062E10"/>
        <n v="2.399122689E9"/>
        <n v="4.4920915235E10"/>
        <n v="8.968415056E10"/>
        <n v="4.5663327294E10"/>
        <n v="5.7581322914E10"/>
        <n v="7.4408297866E10"/>
        <n v="8.5612385477E10"/>
        <n v="7.9400349492E10"/>
        <n v="5.4839097396E10"/>
        <n v="3.8955545333E10"/>
        <n v="1.003429085E9"/>
        <n v="9.1124289122E10"/>
        <n v="5.3055192457E10"/>
        <n v="6.4401229845E10"/>
        <n v="9.8622822131E10"/>
        <n v="4.9438110444E10"/>
        <n v="7.6647365947E10"/>
        <n v="6.0470173731E10"/>
        <n v="1.7702733118E10"/>
        <n v="3.3639295727E10"/>
        <n v="4.6437633971E10"/>
        <n v="8.7922833079E10"/>
        <n v="4.5773425452E10"/>
        <n v="5.4964652526E10"/>
        <n v="8.0156463931E10"/>
        <n v="9.7371163399E10"/>
        <n v="4.9120972614E10"/>
        <n v="2.9992475352E10"/>
        <n v="6.1403398421E10"/>
        <n v="1.075058312E9"/>
        <n v="6.3118343231E10"/>
        <n v="6.4482162259E10"/>
        <n v="3.7069716948E10"/>
        <n v="1.3536351212E10"/>
        <n v="7.8065298345E10"/>
        <n v="2.4385888545E10"/>
        <n v="3.730728545E10"/>
        <n v="4.7512963582E10"/>
        <n v="5.4561715828E10"/>
        <n v="1.084525696E9"/>
        <n v="1.147988415E9"/>
        <n v="2.7035224267E10"/>
        <n v="5.4809300779E10"/>
        <n v="6.3709431289E10"/>
        <n v="8.1736099653E10"/>
        <n v="4.1531939962E10"/>
        <n v="3.2232166555E10"/>
        <n v="4.6826151869E10"/>
        <n v="5.5430618756E10"/>
        <n v="2.0383355094E10"/>
        <n v="7.7535591565E10"/>
        <n v="5.8620649414E10"/>
        <n v="5.443310677E10"/>
        <n v="2.5150370134E10"/>
        <n v="6.0151911059E10"/>
        <n v="5.4241583252E10"/>
        <n v="2.7372833458E10"/>
        <n v="8.6766791508E10"/>
        <n v="3.2172473599E10"/>
        <n v="6.8957858292E10"/>
        <n v="7.4236760939E10"/>
        <n v="3.7778937466E10"/>
        <n v="9.1385878855E10"/>
        <n v="8.8206941777E10"/>
        <n v="1.3312165667E10"/>
        <n v="4.706562452E10"/>
        <n v="8.522565438E9"/>
        <n v="2.1758984558E10"/>
        <n v="5.1132749322E10"/>
        <n v="3.4795591732E10"/>
        <n v="6.676186418E10"/>
        <n v="6.5154191816E10"/>
        <n v="7.879345431E10"/>
        <n v="8.497823584E9"/>
        <n v="5.2643788421E10"/>
        <n v="9.4036329618E10"/>
        <n v="6.831903833E10"/>
        <n v="6.9480115831E10"/>
        <n v="5.2173189329E10"/>
        <n v="7.5758823867E10"/>
        <n v="3.76350396E10"/>
        <n v="5.1944180329E10"/>
        <n v="7.8397568587E10"/>
        <n v="1.2859809582E10"/>
        <n v="8.539982266E10"/>
        <n v="7.581585531E10"/>
        <n v="2.8103457034E10"/>
        <n v="8.742956924E9"/>
        <n v="6.7560162667E10"/>
        <n v="8.0974628179E10"/>
        <n v="3.4053044273E10"/>
        <n v="6.2016239417E10"/>
        <n v="5.3579415957E10"/>
        <n v="7.1864987424E10"/>
        <n v="1.398975087E10"/>
        <n v="4.228666293E10"/>
        <n v="3.7088440029E10"/>
        <n v="4.0823083814E10"/>
        <n v="6.9487180961E10"/>
        <n v="4.9952769831E10"/>
        <n v="7.015264415E10"/>
        <n v="8.8253570412E10"/>
        <n v="4.2359936599E10"/>
        <n v="9.0576095043E10"/>
        <n v="2.8698797112E10"/>
        <n v="2.9991632738E10"/>
        <n v="6.5971441196E10"/>
        <n v="8.9767050146E10"/>
        <n v="7.7891960564E10"/>
        <n v="9.9384435137E10"/>
        <n v="7.4957443833E10"/>
        <n v="8.8791419619E10"/>
        <n v="2.4693488729E10"/>
        <n v="1.5463764402E10"/>
        <n v="1.2800826448E10"/>
        <n v="8.3615331252E10"/>
        <n v="9.1262089886E10"/>
        <n v="6.7416968205E10"/>
        <n v="4.8517654747E10"/>
        <n v="1.133394967E10"/>
        <n v="7.0047833308E10"/>
        <n v="6.7608118188E10"/>
        <n v="1.4301676109E10"/>
        <n v="6.0974905611E10"/>
        <n v="5.3523273097E10"/>
        <n v="1.0562894177E10"/>
        <n v="4.4103227816E10"/>
        <n v="4.8701052634E10"/>
        <n v="7.099000133E9"/>
        <n v="4.5591857672E10"/>
        <n v="4.2687364956E10"/>
        <n v="6.808324173E10"/>
        <n v="4.2088709475E10"/>
        <n v="8.8567934458E10"/>
        <n v="2.9109235817E10"/>
        <n v="4.2518402531E10"/>
        <n v="8.0869010194E10"/>
        <n v="8.6788522803E10"/>
        <n v="7.0457004515E10"/>
        <n v="9.3395819976E10"/>
        <n v="4.3826343439E10"/>
        <n v="2.108806264E10"/>
        <n v="6.536459949E9"/>
        <n v="9.3819059399E10"/>
        <n v="2.7734517911E10"/>
        <n v="5.3217530515E10"/>
        <n v="9.691223949E9"/>
        <n v="9.1173793493E10"/>
        <n v="2.8040215152E10"/>
        <n v="9.4269782824E10"/>
        <n v="9.5693307169E10"/>
        <n v="5.2698888928E10"/>
        <n v="8.6403888554E10"/>
        <n v="7.8666218849E10"/>
        <n v="6.0339419641E10"/>
        <n v="8.3320723084E10"/>
        <n v="8.1293484517E10"/>
        <n v="8.2309446703E10"/>
        <n v="4.6645088937E10"/>
        <n v="9.6608816612E10"/>
        <n v="7.0776801115E10"/>
        <n v="2.7363451299E10"/>
        <n v="4.145901421E10"/>
        <n v="1.6624322226E10"/>
        <n v="1.3537126855E10"/>
        <n v="8.9140612486E10"/>
        <n v="3.8561687282E10"/>
        <n v="6.219147399E9"/>
        <n v="4.9968206937E10"/>
        <n v="6.4985616255E10"/>
        <n v="4.4055330491E10"/>
        <n v="2.2470722254E10"/>
        <n v="1.570346992E10"/>
        <n v="4.6113640301E10"/>
        <n v="4.7148543586E10"/>
        <n v="3.5134645139E10"/>
        <n v="2.707689102E9"/>
        <n v="3.6443878481E10"/>
        <n v="5.708649608E10"/>
        <n v="4.1665426239E10"/>
        <n v="6.6275745278E10"/>
        <n v="9.9506684814E10"/>
        <n v="2.2227345114E10"/>
        <n v="4.7400717792E10"/>
        <n v="7.407345405E10"/>
        <n v="9.2008303208E10"/>
        <n v="7.430082041E10"/>
        <n v="2.0945802878E10"/>
        <n v="1.7152367E10"/>
        <n v="7.227149701E10"/>
        <n v="7.1228556714E10"/>
        <n v="6.676334712E10"/>
        <n v="1.465636726E10"/>
        <n v="6.4347112189E10"/>
        <n v="8.9586422372E10"/>
        <n v="7.8184512938E10"/>
        <n v="5.6304430755E10"/>
        <n v="6.5864508923E10"/>
        <n v="7.7464457242E10"/>
        <n v="1.196113039E10"/>
        <n v="8.6262733765E10"/>
        <n v="4.983017782E9"/>
        <n v="8.9584285188E10"/>
        <n v="2.5153342634E10"/>
        <n v="2.260036751E10"/>
        <n v="8.9123002558E10"/>
        <n v="8.9176509871E10"/>
        <n v="9.755217181E9"/>
        <n v="4.3895284601E10"/>
        <n v="6.4011750754E10"/>
        <n v="9.4131763984E10"/>
        <n v="9.6240826717E10"/>
        <n v="9.1183939033E10"/>
        <n v="7.782785245E9"/>
        <n v="8.0406916505E10"/>
        <n v="9.537209976E10"/>
        <n v="3.8288332782E10"/>
        <n v="5.9952324151E10"/>
        <n v="4.6192771254E10"/>
        <n v="6.6031799701E10"/>
        <n v="7.5535230544E10"/>
        <n v="5.4199201379E10"/>
        <n v="3.0211701461E10"/>
        <n v="4.968760381E9"/>
        <n v="1.4507368142E10"/>
        <n v="4.7722928764E10"/>
        <n v="3.8117025024E10"/>
        <n v="8.1865257366E10"/>
        <n v="8.0624515493E10"/>
        <n v="5.8360197356E10"/>
        <n v="5.0485341786E10"/>
        <n v="9.4135245422E10"/>
        <n v="5.3528253656E10"/>
        <n v="2.7065705673E10"/>
        <n v="9.0173241605E10"/>
        <n v="8.0225660303E10"/>
        <n v="8.3126833068E10"/>
        <n v="6.1917587897E10"/>
        <n v="7.938375261E10"/>
        <n v="7.6049289371E10"/>
        <n v="2.6769360946E10"/>
        <n v="5.0942367098E10"/>
        <n v="3.8215807762E10"/>
        <n v="6.0995867173E10"/>
        <n v="3.8046686352E10"/>
        <n v="7.7440994177E10"/>
        <n v="1.3212279998E10"/>
        <n v="1.0886501175E10"/>
        <n v="6.0202055264E10"/>
        <n v="6.2624375224E10"/>
        <n v="3.9058017625E10"/>
        <n v="3.2475050333E10"/>
        <n v="8.9802450137E10"/>
        <n v="9.0103791429E10"/>
        <n v="4.16957707E9"/>
        <n v="4.8909078248E10"/>
        <n v="9.14725292E9"/>
        <n v="8.4496301651E10"/>
        <n v="5.2580606871E10"/>
        <n v="1.6174137911E10"/>
        <n v="7.5436784164E10"/>
        <n v="6.5233713287E10"/>
        <n v="7.8340522052E10"/>
        <n v="1.2624630979E10"/>
        <n v="2.6239273306E10"/>
        <n v="4.984717928E9"/>
        <n v="2.6883540687E10"/>
        <n v="2.4663740242E10"/>
        <n v="8.7248623585E10"/>
        <n v="1.959784952E10"/>
        <n v="9.3663664453E10"/>
        <n v="1.754509079E10"/>
        <n v="9.9716836901E10"/>
        <n v="8.7072187476E10"/>
        <n v="9.8221012165E10"/>
        <n v="9.4448273573E10"/>
        <n v="7.4428790693E10"/>
        <n v="9.188789805E10"/>
        <n v="4.1353387123E10"/>
        <n v="2.6330187674E10"/>
        <n v="1.9127660859E10"/>
        <n v="4.9432835031E10"/>
        <n v="9.1222256614E10"/>
        <n v="5.5231442932E10"/>
        <n v="6.5787375716E10"/>
        <n v="9.3946177259E10"/>
        <n v="4.8852615149E10"/>
        <n v="3.2128373004E10"/>
        <n v="2.0719596409E10"/>
        <n v="2.775461869E10"/>
        <n v="3.0514861798E10"/>
        <n v="6.2721425289E10"/>
        <n v="1.3379480317E10"/>
        <n v="4.051874744E9"/>
        <n v="4.9637105643E10"/>
        <n v="6.9669692064E10"/>
        <n v="1.1043575144E10"/>
        <n v="2.1583247587E10"/>
        <n v="6.4079190131E10"/>
        <n v="1.5502968944E10"/>
        <n v="9.2734171158E10"/>
        <n v="8.7647637512E10"/>
        <n v="1.2677499842E10"/>
        <n v="8.940332711E9"/>
        <n v="9.0804234874E10"/>
        <n v="8.03520492E10"/>
        <n v="4.7511595763E10"/>
        <n v="7.5364762439E10"/>
        <n v="8.1479153306E10"/>
        <n v="4.3868885858E10"/>
        <n v="4.7407570072E10"/>
        <n v="4.3537352308E10"/>
        <n v="9.3989384817E10"/>
        <n v="4.8017673402E10"/>
        <n v="4.16603926E10"/>
        <n v="5.6540203796E10"/>
        <n v="8.8789753885E10"/>
        <n v="3.2886761948E10"/>
        <n v="4.2359675619E10"/>
        <n v="8.7228922486E10"/>
        <n v="8.6808016202E10"/>
        <n v="3.5168275881E10"/>
        <n v="8.8850957657E10"/>
        <n v="6.2749645572E10"/>
        <n v="1.5964690505E10"/>
        <n v="6.6129027399E10"/>
        <n v="7.5172925598E10"/>
        <n v="8.7765223697E10"/>
        <n v="9.9045026637E10"/>
        <n v="3.6243105504E10"/>
        <n v="7.5582087702E10"/>
        <n v="8.9864872774E10"/>
        <n v="6.9401060148E10"/>
        <n v="3.993477298E9"/>
        <n v="4.9294000807E10"/>
        <n v="7.2922188358E10"/>
        <n v="1.182748459E9"/>
        <n v="8.3139711355E10"/>
        <n v="7.2585159345E10"/>
        <n v="3.2996592113E10"/>
        <n v="3.8518452231E10"/>
        <n v="7.9097760525E10"/>
        <n v="3.3005849885E10"/>
        <n v="8.1529079148E10"/>
        <n v="9.7156852662E10"/>
        <n v="5.9333182051E10"/>
        <n v="5.8377579384E10"/>
        <n v="8.3290683034E10"/>
        <n v="1.9913289223E10"/>
        <n v="8.1159809793E10"/>
        <n v="1.3501372933E10"/>
        <n v="8.8097720514E10"/>
        <n v="5.3390461988E10"/>
        <n v="6.03617051E9"/>
        <n v="2.1937055382E10"/>
        <n v="5.9664182873E10"/>
        <n v="9.312126094E10"/>
        <n v="8.8559986595E10"/>
        <n v="8.5636532562E10"/>
        <n v="1.6295257581E10"/>
        <n v="2.200590863E9"/>
        <n v="1.84067999E9"/>
        <n v="3.6366480544E10"/>
        <n v="7.5117876119E10"/>
        <n v="6.524190357E9"/>
        <n v="2.624008651E10"/>
        <n v="4.4940959229E10"/>
        <n v="8.8170142617E10"/>
        <n v="3.2131523802E10"/>
        <n v="6.3037904388E10"/>
        <n v="8.896119203E9"/>
        <n v="6.2355715755E10"/>
        <n v="4.79931044E9"/>
        <n v="6.183948417E9"/>
        <n v="4.4721659132E10"/>
        <n v="7.6446416469E10"/>
        <n v="9.9837928325E10"/>
        <n v="5.6748191227E10"/>
        <n v="4.7622186957E10"/>
        <n v="6.526956101E10"/>
        <n v="1.5861339674E10"/>
        <n v="9.2687205187E10"/>
        <n v="6.3126220369E10"/>
        <n v="8.9316801399E10"/>
        <n v="4.2366270242E10"/>
        <n v="2.8455636699E10"/>
        <n v="9.3211993022E10"/>
        <n v="8.6429005279E10"/>
        <n v="6.6205049163E10"/>
        <n v="4.3277879187E10"/>
        <n v="2.537925189E9"/>
        <n v="1.2342194435E10"/>
        <n v="1.000234937E10"/>
        <n v="8.0097248991E10"/>
        <n v="2.8070401971E10"/>
        <n v="9.1751558202E10"/>
        <n v="3.1260176038E10"/>
        <n v="6.2679280845E10"/>
        <n v="9.5064475095E10"/>
        <n v="2.2144116941E10"/>
        <n v="5.1467578269E10"/>
        <n v="6.5677197554E10"/>
        <n v="7.9774742812E10"/>
        <n v="1.1948780908E10"/>
        <n v="4.84838864E10"/>
        <n v="3.0086018529E10"/>
        <n v="1.9782768099E10"/>
        <n v="4.7040973113E10"/>
        <n v="5.6740180306E10"/>
        <n v="9.441641312E10"/>
        <n v="8.2571392245E10"/>
        <n v="2.0635699503E10"/>
        <n v="3.5401774619E10"/>
        <n v="8.6499354372E10"/>
        <n v="7.6472318775E10"/>
        <n v="7.5882534919E10"/>
        <n v="2.042767077E10"/>
        <n v="7.3106122811E10"/>
        <n v="2.2376598442E10"/>
        <n v="7.0554590057E10"/>
        <n v="7.2133762805E10"/>
        <n v="8.3122842259E10"/>
        <n v="3.7576289546E10"/>
        <n v="3.30203501E10"/>
        <n v="1.1065384355E10"/>
        <n v="8.4458700721E10"/>
        <n v="9.0235122681E10"/>
        <n v="2.6681757591E10"/>
        <n v="5.0524366416E10"/>
        <n v="1.2227499618E10"/>
        <n v="4.3211531039E10"/>
        <n v="1.1776359265E10"/>
        <n v="8.0810027545E10"/>
        <n v="3.0387152004E10"/>
        <n v="2.957530557E9"/>
        <n v="4.7423037699E10"/>
        <n v="4.4727126673E10"/>
        <n v="8.822992539E10"/>
        <n v="1.038679308E9"/>
        <n v="4.359372161E10"/>
        <n v="1.1301198401E10"/>
        <n v="4.8523174581E10"/>
        <n v="3.9095990149E10"/>
        <n v="9.3325878549E10"/>
        <n v="3.3326456106E10"/>
        <n v="5.5442069999E10"/>
        <n v="7.4025589911E10"/>
        <n v="7.8234763502E10"/>
        <n v="2.022728754E10"/>
        <n v="3.7369937349E10"/>
        <n v="1.9503952454E10"/>
        <n v="7.2892190659E10"/>
        <n v="1.815786124E10"/>
        <n v="3.668732404E10"/>
        <n v="8.8995413371E10"/>
        <n v="1.7717813072E10"/>
        <n v="2.8995209715E10"/>
        <n v="1.7964013909E10"/>
        <n v="1.0093349684E10"/>
        <n v="5.9168350548E10"/>
        <n v="3.9961530048E10"/>
        <n v="4.5131283127E10"/>
        <n v="1.7780576274E10"/>
        <n v="8.7699225085E10"/>
        <n v="9.7271842205E10"/>
        <n v="7.1993398692E10"/>
        <n v="5.1083335309E10"/>
        <n v="5.4886361862E10"/>
        <n v="9.7624944269E10"/>
        <n v="5.6062052295E10"/>
        <n v="7.0482607937E10"/>
        <n v="2.7269706614E10"/>
        <n v="5.4773978257E10"/>
        <n v="1.791250551E9"/>
        <n v="8.1987854667E10"/>
        <n v="9.1627430806E10"/>
        <n v="5.3965957218E10"/>
        <n v="4.2348481451E10"/>
        <n v="2.3086198528E10"/>
        <n v="2.0230884904E10"/>
        <n v="6.1889461542E10"/>
        <n v="9.5837221898E10"/>
        <n v="3.3771852558E10"/>
        <n v="3.4351732282E10"/>
        <n v="9.560016786E10"/>
        <n v="6.5622960511E10"/>
        <n v="6.8898788478E10"/>
        <n v="6.3884403409E10"/>
        <n v="6.8550645302E10"/>
        <n v="6.5566056958E10"/>
        <n v="7.1938574379E10"/>
        <n v="8.887048064E10"/>
        <n v="3.4512266113E10"/>
        <n v="1.0175153127E10"/>
        <n v="7.8808451311E10"/>
        <n v="7.7064605414E10"/>
        <n v="3.2806148614E10"/>
        <n v="2.5009594193E10"/>
        <n v="7.8440748612E10"/>
        <n v="1.2456947603E10"/>
        <n v="6.1148063721E10"/>
        <n v="8.0117113469E10"/>
        <n v="8.501476936E9"/>
        <n v="2.4435018446E10"/>
        <n v="1.6460186813E10"/>
        <n v="3.8527162678E10"/>
        <n v="2.3560942202E10"/>
        <n v="9.3728555055E10"/>
        <n v="3.1693150202E10"/>
        <n v="2.2465469172E10"/>
        <n v="6.9176118241E10"/>
        <n v="8.4689113235E10"/>
        <n v="7.7219204958E10"/>
        <n v="2.6796831999E10"/>
        <n v="4.6776167891E10"/>
        <n v="2.8038913731E10"/>
        <n v="4.4483443936E10"/>
        <n v="6.6838551161E10"/>
        <n v="6.921910832E10"/>
        <n v="5.6450611354E10"/>
        <n v="4.275411203E10"/>
        <n v="1.2038236912E10"/>
        <n v="4.7560830234E10"/>
        <n v="6.3610084029E10"/>
        <n v="8.4605460548E10"/>
        <n v="1.3042409238E10"/>
        <n v="7.3935149928E10"/>
        <n v="6.8437908717E10"/>
        <n v="7.5693392103E10"/>
        <n v="6.9124278905E10"/>
        <n v="3.9719777492E10"/>
        <n v="7.0986627818E10"/>
        <n v="6.4428427437E10"/>
        <n v="5.8478050426E10"/>
        <n v="2.7794696694E10"/>
        <n v="7.7665417376E10"/>
        <n v="3.1067732424E10"/>
        <n v="9.3693705011E10"/>
        <n v="4.8923582697E10"/>
        <n v="1.3274532433E10"/>
        <n v="4.2224157865E10"/>
        <n v="8.7437657385E10"/>
        <n v="3.4237954862E10"/>
        <n v="4.4611513293E10"/>
        <n v="2.2917240264E10"/>
        <n v="6.3912458976E10"/>
        <n v="8.6579004283E10"/>
        <n v="4.720168247E9"/>
        <n v="7.7185072905E10"/>
        <n v="7.4126443926E10"/>
        <n v="6.1395456923E10"/>
        <n v="8.1505567289E10"/>
        <n v="9.66648289E9"/>
        <n v="6.7249581572E10"/>
        <n v="6.8201830951E10"/>
        <n v="6.1712058967E10"/>
        <n v="1.8929284329E10"/>
        <n v="4.3249983996E10"/>
        <n v="3.2651886748E10"/>
        <n v="3.9527760122E10"/>
        <n v="9.1789708623E10"/>
        <n v="5.5784219171E10"/>
        <n v="4.5579791022E10"/>
        <n v="1.387817396E10"/>
        <n v="3.3910114913E10"/>
        <n v="2.4541098891E10"/>
        <n v="8.6477894088E10"/>
        <n v="5.4961037038E10"/>
        <n v="5.1923213434E10"/>
        <n v="3.9254762176E10"/>
        <n v="5.3065520928E10"/>
        <n v="7.6915170111E10"/>
        <n v="6.641579564E9"/>
        <n v="4.1511369742E10"/>
        <n v="7.6235665146E10"/>
        <n v="8.786494055E9"/>
        <n v="2.5021911702E10"/>
        <n v="3.2590764217E10"/>
        <n v="9.878243182E9"/>
        <n v="9.7745158698E10"/>
        <n v="9.8525753914E10"/>
        <n v="1.8658664146E10"/>
        <n v="3.5653892189E10"/>
        <n v="1.301237514E10"/>
        <n v="1.7071073345E10"/>
        <n v="7.0590233874E10"/>
        <n v="7.2137164877E10"/>
        <n v="4.5875770508E10"/>
        <n v="1.7512386922E10"/>
        <n v="5.838993983E9"/>
        <n v="1.8601085588E10"/>
        <n v="6.6907417382E10"/>
        <n v="3.094239161E10"/>
        <n v="5.672691082E10"/>
        <n v="4.7845396038E10"/>
        <n v="9.1291091118E10"/>
        <n v="2.9729140484E10"/>
        <n v="7.54847515E9"/>
        <n v="5.0994971013E10"/>
        <n v="7.8680352164E10"/>
        <n v="1.7147923298E10"/>
        <n v="5.3466679239E10"/>
        <n v="1.943170511E10"/>
        <n v="5.3821049664E10"/>
        <n v="3.4811117985E10"/>
        <n v="8.9755407669E10"/>
        <n v="6.1010448683E10"/>
        <n v="9.3008645603E10"/>
        <n v="7.6359229549E10"/>
        <n v="6.5089630779E10"/>
        <n v="5.9057922985E10"/>
        <n v="3.4872615846E10"/>
        <n v="7.359709033E9"/>
        <n v="1.4663849921E10"/>
        <n v="4.8787684778E10"/>
        <n v="7.9133661223E10"/>
        <n v="5.504455329E9"/>
        <n v="8.8713432251E10"/>
        <n v="5.9621404247E10"/>
        <n v="6.2581670239E10"/>
        <n v="9.5991805189E10"/>
        <n v="8.4793657254E10"/>
        <n v="2.4471295008E10"/>
        <n v="7.329749161E9"/>
        <n v="4.5848191981E10"/>
        <n v="6.4138243442E10"/>
        <n v="8.639267457E9"/>
        <n v="6.7920358323E10"/>
        <n v="4.4377829891E10"/>
        <n v="9.9728008625E10"/>
        <m/>
      </sharedItems>
    </cacheField>
    <cacheField name="Network Outbound Data (Bytes)" numFmtId="0">
      <sharedItems containsString="0" containsBlank="1" containsNumber="1" containsInteger="1">
        <n v="8.2685933273E10"/>
        <n v="1.1351490561E10"/>
        <n v="2.345081212E10"/>
        <n v="6.0780194484E10"/>
        <n v="1.4161382061E10"/>
        <n v="7.0311789173E10"/>
        <n v="2.7664449839E10"/>
        <n v="7.8552821117E10"/>
        <n v="2.0917834831E10"/>
        <n v="7.2843203438E10"/>
        <n v="6.6769681245E10"/>
        <n v="9.9059500361E10"/>
        <n v="1.9106889929E10"/>
        <n v="5.5324053975E10"/>
        <n v="7.4457276259E10"/>
        <n v="2.3480009488E10"/>
        <n v="6.6456079011E10"/>
        <n v="7.5043755268E10"/>
        <n v="3.0238120394E10"/>
        <n v="5.2243912598E10"/>
        <n v="3.4873445199E10"/>
        <n v="3.2905735415E10"/>
        <n v="4.1202319167E10"/>
        <n v="1.01187E11"/>
        <n v="3.8901764033E10"/>
        <n v="8.0604527913E10"/>
        <n v="9.2553952311E10"/>
        <n v="9.5036019889E10"/>
        <n v="6.2813003941E10"/>
        <n v="4.4683895186E10"/>
        <n v="9.2709161595E10"/>
        <n v="1.02343E11"/>
        <n v="2.6241930001E10"/>
        <n v="1.6566379456E10"/>
        <n v="1.06232E11"/>
        <n v="4.3813630384E10"/>
        <n v="5.069981764E10"/>
        <n v="6.3495177785E10"/>
        <n v="8.7873607051E10"/>
        <n v="4.2908382034E10"/>
        <n v="5.238602738E10"/>
        <n v="7.4171230563E10"/>
        <n v="4.0639831707E10"/>
        <n v="9.2048056617E10"/>
        <n v="4.6156760944E10"/>
        <n v="7.7304088526E10"/>
        <n v="9.5042899077E10"/>
        <n v="9.6601656791E10"/>
        <n v="5.7377379156E10"/>
        <n v="3.7743737345E10"/>
        <n v="4.7296152299E10"/>
        <n v="2.7245078419E10"/>
        <n v="5.5999156322E10"/>
        <n v="4.2041161989E10"/>
        <n v="8.4307604798E10"/>
        <n v="4.5367120844E10"/>
        <n v="1.5127259133E10"/>
        <n v="8.7175086484E10"/>
        <n v="9.8590543085E10"/>
        <n v="9.2142710021E10"/>
        <n v="7.3433835245E10"/>
        <n v="1.05066E11"/>
        <n v="4.7193477596E10"/>
        <n v="3.7215668282E10"/>
        <n v="1.03176E11"/>
        <n v="6.806967369E10"/>
        <n v="5.948653596E10"/>
        <n v="8.6143096111E10"/>
        <n v="8.627486927E9"/>
        <n v="9.5871025046E10"/>
        <n v="7.2893012474E10"/>
        <n v="1.2557263383E10"/>
        <n v="9.1881245355E10"/>
        <n v="8.4668376889E10"/>
        <n v="6.8397913897E10"/>
        <n v="1.5903336432E10"/>
        <n v="2.4993496937E10"/>
        <n v="1.02431E11"/>
        <n v="4.8363862744E10"/>
        <n v="7.4267252272E10"/>
        <n v="1.1405712912E10"/>
        <n v="4.8893087132E10"/>
        <n v="6.4549627602E10"/>
        <n v="9.6947138575E10"/>
        <n v="1.9871372484E10"/>
        <n v="2.1629763823E10"/>
        <n v="2.3997356455E10"/>
        <n v="2.0430806523E10"/>
        <n v="1.27766583E10"/>
        <n v="8.8993172945E10"/>
        <n v="3.4105264509E10"/>
        <n v="4.5650656604E10"/>
        <n v="1.7804809971E10"/>
        <n v="7.2290287263E10"/>
        <n v="1.7528929285E10"/>
        <n v="4.6836316447E10"/>
        <n v="3.6292243677E10"/>
        <n v="3.6196607093E10"/>
        <n v="1.869210546E10"/>
        <n v="2.9605942425E10"/>
        <n v="8.5066947042E10"/>
        <n v="5.2000297359E10"/>
        <n v="8.9910078944E10"/>
        <n v="9.6842013834E10"/>
        <n v="1.03155E11"/>
        <n v="4.893209691E10"/>
        <n v="4.7787130207E10"/>
        <n v="2.5067618553E10"/>
        <n v="1.2865903297E10"/>
        <n v="2.6104172138E10"/>
        <n v="7.4874600281E10"/>
        <n v="1.5447062894E10"/>
        <n v="6.7621477871E10"/>
        <n v="1.4895918364E10"/>
        <n v="4.3777704078E10"/>
        <n v="4.606394922E10"/>
        <n v="1.00479E11"/>
        <n v="7.8570702375E10"/>
        <n v="8.2281017569E10"/>
        <n v="7.6754044332E10"/>
        <n v="1.8213069052E10"/>
        <n v="1.5568269776E10"/>
        <n v="4.2827664168E10"/>
        <n v="1.4108034396E10"/>
        <n v="6.376378601E10"/>
        <n v="1.5105140024E10"/>
        <n v="9.1125972851E10"/>
        <n v="3.0822480444E10"/>
        <n v="2.4049584401E10"/>
        <n v="3.2583510276E10"/>
        <n v="8.628537868E9"/>
        <n v="1.7548421383E10"/>
        <n v="4.42120276E10"/>
        <n v="9.413091081E10"/>
        <n v="1.6388689847E10"/>
        <n v="7.171572125E9"/>
        <n v="3.9984223729E10"/>
        <n v="4.8505753593E10"/>
        <n v="4.3470819291E10"/>
        <n v="8.8970489424E10"/>
        <n v="7.390046126E9"/>
        <n v="1.694052186E10"/>
        <n v="1.04063E11"/>
        <n v="2.8191939191E10"/>
        <n v="3.3422677812E10"/>
        <n v="1.8929788829E10"/>
        <n v="6.5365610378E10"/>
        <n v="8.1856337678E10"/>
        <n v="1.6678511128E10"/>
        <n v="1.1394335199E10"/>
        <n v="2.7660730423E10"/>
        <n v="9.3158127891E10"/>
        <n v="4.1645168947E10"/>
        <n v="4.2071342892E10"/>
        <n v="5.7067243038E10"/>
        <n v="6.8572243374E10"/>
        <n v="7.2345991079E10"/>
        <n v="6.2544877344E10"/>
        <n v="2.7726221853E10"/>
        <n v="9.2660908223E10"/>
        <n v="4.3204718062E10"/>
        <n v="6.3469831841E10"/>
        <n v="4.7760727242E10"/>
        <n v="7.5372480341E10"/>
        <n v="1.1656487141E10"/>
        <n v="8.3422102658E10"/>
        <n v="3.4833914449E10"/>
        <n v="5.8938060747E10"/>
        <n v="7.0949514077E10"/>
        <n v="5.9457074076E10"/>
        <n v="6.971196411E10"/>
        <n v="1.0002E11"/>
        <n v="8.696757628E10"/>
        <n v="1.3278666797E10"/>
        <n v="9.661924322E9"/>
        <n v="2.827341389E9"/>
        <n v="7.2045495081E10"/>
        <n v="1.00325E11"/>
        <n v="8.1552719599E10"/>
        <n v="6.2836495997E10"/>
        <n v="1.6166250549E10"/>
        <n v="7.2257386501E10"/>
        <n v="5.8798521388E10"/>
        <n v="3.357794678E10"/>
        <n v="5.5594084151E10"/>
        <n v="2.6123790688E10"/>
        <n v="7.2012540203E10"/>
        <n v="1.08782E11"/>
        <n v="7.6761827056E10"/>
        <n v="2.8175416976E10"/>
        <n v="2.2415620737E10"/>
        <n v="2.9861999523E10"/>
        <n v="9.4169203781E10"/>
        <n v="1.8422117013E10"/>
        <n v="1.03298E11"/>
        <n v="5.8883692028E10"/>
        <n v="6.5131560182E10"/>
        <n v="6.2148639286E10"/>
        <n v="1.9316006416E10"/>
        <n v="7.4996129989E10"/>
        <n v="9.1987231536E10"/>
        <n v="1.6748005664E10"/>
        <n v="1.03968E11"/>
        <n v="8.6533417392E10"/>
        <n v="8.9269249455E10"/>
        <n v="6.1202982896E10"/>
        <n v="2.4702899081E10"/>
        <n v="8.571060921E10"/>
        <n v="3.2098235845E10"/>
        <n v="4.8781743713E10"/>
        <n v="3.8701169803E10"/>
        <n v="6.2191421741E10"/>
        <n v="6.7722022588E10"/>
        <n v="7.1506596862E10"/>
        <n v="5.7099202508E10"/>
        <n v="3.9729741599E10"/>
        <n v="9.9568233782E10"/>
        <n v="9.3472597444E10"/>
        <n v="1.8508901027E10"/>
        <n v="5.4583521857E10"/>
        <n v="2.4439232161E10"/>
        <n v="8.7998260723E10"/>
        <n v="4.7250108241E10"/>
        <n v="5.1328599957E10"/>
        <n v="1.02776E11"/>
        <n v="8.0068828866E10"/>
        <n v="2.3764552187E10"/>
        <n v="5.7265004862E10"/>
        <n v="6.864671836E10"/>
        <n v="2.2466351666E10"/>
        <n v="6.7804396568E10"/>
        <n v="1.8782478171E10"/>
        <n v="1.07696E11"/>
        <n v="7.514564801E10"/>
        <n v="9.767562785E9"/>
        <n v="9.0506586119E10"/>
        <n v="7.1696600966E10"/>
        <n v="1.5856476534E10"/>
        <n v="6.3345882101E10"/>
        <n v="4.4961747527E10"/>
        <n v="7.3959120285E10"/>
        <n v="7.7653883062E10"/>
        <n v="5.9441536233E10"/>
        <n v="6.9688806846E10"/>
        <n v="8.569198627E9"/>
        <n v="6.2635393177E10"/>
        <n v="5.8284153066E10"/>
        <n v="8.1951096832E10"/>
        <n v="4.8297071888E10"/>
        <n v="1.9510703401E10"/>
        <n v="3.9632106621E10"/>
        <n v="2.056344042E10"/>
        <n v="8.1285853739E10"/>
        <n v="6.214938759E10"/>
        <n v="5.068203206E10"/>
        <n v="6.501324003E9"/>
        <n v="6.4004040156E10"/>
        <n v="1.01562E11"/>
        <n v="5.3165909418E10"/>
        <n v="5.8053628767E10"/>
        <n v="6.431679144E9"/>
        <n v="3.1461262667E10"/>
        <n v="1.7039727483E10"/>
        <n v="8.8186344E9"/>
        <n v="2.6546624938E10"/>
        <n v="8.8136650406E10"/>
        <n v="1.7444929033E10"/>
        <n v="8.3320113115E10"/>
        <n v="1.3858425661E10"/>
        <n v="1.03576E11"/>
        <n v="3.8001018152E10"/>
        <n v="8.4757771662E10"/>
        <n v="2.7269641999E10"/>
        <n v="1.0482162987E10"/>
        <n v="1.4068838454E10"/>
        <n v="5.8051523084E10"/>
        <n v="5.3532146138E10"/>
        <n v="2.8484820198E10"/>
        <n v="1.4907381903E10"/>
        <n v="6.345413886E10"/>
        <n v="6.2015184822E10"/>
        <n v="7.6892712268E10"/>
        <n v="4.0407543548E10"/>
        <n v="7.2727629424E10"/>
        <n v="1.9574357777E10"/>
        <n v="7.4062804247E10"/>
        <n v="1.0733576597E10"/>
        <n v="4.3925495516E10"/>
        <n v="6.6197385049E10"/>
        <n v="9.6914457716E10"/>
        <n v="2.820539317E9"/>
        <n v="9.2794051251E10"/>
        <n v="7.4057033715E10"/>
        <n v="8.7342143354E10"/>
        <n v="3.353296822E10"/>
        <n v="1.0388720149E10"/>
        <n v="5.8695200121E10"/>
        <n v="3.4342664992E10"/>
        <n v="8.6264730884E10"/>
        <n v="8.08348427E10"/>
        <n v="8.3475645504E10"/>
        <n v="8.8271877239E10"/>
        <n v="9.4364577288E10"/>
        <n v="7.584104509E9"/>
        <n v="1.06154E11"/>
        <n v="3.6341944171E10"/>
        <n v="7.9539464593E10"/>
        <n v="3.2975101756E10"/>
        <n v="5.71712999E9"/>
        <n v="7.9512127244E10"/>
        <n v="4.4586206736E10"/>
        <n v="4.3826455816E10"/>
        <n v="8.1343833263E10"/>
        <n v="5.795980854E10"/>
        <n v="4.4986088106E10"/>
        <n v="5.4045175891E10"/>
        <n v="8.6683174597E10"/>
        <n v="3.5178408351E10"/>
        <n v="3.9665526563E10"/>
        <n v="8.8475289609E10"/>
        <n v="4.9040528356E10"/>
        <n v="5.6177287267E10"/>
        <n v="9.3485815275E10"/>
        <n v="6.701606221E9"/>
        <n v="7.4874466857E10"/>
        <n v="7.4049499148E10"/>
        <n v="4.5569071764E10"/>
        <n v="8.9159125555E10"/>
        <n v="6.6477797434E10"/>
        <n v="8.8105164618E10"/>
        <n v="5.8269033764E10"/>
        <n v="6.5056157071E10"/>
        <n v="6.0271962685E10"/>
        <n v="1.00431E11"/>
        <n v="5.8407799456E10"/>
        <n v="1.102079631E10"/>
        <n v="9.8928289894E10"/>
        <n v="9.0231208571E10"/>
        <n v="7.3658693575E10"/>
        <n v="9.034736429E10"/>
        <n v="1.0855614594E10"/>
        <n v="4.358233797E9"/>
        <n v="6.3011001843E10"/>
        <n v="8.6566473016E10"/>
        <n v="9.316345914E10"/>
        <n v="4.6557880799E10"/>
        <n v="5.2895790556E10"/>
        <n v="6.8138790366E10"/>
        <n v="6.4076790752E10"/>
        <n v="2.3641523168E10"/>
        <n v="5.4488299958E10"/>
        <n v="3.8621208749E10"/>
        <n v="5.8507427252E10"/>
        <n v="6.8053505667E10"/>
        <n v="7.3243258909E10"/>
        <n v="7.3782969971E10"/>
        <n v="9.6100658663E10"/>
        <n v="2.3195002465E10"/>
        <n v="7.4007087023E10"/>
        <n v="3.5789645194E10"/>
        <n v="1.02755E11"/>
        <n v="8.8135069507E10"/>
        <n v="6.1177105089E10"/>
        <n v="1.04746E11"/>
        <n v="5.9745397823E10"/>
        <n v="4.2992951761E10"/>
        <n v="3.9657922545E10"/>
        <n v="3.6559591178E10"/>
        <n v="5.8738624105E10"/>
        <n v="8.9182122222E10"/>
        <n v="3.124427882E9"/>
        <n v="5.4289153944E10"/>
        <n v="9.3368091791E10"/>
        <n v="4.8828713612E10"/>
        <n v="5.7670180278E10"/>
        <n v="8.1146963462E10"/>
        <n v="9.4510658821E10"/>
        <n v="8.0102703395E10"/>
        <n v="5.8099887115E10"/>
        <n v="4.2050153986E10"/>
        <n v="7.770971775E9"/>
        <n v="9.6851845762E10"/>
        <n v="5.5777052222E10"/>
        <n v="6.8443558418E10"/>
        <n v="1.01745E11"/>
        <n v="5.5728177096E10"/>
        <n v="8.403545449E10"/>
        <n v="6.0672911269E10"/>
        <n v="2.0832837855E10"/>
        <n v="3.6839965337E10"/>
        <n v="4.6495564971E10"/>
        <n v="9.7539696374E10"/>
        <n v="4.9557900371E10"/>
        <n v="5.5978858331E10"/>
        <n v="8.3917965863E10"/>
        <n v="9.8298454729E10"/>
        <n v="5.7160333323E10"/>
        <n v="3.8236530466E10"/>
        <n v="6.721902992E10"/>
        <n v="8.4446015E9"/>
        <n v="7.081258316E10"/>
        <n v="6.7883170958E10"/>
        <n v="4.4355873519E10"/>
        <n v="1.5874339023E10"/>
        <n v="7.888915975E10"/>
        <n v="3.3204791604E10"/>
        <n v="4.0101055025E10"/>
        <n v="4.8898638003E10"/>
        <n v="6.0378719013E10"/>
        <n v="1.90840995E9"/>
        <n v="2.039725231E9"/>
        <n v="3.0966799762E10"/>
        <n v="5.5666754879E10"/>
        <n v="7.0241940966E10"/>
        <n v="8.8202065814E10"/>
        <n v="4.3212400155E10"/>
        <n v="3.7663255388E10"/>
        <n v="4.8304722578E10"/>
        <n v="5.6713923891E10"/>
        <n v="2.2444401768E10"/>
        <n v="7.7780082072E10"/>
        <n v="6.0728572134E10"/>
        <n v="6.3658957107E10"/>
        <n v="2.6991644659E10"/>
        <n v="6.3678591085E10"/>
        <n v="5.9300414025E10"/>
        <n v="3.4999187336E10"/>
        <n v="9.0442562221E10"/>
        <n v="3.6455010138E10"/>
        <n v="7.2151157511E10"/>
        <n v="8.0802624246E10"/>
        <n v="4.6123023685E10"/>
        <n v="9.4431571544E10"/>
        <n v="8.9059310119E10"/>
        <n v="2.0689261384E10"/>
        <n v="4.7532415414E10"/>
        <n v="9.691206489E9"/>
        <n v="2.200796752E10"/>
        <n v="5.9370257849E10"/>
        <n v="3.5121822183E10"/>
        <n v="7.1076500379E10"/>
        <n v="7.1604577471E10"/>
        <n v="8.4831401209E10"/>
        <n v="1.2491610322E10"/>
        <n v="5.3796037302E10"/>
        <n v="9.8895434764E10"/>
        <n v="7.7502869111E10"/>
        <n v="7.4023232018E10"/>
        <n v="6.1683620439E10"/>
        <n v="8.237489921E10"/>
        <n v="3.8102762007E10"/>
        <n v="5.8006946262E10"/>
        <n v="8.6790014321E10"/>
        <n v="1.8748453944E10"/>
        <n v="8.7362033805E10"/>
        <n v="8.3358255319E10"/>
        <n v="3.4084735663E10"/>
        <n v="1.629469918E10"/>
        <n v="7.6680669575E10"/>
        <n v="8.7896879355E10"/>
        <n v="3.4139736566E10"/>
        <n v="6.6467457936E10"/>
        <n v="5.4054318649E10"/>
        <n v="7.5402314789E10"/>
        <n v="1.6209140144E10"/>
        <n v="4.2526481446E10"/>
        <n v="4.7028071539E10"/>
        <n v="4.1455680327E10"/>
        <n v="7.8309360135E10"/>
        <n v="5.3603450248E10"/>
        <n v="7.7939261927E10"/>
        <n v="9.4332643638E10"/>
        <n v="5.2153559965E10"/>
        <n v="9.6470776156E10"/>
        <n v="3.6231433469E10"/>
        <n v="3.3149597955E10"/>
        <n v="7.214823723E10"/>
        <n v="9.5190480103E10"/>
        <n v="8.0290494361E10"/>
        <n v="1.03178E11"/>
        <n v="7.7986352608E10"/>
        <n v="8.9178594951E10"/>
        <n v="3.3487450024E10"/>
        <n v="2.0309748109E10"/>
        <n v="2.0492021853E10"/>
        <n v="9.1433612999E10"/>
        <n v="9.6432298119E10"/>
        <n v="7.1014369848E10"/>
        <n v="5.1017193709E10"/>
        <n v="1.2295147258E10"/>
        <n v="7.602135428E10"/>
        <n v="6.8766595836E10"/>
        <n v="2.2308097117E10"/>
        <n v="6.2319608528E10"/>
        <n v="5.6660906517E10"/>
        <n v="1.6220253103E10"/>
        <n v="4.8691383713E10"/>
        <n v="5.1880282611E10"/>
        <n v="1.4254865577E10"/>
        <n v="5.0015438648E10"/>
        <n v="4.4985847465E10"/>
        <n v="7.0085717043E10"/>
        <n v="4.6109484906E10"/>
        <n v="9.0628716284E10"/>
        <n v="3.7980309491E10"/>
        <n v="4.9418672792E10"/>
        <n v="8.8465873107E10"/>
        <n v="8.7955262019E10"/>
        <n v="7.8234831218E10"/>
        <n v="9.7172248054E10"/>
        <n v="5.325885663E10"/>
        <n v="3.0282432255E10"/>
        <n v="1.3396172359E10"/>
        <n v="1.00949E11"/>
        <n v="2.8809471848E10"/>
        <n v="5.9494243605E10"/>
        <n v="1.4526022474E10"/>
        <n v="9.4690267259E10"/>
        <n v="3.4689079584E10"/>
        <n v="1.00508E11"/>
        <n v="1.03599E11"/>
        <n v="5.6187329785E10"/>
        <n v="9.6122796373E10"/>
        <n v="8.5516781967E10"/>
        <n v="6.4894726306E10"/>
        <n v="8.8800038067E10"/>
        <n v="8.4804571225E10"/>
        <n v="8.8424557528E10"/>
        <n v="5.4377521672E10"/>
        <n v="1.05529E11"/>
        <n v="7.4943205024E10"/>
        <n v="3.5833738864E10"/>
        <n v="4.7929914232E10"/>
        <n v="2.1659815981E10"/>
        <n v="1.6002647625E10"/>
        <n v="9.5390226085E10"/>
        <n v="4.5947923845E10"/>
        <n v="1.5724023212E10"/>
        <n v="5.7300087049E10"/>
        <n v="6.9629329099E10"/>
        <n v="4.4631492274E10"/>
        <n v="3.1363688005E10"/>
        <n v="2.293338707E10"/>
        <n v="5.0547921965E10"/>
        <n v="5.513059965E10"/>
        <n v="3.7251592742E10"/>
        <n v="7.586503982E9"/>
        <n v="4.3988606214E10"/>
        <n v="6.414697506E10"/>
        <n v="4.350596649E10"/>
        <n v="7.524380418E10"/>
        <n v="1.00645E11"/>
        <n v="2.2583927548E10"/>
        <n v="5.0656729309E10"/>
        <n v="8.0762114631E10"/>
        <n v="9.9187474674E10"/>
        <n v="7.5338702575E10"/>
        <n v="2.7359115076E10"/>
        <n v="2.5291730468E10"/>
        <n v="7.2781188808E10"/>
        <n v="7.4440686236E10"/>
        <n v="7.4879957464E10"/>
        <n v="1.6707749412E10"/>
        <n v="7.3020301103E10"/>
        <n v="9.9534812241E10"/>
        <n v="8.6307836887E10"/>
        <n v="6.3655689339E10"/>
        <n v="7.5745728262E10"/>
        <n v="7.7859360072E10"/>
        <n v="2.1953273498E10"/>
        <n v="9.1541327287E10"/>
        <n v="1.1521417313E10"/>
        <n v="9.2406101906E10"/>
        <n v="3.2359221738E10"/>
        <n v="2.3271333009E10"/>
        <n v="9.2701686882E10"/>
        <n v="9.3493164826E10"/>
        <n v="1.5073644558E10"/>
        <n v="4.9685670959E10"/>
        <n v="6.48112777E10"/>
        <n v="1.0171E11"/>
        <n v="9.8628174081E10"/>
        <n v="9.4771254471E10"/>
        <n v="9.375770542E9"/>
        <n v="8.3159936819E10"/>
        <n v="9.6841264412E10"/>
        <n v="4.0786031512E10"/>
        <n v="6.5511042535E10"/>
        <n v="4.9636478748E10"/>
        <n v="7.3946955087E10"/>
        <n v="7.7049187501E10"/>
        <n v="5.981000836E10"/>
        <n v="3.4831933503E10"/>
        <n v="6.544021317E9"/>
        <n v="1.4799300079E10"/>
        <n v="5.2353116409E10"/>
        <n v="4.6310224844E10"/>
        <n v="8.5119583044E10"/>
        <n v="8.7446054134E10"/>
        <n v="5.9141084735E10"/>
        <n v="5.9272302026E10"/>
        <n v="9.8449735815E10"/>
        <n v="5.9192635837E10"/>
        <n v="3.0638291701E10"/>
        <n v="9.3835895466E10"/>
        <n v="8.0774640241E10"/>
        <n v="9.2600620478E10"/>
        <n v="6.7635412141E10"/>
        <n v="8.8680909492E10"/>
        <n v="8.4863458397E10"/>
        <n v="3.3807753371E10"/>
        <n v="5.8673102217E10"/>
        <n v="4.590959343E10"/>
        <n v="6.1780596439E10"/>
        <n v="4.1138689229E10"/>
        <n v="7.784075432E10"/>
        <n v="1.7308367361E10"/>
        <n v="2.0627001344E10"/>
        <n v="6.8337416384E10"/>
        <n v="6.6506699642E10"/>
        <n v="4.8645923518E10"/>
        <n v="4.0333849858E10"/>
        <n v="9.4186930893E10"/>
        <n v="9.6109228818E10"/>
        <n v="1.1227431169E10"/>
        <n v="5.6422763858E10"/>
        <n v="1.4178293537E10"/>
        <n v="8.5421901662E10"/>
        <n v="5.471822072E10"/>
        <n v="1.8145286001E10"/>
        <n v="8.4411038163E10"/>
        <n v="7.1396549568E10"/>
        <n v="8.5056013216E10"/>
        <n v="1.4756357058E10"/>
        <n v="3.4223805256E10"/>
        <n v="7.461405073E9"/>
        <n v="2.9144872044E10"/>
        <n v="3.3163141551E10"/>
        <n v="9.1585705285E10"/>
        <n v="2.9080373672E10"/>
        <n v="1.0151E11"/>
        <n v="2.0838682033E10"/>
        <n v="1.0007E11"/>
        <n v="8.7524967649E10"/>
        <n v="1.06189E11"/>
        <n v="9.686144E10"/>
        <n v="8.0406552383E10"/>
        <n v="9.7319003375E10"/>
        <n v="4.2888320883E10"/>
        <n v="3.120252426E10"/>
        <n v="2.7734835528E10"/>
        <n v="5.5790794157E10"/>
        <n v="9.7205628513E10"/>
        <n v="6.1525169383E10"/>
        <n v="7.4610547787E10"/>
        <n v="1.03707E11"/>
        <n v="5.1565864749E10"/>
        <n v="3.8191273413E10"/>
        <n v="2.9680737705E10"/>
        <n v="3.5507304239E10"/>
        <n v="3.5153310829E10"/>
        <n v="6.7805433734E10"/>
        <n v="1.7283883409E10"/>
        <n v="6.569214624E9"/>
        <n v="5.1071043166E10"/>
        <n v="7.6918930113E10"/>
        <n v="1.3633323065E10"/>
        <n v="2.5875971843E10"/>
        <n v="6.6145003338E10"/>
        <n v="2.3111173365E10"/>
        <n v="9.8804510325E10"/>
        <n v="9.0309475809E10"/>
        <n v="2.092645753E10"/>
        <n v="1.697047848E10"/>
        <n v="9.5479814717E10"/>
        <n v="8.1047715753E10"/>
        <n v="5.4074999234E10"/>
        <n v="8.3411061952E10"/>
        <n v="8.6249992427E10"/>
        <n v="5.2444783637E10"/>
        <n v="5.5754811438E10"/>
        <n v="4.7365560959E10"/>
        <n v="9.4119404545E10"/>
        <n v="5.3416146845E10"/>
        <n v="4.9886997678E10"/>
        <n v="6.5733481253E10"/>
        <n v="9.6741542761E10"/>
        <n v="3.5853807212E10"/>
        <n v="4.8886874049E10"/>
        <n v="8.8742671577E10"/>
        <n v="9.6487241274E10"/>
        <n v="3.5549490094E10"/>
        <n v="9.7055839525E10"/>
        <n v="6.9290341947E10"/>
        <n v="2.4126435025E10"/>
        <n v="7.0445684715E10"/>
        <n v="8.0420687118E10"/>
        <n v="9.4004249669E10"/>
        <n v="1.02258E11"/>
        <n v="3.7904911914E10"/>
        <n v="8.3456067239E10"/>
        <n v="9.1252171321E10"/>
        <n v="7.8819950569E10"/>
        <n v="1.1595695364E10"/>
        <n v="5.1881763823E10"/>
        <n v="7.3740836405E10"/>
        <n v="5.830753913E9"/>
        <n v="9.0368691633E10"/>
        <n v="8.0787050908E10"/>
        <n v="4.0478716789E10"/>
        <n v="4.5323568182E10"/>
        <n v="8.5922163334E10"/>
        <n v="3.6574371942E10"/>
        <n v="8.1835001901E10"/>
        <n v="9.8079959949E10"/>
        <n v="6.4311680089E10"/>
        <n v="6.6988761329E10"/>
        <n v="9.1928101174E10"/>
        <n v="2.0800449857E10"/>
        <n v="8.9779274593E10"/>
        <n v="2.0403329092E10"/>
        <n v="9.4193794566E10"/>
        <n v="5.4709974307E10"/>
        <n v="1.3165027627E10"/>
        <n v="3.1689047998E10"/>
        <n v="6.9600922086E10"/>
        <n v="9.8127926613E10"/>
        <n v="8.925562128E10"/>
        <n v="8.6136300829E10"/>
        <n v="2.4012462997E10"/>
        <n v="5.869948955E9"/>
        <n v="5.778710739E9"/>
        <n v="4.0273228745E10"/>
        <n v="7.8971281541E10"/>
        <n v="1.4915097594E10"/>
        <n v="3.5351274293E10"/>
        <n v="5.2781538229E10"/>
        <n v="8.9904941045E10"/>
        <n v="3.7261477279E10"/>
        <n v="7.0624945076E10"/>
        <n v="1.3158550787E10"/>
        <n v="6.3884545299E10"/>
        <n v="9.647490183E9"/>
        <n v="1.2748356367E10"/>
        <n v="4.8929081036E10"/>
        <n v="7.9000523255E10"/>
        <n v="1.07272E11"/>
        <n v="6.2322743245E10"/>
        <n v="5.1931350562E10"/>
        <n v="7.306413609E10"/>
        <n v="1.979982395E10"/>
        <n v="9.7209143636E10"/>
        <n v="6.7059945319E10"/>
        <n v="8.9912632274E10"/>
        <n v="4.8866602335E10"/>
        <n v="3.6029218777E10"/>
        <n v="1.01672E11"/>
        <n v="9.4562441355E10"/>
        <n v="7.5089217569E10"/>
        <n v="5.0138790345E10"/>
        <n v="9.859247924E9"/>
        <n v="1.4000778703E10"/>
        <n v="1.8870602491E10"/>
        <n v="8.2775898387E10"/>
        <n v="3.6292263633E10"/>
        <n v="9.566018434E10"/>
        <n v="4.0765531651E10"/>
        <n v="6.4790751395E10"/>
        <n v="1.03174E11"/>
        <n v="2.4072541629E10"/>
        <n v="5.4120045491E10"/>
        <n v="7.0195330812E10"/>
        <n v="8.9116433619E10"/>
        <n v="2.0615994972E10"/>
        <n v="5.0532876187E10"/>
        <n v="3.9239617577E10"/>
        <n v="2.8473435562E10"/>
        <n v="5.3821970678E10"/>
        <n v="6.3344615356E10"/>
        <n v="9.9109623578E10"/>
        <n v="8.5057712051E10"/>
        <n v="2.073580511E10"/>
        <n v="4.4386018898E10"/>
        <n v="9.1996827106E10"/>
        <n v="8.1965940657E10"/>
        <n v="8.4257405517E10"/>
        <n v="2.203389886E10"/>
        <n v="7.8832078777E10"/>
        <n v="2.738175272E10"/>
        <n v="7.5016268178E10"/>
        <n v="8.0350643973E10"/>
        <n v="9.2891585359E10"/>
        <n v="4.5693849488E10"/>
        <n v="4.172572813E10"/>
        <n v="1.3147665462E10"/>
        <n v="8.7023569683E10"/>
        <n v="9.4996618262E10"/>
        <n v="3.5780472522E10"/>
        <n v="5.9630573021E10"/>
        <n v="1.3094464652E10"/>
        <n v="5.2236057299E10"/>
        <n v="2.1696342956E10"/>
        <n v="8.3529651563E10"/>
        <n v="3.323331056E10"/>
        <n v="5.843104167E9"/>
        <n v="5.0284914701E10"/>
        <n v="4.5239018284E10"/>
        <n v="9.3405272504E10"/>
        <n v="1.207921154E9"/>
        <n v="5.2263568746E10"/>
        <n v="1.7506915601E10"/>
        <n v="5.0673476199E10"/>
        <n v="4.4866998326E10"/>
        <n v="1.00975E11"/>
        <n v="3.8389861466E10"/>
        <n v="6.3087373471E10"/>
        <n v="7.5570232081E10"/>
        <n v="7.8418921626E10"/>
        <n v="2.714721784E10"/>
        <n v="3.8028739139E10"/>
        <n v="2.6720821217E10"/>
        <n v="7.9569564021E10"/>
        <n v="2.1352123635E10"/>
        <n v="3.9159602354E10"/>
        <n v="9.413873521E10"/>
        <n v="1.8693727301E10"/>
        <n v="3.47246044E10"/>
        <n v="2.5344471081E10"/>
        <n v="1.4110520431E10"/>
        <n v="6.4369054308E10"/>
        <n v="4.6907092891E10"/>
        <n v="4.631674835E10"/>
        <n v="2.4026754063E10"/>
        <n v="9.5956905153E10"/>
        <n v="1.04917E11"/>
        <n v="7.9432069155E10"/>
        <n v="5.9942102426E10"/>
        <n v="6.1508082818E10"/>
        <n v="1.01582E11"/>
        <n v="5.7962755958E10"/>
        <n v="7.1066862636E10"/>
        <n v="3.1125899311E10"/>
        <n v="6.1950291164E10"/>
        <n v="5.271422916E9"/>
        <n v="8.3659890497E10"/>
        <n v="9.5331713711E10"/>
        <n v="5.9474416324E10"/>
        <n v="4.9709897119E10"/>
        <n v="3.282581185E10"/>
        <n v="2.1234631544E10"/>
        <n v="6.5781073688E10"/>
        <n v="1.00732E11"/>
        <n v="3.736921359E10"/>
        <n v="3.4678750344E10"/>
        <n v="9.8586324009E10"/>
        <n v="6.6341293879E10"/>
        <n v="7.4470389472E10"/>
        <n v="6.5177513275E10"/>
        <n v="7.6772333973E10"/>
        <n v="6.9139290269E10"/>
        <n v="7.4911332182E10"/>
        <n v="9.0559922778E10"/>
        <n v="4.2396858117E10"/>
        <n v="1.7016011208E10"/>
        <n v="7.9516684243E10"/>
        <n v="8.1678867817E10"/>
        <n v="4.0584125808E10"/>
        <n v="3.4804350306E10"/>
        <n v="8.5486927373E10"/>
        <n v="1.6300754614E10"/>
        <n v="7.0111111358E10"/>
        <n v="8.015357633E10"/>
        <n v="1.5392500201E10"/>
        <n v="2.471043483E10"/>
        <n v="1.7852026452E10"/>
        <n v="3.9635005557E10"/>
        <n v="2.5252564605E10"/>
        <n v="9.5810901292E10"/>
        <n v="3.5848821301E10"/>
        <n v="3.1008980415E10"/>
        <n v="7.0353669674E10"/>
        <n v="9.102919115E10"/>
        <n v="8.2187842771E10"/>
        <n v="2.9749158947E10"/>
        <n v="5.0808021282E10"/>
        <n v="3.7441336007E10"/>
        <n v="5.2798878897E10"/>
        <n v="7.542114392E10"/>
        <n v="7.5026706515E10"/>
        <n v="6.1528752233E10"/>
        <n v="4.4947389011E10"/>
        <n v="1.4962833377E10"/>
        <n v="5.623260772E10"/>
        <n v="6.9417402995E10"/>
        <n v="9.0889118377E10"/>
        <n v="1.9758151862E10"/>
        <n v="7.6867013143E10"/>
        <n v="7.3714272859E10"/>
        <n v="7.6796243104E10"/>
        <n v="7.2811556803E10"/>
        <n v="4.0434031092E10"/>
        <n v="7.39578799E10"/>
        <n v="6.980754162E10"/>
        <n v="6.1938156194E10"/>
        <n v="3.7505380535E10"/>
        <n v="8.2152580105E10"/>
        <n v="3.1349574604E10"/>
        <n v="9.5493533688E10"/>
        <n v="5.2412729114E10"/>
        <n v="1.5347515493E10"/>
        <n v="4.9430532269E10"/>
        <n v="8.9558952845E10"/>
        <n v="3.8120936455E10"/>
        <n v="4.7028070582E10"/>
        <n v="2.95313031E10"/>
        <n v="6.576297333E10"/>
        <n v="8.6783415504E10"/>
        <n v="9.704777665E9"/>
        <n v="7.7870473879E10"/>
        <n v="8.3900514981E10"/>
        <n v="6.9442456383E10"/>
        <n v="8.37071853E10"/>
        <n v="1.299592397E10"/>
        <n v="6.8679044281E10"/>
        <n v="7.2712157558E10"/>
        <n v="6.742447419E10"/>
        <n v="2.7071360698E10"/>
        <n v="4.727714321E10"/>
        <n v="3.8114080646E10"/>
        <n v="4.5152662232E10"/>
        <n v="9.2577225266E10"/>
        <n v="6.1664429785E10"/>
        <n v="4.6657905187E10"/>
        <n v="1.7590090093E10"/>
        <n v="4.1233732659E10"/>
        <n v="2.7856259433E10"/>
        <n v="9.4732303065E10"/>
        <n v="6.4188062442E10"/>
        <n v="6.1022206143E10"/>
        <n v="4.3503289304E10"/>
        <n v="5.8262181355E10"/>
        <n v="7.8654273956E10"/>
        <n v="6.709560828E9"/>
        <n v="4.5873428076E10"/>
        <n v="8.4644895301E10"/>
        <n v="1.647132585E10"/>
        <n v="3.0890344545E10"/>
        <n v="3.4285952731E10"/>
        <n v="1.0546174477E10"/>
        <n v="1.02047E11"/>
        <n v="9.9984623576E10"/>
        <n v="2.8407569512E10"/>
        <n v="4.1713554786E10"/>
        <n v="2.2589729918E10"/>
        <n v="1.9720613386E10"/>
        <n v="7.4188874592E10"/>
        <n v="8.0001823378E10"/>
        <n v="4.6494768677E10"/>
        <n v="2.3892346198E10"/>
        <n v="8.497442468E9"/>
        <n v="2.2034078014E10"/>
        <n v="7.3738179228E10"/>
        <n v="3.8113531186E10"/>
        <n v="6.2964470066E10"/>
        <n v="5.0461064734E10"/>
        <n v="9.4252055678E10"/>
        <n v="3.7219298641E10"/>
        <n v="1.0109842689E10"/>
        <n v="5.6265355888E10"/>
        <n v="8.3877530111E10"/>
        <n v="2.6292232458E10"/>
        <n v="5.6063842623E10"/>
        <n v="1.9965883148E10"/>
        <n v="5.4208234208E10"/>
        <n v="3.6999088065E10"/>
        <n v="9.3295589515E10"/>
        <n v="6.7690112969E10"/>
        <n v="9.706806654E10"/>
        <n v="8.4113831464E10"/>
        <n v="7.3817051768E10"/>
        <n v="6.5711077756E10"/>
        <n v="3.5850067743E10"/>
        <n v="1.58338509E10"/>
        <n v="2.1454606211E10"/>
        <n v="4.955032425E10"/>
        <n v="8.6555528164E10"/>
        <n v="5.979338819E9"/>
        <n v="9.7147605739E10"/>
        <n v="6.7979758237E10"/>
        <n v="6.6738314431E10"/>
        <n v="9.9943019184E10"/>
        <n v="9.1632010894E10"/>
        <n v="2.7776490991E10"/>
        <n v="1.1368547796E10"/>
        <n v="5.3582994621E10"/>
        <n v="7.0487266654E10"/>
        <n v="1.5003885405E10"/>
        <n v="7.2730111824E10"/>
        <n v="5.0999017236E10"/>
        <n v="9.9735769398E10"/>
        <m/>
      </sharedItems>
    </cacheField>
    <cacheField name="Usage Start Date">
      <sharedItems containsDate="1" containsBlank="1" containsMixedTypes="1">
        <d v="2024-01-08T22:24:00Z"/>
        <s v="23-08-2024 09:18"/>
        <s v="18-07-2024 11:13"/>
        <s v="20-07-2024 00:15"/>
        <s v="21-08-2024 21:25"/>
        <s v="18-07-2024 03:07"/>
        <s v="23-08-2024 11:39"/>
        <s v="20-08-2024 13:23"/>
        <d v="2024-08-07T19:35:00Z"/>
        <d v="2024-05-07T09:25:00Z"/>
        <d v="2024-09-07T14:33:00Z"/>
        <s v="14-08-2024 09:47"/>
        <s v="19-07-2024 19:26"/>
        <s v="18-07-2024 12:56"/>
        <d v="2024-03-07T23:38:00Z"/>
        <s v="20-08-2024 03:04"/>
        <s v="25-08-2024 21:20"/>
        <d v="2024-07-07T00:52:00Z"/>
        <s v="28-08-2024 09:37"/>
        <d v="2024-07-07T12:16:00Z"/>
        <s v="19-08-2024 07:29"/>
        <s v="17-07-2024 20:20"/>
        <d v="2024-05-08T13:18:00Z"/>
        <s v="17-08-2024 01:17"/>
        <d v="2024-12-07T09:18:00Z"/>
        <s v="23-08-2024 17:18"/>
        <s v="26-08-2024 19:31"/>
        <d v="2024-01-07T19:51:00Z"/>
        <d v="2024-10-08T17:05:00Z"/>
        <s v="27-08-2024 04:52"/>
        <s v="16-08-2024 00:18"/>
        <s v="26-08-2024 16:24"/>
        <d v="2024-02-07T12:35:00Z"/>
        <s v="14-07-2024 17:48"/>
        <d v="2024-10-07T23:15:00Z"/>
        <s v="29-07-2024 06:08"/>
        <s v="14-07-2024 09:21"/>
        <s v="16-08-2024 20:04"/>
        <d v="2024-03-08T09:57:00Z"/>
        <s v="23-08-2024 16:13"/>
        <s v="22-07-2024 15:15"/>
        <d v="2024-12-07T23:41:00Z"/>
        <s v="21-08-2024 10:30"/>
        <d v="2024-02-08T00:52:00Z"/>
        <d v="2024-01-08T03:28:00Z"/>
        <s v="21-07-2024 11:28"/>
        <d v="2024-04-07T01:20:00Z"/>
        <d v="2024-12-07T21:32:00Z"/>
        <d v="2024-02-07T16:07:00Z"/>
        <s v="13-08-2024 08:40"/>
        <d v="2024-12-07T05:44:00Z"/>
        <s v="14-08-2024 10:27"/>
        <d v="2024-12-08T16:40:00Z"/>
        <d v="2024-07-07T00:53:00Z"/>
        <s v="25-07-2024 07:31"/>
        <s v="14-08-2024 03:09"/>
        <d v="2024-05-07T15:29:00Z"/>
        <d v="2024-06-07T00:54:00Z"/>
        <d v="2024-04-08T02:23:00Z"/>
        <d v="2024-03-07T12:51:00Z"/>
        <d v="2024-08-07T07:30:00Z"/>
        <s v="31-07-2024 02:06"/>
        <s v="15-08-2024 16:59"/>
        <s v="19-07-2024 10:32"/>
        <d v="2024-03-08T23:10:00Z"/>
        <s v="19-07-2024 23:26"/>
        <d v="2024-05-07T01:13:00Z"/>
        <s v="28-07-2024 19:53"/>
        <s v="24-08-2024 15:41"/>
        <d v="2024-06-07T11:18:00Z"/>
        <d v="2024-07-07T17:00:00Z"/>
        <s v="14-08-2024 14:50"/>
        <s v="17-08-2024 12:09"/>
        <d v="2024-02-08T23:55:00Z"/>
        <s v="19-07-2024 06:35"/>
        <s v="28-08-2024 23:54"/>
        <s v="13-08-2024 19:31"/>
        <d v="2024-10-07T00:19:00Z"/>
        <s v="16-07-2024 05:09"/>
        <s v="25-07-2024 07:07"/>
        <d v="2024-03-08T16:43:00Z"/>
        <d v="2024-06-07T16:34:00Z"/>
        <s v="19-07-2024 12:19"/>
        <s v="20-07-2024 17:12"/>
        <s v="27-07-2024 19:28"/>
        <d v="2024-07-07T14:03:00Z"/>
        <s v="17-08-2024 14:56"/>
        <d v="2024-12-08T04:55:00Z"/>
        <d v="2024-02-07T18:46:00Z"/>
        <d v="2024-08-08T04:57:00Z"/>
        <s v="15-08-2024 10:39"/>
        <s v="24-07-2024 08:29"/>
        <d v="2024-09-07T09:21:00Z"/>
        <s v="21-08-2024 22:16"/>
        <d v="2024-10-08T17:20:00Z"/>
        <d v="2024-02-07T00:58:00Z"/>
        <s v="21-08-2024 17:41"/>
        <s v="30-06-2024 18:47"/>
        <d v="2024-12-08T22:30:00Z"/>
        <s v="30-07-2024 14:05"/>
        <s v="27-08-2024 15:03"/>
        <s v="21-07-2024 04:58"/>
        <s v="26-07-2024 06:13"/>
        <s v="25-08-2024 10:20"/>
        <d v="2024-02-08T15:50:00Z"/>
        <d v="2024-01-07T09:54:00Z"/>
        <s v="21-08-2024 18:47"/>
        <s v="24-07-2024 10:04"/>
        <s v="16-07-2024 04:38"/>
        <d v="2024-05-07T21:34:00Z"/>
        <s v="25-07-2024 22:38"/>
        <s v="24-07-2024 11:41"/>
        <s v="27-07-2024 02:23"/>
        <s v="28-08-2024 08:27"/>
        <d v="2024-03-08T09:32:00Z"/>
        <d v="2024-08-08T21:45:00Z"/>
        <d v="2024-09-07T17:20:00Z"/>
        <s v="23-07-2024 06:54"/>
        <s v="27-07-2024 15:18"/>
        <s v="24-07-2024 19:33"/>
        <s v="18-08-2024 02:24"/>
        <s v="18-07-2024 23:36"/>
        <s v="21-08-2024 08:33"/>
        <s v="30-07-2024 07:15"/>
        <s v="20-08-2024 13:06"/>
        <s v="24-07-2024 03:14"/>
        <d v="2024-06-07T20:33:00Z"/>
        <s v="30-07-2024 16:42"/>
        <s v="21-07-2024 05:54"/>
        <s v="18-08-2024 20:01"/>
        <s v="20-08-2024 01:44"/>
        <s v="14-07-2024 11:36"/>
        <s v="26-08-2024 15:04"/>
        <d v="2024-06-08T14:09:00Z"/>
        <d v="2024-08-08T06:15:00Z"/>
        <s v="20-07-2024 14:28"/>
        <d v="2024-02-08T05:59:00Z"/>
        <s v="18-07-2024 16:38"/>
        <s v="13-08-2024 19:51"/>
        <s v="17-07-2024 19:28"/>
        <s v="21-08-2024 08:30"/>
        <s v="14-08-2024 16:39"/>
        <s v="25-08-2024 11:07"/>
        <s v="17-07-2024 18:39"/>
        <s v="20-07-2024 08:55"/>
        <s v="14-08-2024 03:02"/>
        <s v="31-07-2024 09:23"/>
        <s v="29-07-2024 15:51"/>
        <d v="2024-05-08T06:07:00Z"/>
        <s v="27-08-2024 01:07"/>
        <d v="2024-08-08T06:32:00Z"/>
        <s v="25-07-2024 04:56"/>
        <d v="2024-01-08T16:15:00Z"/>
        <s v="15-07-2024 14:39"/>
        <s v="28-07-2024 13:29"/>
        <d v="2024-08-08T07:07:00Z"/>
        <s v="27-07-2024 15:14"/>
        <s v="15-07-2024 08:52"/>
        <d v="2024-04-07T11:56:00Z"/>
        <s v="13-08-2024 04:32"/>
        <d v="2024-07-07T04:23:00Z"/>
        <s v="22-07-2024 10:33"/>
        <s v="13-08-2024 03:34"/>
        <d v="2024-04-07T09:45:00Z"/>
        <d v="2024-06-08T18:56:00Z"/>
        <s v="17-07-2024 00:26"/>
        <s v="18-08-2024 09:16"/>
        <d v="2024-10-07T13:30:00Z"/>
        <s v="14-08-2024 17:10"/>
        <d v="2024-02-08T20:29:00Z"/>
        <s v="19-08-2024 17:28"/>
        <d v="2024-08-08T03:39:00Z"/>
        <s v="13-08-2024 13:41"/>
        <s v="21-07-2024 05:23"/>
        <d v="2024-07-08T03:26:00Z"/>
        <d v="2024-03-07T22:41:00Z"/>
        <s v="15-07-2024 19:44"/>
        <s v="15-07-2024 02:11"/>
        <s v="17-08-2024 19:52"/>
        <s v="17-08-2024 20:33"/>
        <s v="28-07-2024 09:30"/>
        <d v="2024-07-07T08:52:00Z"/>
        <d v="2024-03-08T19:23:00Z"/>
        <d v="2024-11-08T04:44:00Z"/>
        <d v="2024-02-08T23:28:00Z"/>
        <s v="14-08-2024 04:13"/>
        <d v="2024-06-08T18:06:00Z"/>
        <s v="30-07-2024 19:34"/>
        <s v="25-07-2024 22:39"/>
        <s v="16-08-2024 19:38"/>
        <s v="18-08-2024 13:17"/>
        <d v="2024-01-07T02:06:00Z"/>
        <s v="21-07-2024 18:42"/>
        <d v="2024-03-07T00:41:00Z"/>
        <s v="28-08-2024 13:13"/>
        <d v="2024-01-07T00:13:00Z"/>
        <s v="15-08-2024 10:01"/>
        <s v="15-08-2024 21:00"/>
        <s v="31-07-2024 11:48"/>
        <s v="17-08-2024 23:23"/>
        <d v="2024-05-07T20:36:00Z"/>
        <d v="2024-04-07T21:28:00Z"/>
        <s v="16-08-2024 14:27"/>
        <s v="18-07-2024 16:01"/>
        <d v="2024-06-07T12:26:00Z"/>
        <s v="21-08-2024 18:56"/>
        <d v="2024-12-07T15:31:00Z"/>
        <d v="2024-09-07T19:20:00Z"/>
        <s v="13-08-2024 04:25"/>
        <d v="2024-08-08T10:21:00Z"/>
        <s v="13-07-2024 18:40"/>
        <s v="23-08-2024 14:27"/>
        <s v="23-07-2024 03:21"/>
        <s v="25-07-2024 18:41"/>
        <d v="2024-12-08T09:20:00Z"/>
        <d v="2024-02-08T22:30:00Z"/>
        <s v="27-08-2024 04:57"/>
        <d v="2024-12-08T20:35:00Z"/>
        <s v="23-07-2024 11:34"/>
        <d v="2024-01-07T16:40:00Z"/>
        <s v="21-07-2024 04:11"/>
        <s v="28-07-2024 09:27"/>
        <s v="22-07-2024 10:43"/>
        <s v="24-08-2024 17:08"/>
        <d v="2024-09-07T11:52:00Z"/>
        <s v="21-07-2024 11:35"/>
        <s v="30-07-2024 23:55"/>
        <d v="2024-08-08T05:23:00Z"/>
        <s v="30-07-2024 17:37"/>
        <s v="16-07-2024 01:23"/>
        <d v="2024-04-08T14:38:00Z"/>
        <d v="2024-07-08T21:49:00Z"/>
        <s v="19-07-2024 00:09"/>
        <d v="2024-09-07T13:24:00Z"/>
        <s v="25-07-2024 01:00"/>
        <d v="2024-12-08T00:16:00Z"/>
        <s v="16-07-2024 18:05"/>
        <s v="19-08-2024 22:23"/>
        <s v="23-07-2024 20:09"/>
        <s v="19-08-2024 21:55"/>
        <d v="2024-09-07T04:45:00Z"/>
        <d v="2024-08-08T10:27:00Z"/>
        <d v="2024-08-07T07:00:00Z"/>
        <s v="15-07-2024 00:10"/>
        <d v="2024-05-08T14:45:00Z"/>
        <s v="16-07-2024 15:16"/>
        <d v="2024-06-08T22:37:00Z"/>
        <d v="2024-10-08T21:29:00Z"/>
        <d v="2024-04-08T09:27:00Z"/>
        <d v="2024-05-08T11:05:00Z"/>
        <d v="2024-02-08T01:39:00Z"/>
        <s v="14-07-2024 01:18"/>
        <d v="2024-06-07T00:29:00Z"/>
        <s v="16-07-2024 02:46"/>
        <d v="2024-03-07T08:36:00Z"/>
        <s v="20-08-2024 21:57"/>
        <s v="22-07-2024 16:27"/>
        <s v="24-08-2024 07:22"/>
        <d v="2024-06-08T21:27:00Z"/>
        <d v="2024-08-08T06:26:00Z"/>
        <s v="21-07-2024 17:43"/>
        <s v="15-08-2024 18:20"/>
        <s v="15-08-2024 10:31"/>
        <s v="27-07-2024 11:37"/>
        <s v="17-08-2024 08:40"/>
        <d v="2024-01-08T00:18:00Z"/>
        <d v="2024-05-07T10:24:00Z"/>
        <s v="24-07-2024 08:14"/>
        <d v="2024-08-07T12:55:00Z"/>
        <s v="27-07-2024 02:20"/>
        <s v="18-07-2024 03:51"/>
        <s v="22-07-2024 06:08"/>
        <s v="14-07-2024 15:47"/>
        <d v="2024-03-08T15:34:00Z"/>
        <d v="2024-06-07T10:53:00Z"/>
        <s v="15-07-2024 02:42"/>
        <s v="28-08-2024 15:03"/>
        <d v="2024-02-07T20:56:00Z"/>
        <s v="27-08-2024 13:56"/>
        <s v="15-07-2024 13:56"/>
        <s v="28-08-2024 01:58"/>
        <s v="24-07-2024 04:21"/>
        <d v="2024-02-07T14:58:00Z"/>
        <s v="28-08-2024 17:20"/>
        <d v="2024-12-07T10:43:00Z"/>
        <d v="2024-08-08T07:37:00Z"/>
        <d v="2024-09-07T15:25:00Z"/>
        <s v="19-07-2024 22:25"/>
        <d v="2024-06-08T06:33:00Z"/>
        <d v="2024-12-07T17:43:00Z"/>
        <s v="19-07-2024 18:28"/>
        <d v="2024-10-07T18:36:00Z"/>
        <s v="21-07-2024 08:55"/>
        <s v="27-07-2024 12:30"/>
        <d v="2024-07-08T08:44:00Z"/>
        <s v="24-07-2024 06:49"/>
        <s v="26-07-2024 21:49"/>
        <d v="2024-08-07T14:28:00Z"/>
        <s v="16-08-2024 06:06"/>
        <s v="26-08-2024 01:14"/>
        <d v="2024-03-08T02:12:00Z"/>
        <s v="26-07-2024 09:39"/>
        <s v="29-08-2024 15:21"/>
        <d v="2024-10-07T17:18:00Z"/>
        <s v="13-08-2024 08:15"/>
        <s v="27-07-2024 11:07"/>
        <s v="29-07-2024 09:30"/>
        <s v="27-08-2024 23:40"/>
        <d v="2024-03-07T20:46:00Z"/>
        <d v="2024-10-07T12:05:00Z"/>
        <s v="23-07-2024 16:50"/>
        <s v="29-07-2024 00:28"/>
        <s v="19-07-2024 09:33"/>
        <d v="2024-03-07T21:21:00Z"/>
        <d v="2024-02-08T03:07:00Z"/>
        <d v="2024-10-08T02:40:00Z"/>
        <d v="2024-04-08T06:10:00Z"/>
        <d v="2024-01-07T21:22:00Z"/>
        <s v="19-07-2024 07:23"/>
        <s v="17-08-2024 09:17"/>
        <s v="18-07-2024 06:30"/>
        <d v="2024-06-08T05:50:00Z"/>
        <s v="16-08-2024 23:35"/>
        <d v="2024-04-07T12:00:00Z"/>
        <d v="2024-08-07T19:27:00Z"/>
        <d v="2024-11-08T21:30:00Z"/>
        <s v="31-07-2024 00:35"/>
        <d v="2024-05-08T04:10:00Z"/>
        <d v="2024-04-08T07:26:00Z"/>
        <d v="2024-01-08T06:24:00Z"/>
        <s v="14-07-2024 01:53"/>
        <d v="2024-04-08T08:13:00Z"/>
        <s v="13-07-2024 18:09"/>
        <d v="2024-04-08T04:48:00Z"/>
        <d v="2024-11-08T02:18:00Z"/>
        <d v="2024-08-07T11:05:00Z"/>
        <d v="2024-01-08T01:40:00Z"/>
        <d v="2024-02-07T08:34:00Z"/>
        <s v="16-08-2024 05:17"/>
        <s v="15-07-2024 10:52"/>
        <d v="2024-08-07T21:09:00Z"/>
        <d v="2024-08-07T16:39:00Z"/>
        <s v="21-08-2024 04:37"/>
        <s v="13-07-2024 18:30"/>
        <s v="24-07-2024 20:21"/>
        <s v="21-08-2024 02:59"/>
        <d v="2024-08-07T22:38:00Z"/>
        <s v="30-07-2024 23:02"/>
        <s v="13-07-2024 19:17"/>
        <s v="20-07-2024 18:56"/>
        <s v="14-07-2024 14:11"/>
        <d v="2024-11-07T07:29:00Z"/>
        <d v="2024-12-08T01:47:00Z"/>
        <d v="2024-11-08T00:40:00Z"/>
        <s v="24-08-2024 23:13"/>
        <s v="18-07-2024 21:35"/>
        <s v="18-08-2024 00:40"/>
        <d v="2024-03-07T04:47:00Z"/>
        <d v="2024-11-08T01:50:00Z"/>
        <d v="2024-10-08T10:38:00Z"/>
        <s v="27-08-2024 02:05"/>
        <d v="2024-12-08T02:56:00Z"/>
        <s v="22-07-2024 22:40"/>
        <s v="26-07-2024 15:36"/>
        <s v="25-07-2024 21:00"/>
        <s v="19-08-2024 18:33"/>
        <d v="2024-03-08T05:30:00Z"/>
        <s v="19-07-2024 21:32"/>
        <d v="2024-11-07T04:53:00Z"/>
        <s v="16-08-2024 03:27"/>
        <d v="2024-08-08T03:49:00Z"/>
        <s v="19-07-2024 02:37"/>
        <s v="22-07-2024 18:55"/>
        <s v="22-07-2024 00:53"/>
        <s v="25-08-2024 02:29"/>
        <s v="18-08-2024 06:44"/>
        <d v="2024-11-07T08:06:00Z"/>
        <d v="2024-01-08T16:24:00Z"/>
        <s v="23-08-2024 03:50"/>
        <s v="22-08-2024 06:22"/>
        <s v="18-08-2024 11:04"/>
        <s v="19-08-2024 15:52"/>
        <s v="16-08-2024 16:53"/>
        <d v="2024-03-07T18:48:00Z"/>
        <s v="15-08-2024 23:34"/>
        <d v="2024-01-08T16:45:00Z"/>
        <s v="24-07-2024 17:18"/>
        <s v="24-07-2024 15:38"/>
        <s v="23-08-2024 15:01"/>
        <s v="20-08-2024 13:50"/>
        <s v="27-08-2024 06:09"/>
        <d v="2024-10-07T16:07:00Z"/>
        <s v="19-07-2024 07:12"/>
        <s v="13-07-2024 09:15"/>
        <d v="2024-09-08T15:30:00Z"/>
        <d v="2024-01-08T11:01:00Z"/>
        <s v="18-08-2024 08:36"/>
        <s v="26-07-2024 09:17"/>
        <s v="20-07-2024 21:13"/>
        <d v="2024-08-08T04:09:00Z"/>
        <s v="22-07-2024 02:00"/>
        <d v="2024-09-07T23:43:00Z"/>
        <s v="25-08-2024 16:14"/>
        <s v="25-07-2024 14:39"/>
        <s v="21-08-2024 15:30"/>
        <s v="17-07-2024 16:42"/>
        <d v="2024-10-07T17:13:00Z"/>
        <s v="17-07-2024 00:37"/>
        <s v="18-07-2024 19:27"/>
        <s v="21-08-2024 04:55"/>
        <d v="2024-09-07T16:58:00Z"/>
        <s v="14-08-2024 22:35"/>
        <d v="2024-01-08T08:09:00Z"/>
        <s v="28-07-2024 23:43"/>
        <d v="2024-01-07T03:32:00Z"/>
        <s v="13-08-2024 15:43"/>
        <s v="19-07-2024 16:57"/>
        <d v="2024-11-07T08:54:00Z"/>
        <d v="2024-04-07T01:45:00Z"/>
        <s v="21-07-2024 02:58"/>
        <d v="2024-08-08T00:37:00Z"/>
        <s v="31-07-2024 01:28"/>
        <s v="29-07-2024 16:25"/>
        <s v="26-08-2024 18:02"/>
        <d v="2024-07-07T13:44:00Z"/>
        <d v="2024-08-07T01:41:00Z"/>
        <s v="23-07-2024 12:41"/>
        <d v="2024-01-07T17:03:00Z"/>
        <d v="2024-04-08T10:51:00Z"/>
        <d v="2024-03-07T23:57:00Z"/>
        <s v="30-07-2024 11:14"/>
        <d v="2024-03-08T00:59:00Z"/>
        <d v="2024-03-08T06:01:00Z"/>
        <d v="2024-12-08T21:42:00Z"/>
        <d v="2024-10-08T11:07:00Z"/>
        <d v="2024-01-08T10:35:00Z"/>
        <d v="2024-11-08T06:56:00Z"/>
        <d v="2024-12-08T11:22:00Z"/>
        <d v="2024-06-07T19:49:00Z"/>
        <s v="23-08-2024 22:28"/>
        <s v="14-08-2024 18:08"/>
        <s v="23-07-2024 08:53"/>
        <s v="22-08-2024 07:16"/>
        <d v="2024-02-08T09:11:00Z"/>
        <d v="2024-03-07T12:29:00Z"/>
        <d v="2024-03-07T03:46:00Z"/>
        <d v="2024-06-08T18:40:00Z"/>
        <d v="2024-05-07T13:27:00Z"/>
        <s v="19-08-2024 22:11"/>
        <s v="21-07-2024 14:13"/>
        <d v="2024-01-07T02:48:00Z"/>
        <d v="2024-01-07T15:32:00Z"/>
        <s v="20-07-2024 06:02"/>
        <s v="18-08-2024 13:41"/>
        <s v="29-07-2024 02:55"/>
        <s v="25-08-2024 07:47"/>
        <d v="2024-07-07T22:25:00Z"/>
        <d v="2024-04-08T06:28:00Z"/>
        <s v="22-08-2024 11:36"/>
        <s v="15-07-2024 18:12"/>
        <d v="2024-09-08T20:25:00Z"/>
        <d v="2024-12-07T19:28:00Z"/>
        <s v="31-07-2024 00:50"/>
        <d v="2024-06-07T15:58:00Z"/>
        <s v="27-08-2024 04:04"/>
        <d v="2024-10-08T18:58:00Z"/>
        <s v="27-07-2024 07:38"/>
        <s v="23-07-2024 17:08"/>
        <d v="2024-07-07T10:30:00Z"/>
        <s v="19-08-2024 14:05"/>
        <s v="28-08-2024 18:22"/>
        <s v="20-08-2024 02:10"/>
        <s v="18-07-2024 05:47"/>
        <s v="16-07-2024 09:36"/>
        <d v="2024-02-07T11:20:00Z"/>
        <s v="25-08-2024 05:34"/>
        <d v="2024-06-07T10:10:00Z"/>
        <d v="2024-06-08T01:01:00Z"/>
        <d v="2024-05-08T06:06:00Z"/>
        <s v="26-07-2024 11:26"/>
        <d v="2024-03-07T08:42:00Z"/>
        <d v="2024-02-08T04:11:00Z"/>
        <s v="19-07-2024 04:11"/>
        <d v="2024-08-07T22:55:00Z"/>
        <s v="28-07-2024 01:37"/>
        <s v="15-07-2024 13:40"/>
        <d v="2024-05-08T04:32:00Z"/>
        <s v="24-07-2024 22:24"/>
        <s v="28-07-2024 19:49"/>
        <d v="2024-02-07T17:46:00Z"/>
        <s v="15-07-2024 19:47"/>
        <s v="15-07-2024 10:53"/>
        <s v="23-08-2024 01:59"/>
        <s v="28-07-2024 16:33"/>
        <s v="24-08-2024 06:48"/>
        <d v="2024-12-08T03:34:00Z"/>
        <s v="27-08-2024 18:59"/>
        <d v="2024-08-07T00:22:00Z"/>
        <s v="28-08-2024 16:15"/>
        <d v="2024-10-08T18:57:00Z"/>
        <s v="25-08-2024 14:18"/>
        <d v="2024-10-08T04:58:00Z"/>
        <d v="2024-07-08T12:50:00Z"/>
        <s v="18-07-2024 12:15"/>
        <s v="16-07-2024 11:47"/>
        <s v="19-07-2024 08:33"/>
        <d v="2024-10-07T05:31:00Z"/>
        <s v="28-07-2024 02:53"/>
        <s v="22-07-2024 22:20"/>
        <d v="2024-09-07T22:53:00Z"/>
        <s v="15-08-2024 10:02"/>
        <d v="2024-11-08T03:17:00Z"/>
        <s v="20-08-2024 14:25"/>
        <d v="2024-08-08T00:20:00Z"/>
        <d v="2024-07-08T22:23:00Z"/>
        <s v="13-07-2024 11:34"/>
        <d v="2024-11-07T13:25:00Z"/>
        <s v="19-07-2024 06:26"/>
        <s v="27-08-2024 03:17"/>
        <s v="13-07-2024 17:38"/>
        <d v="2024-10-07T04:21:00Z"/>
        <s v="29-07-2024 17:53"/>
        <s v="16-08-2024 11:35"/>
        <s v="29-08-2024 08:51"/>
        <d v="2024-01-08T20:57:00Z"/>
        <d v="2024-09-07T04:17:00Z"/>
        <s v="22-07-2024 09:04"/>
        <d v="2024-03-08T23:28:00Z"/>
        <d v="2024-11-08T05:35:00Z"/>
        <s v="23-08-2024 14:55"/>
        <s v="16-08-2024 03:41"/>
        <d v="2024-10-07T02:26:00Z"/>
        <s v="23-08-2024 13:11"/>
        <d v="2024-06-08T02:02:00Z"/>
        <d v="2024-09-08T23:43:00Z"/>
        <d v="2024-08-07T22:37:00Z"/>
        <d v="2024-05-08T20:18:00Z"/>
        <s v="27-08-2024 12:37"/>
        <d v="2024-10-08T16:42:00Z"/>
        <s v="13-07-2024 21:38"/>
        <s v="21-08-2024 12:48"/>
        <d v="2024-05-08T17:04:00Z"/>
        <d v="2024-01-08T16:37:00Z"/>
        <s v="18-07-2024 10:52"/>
        <s v="19-07-2024 17:23"/>
        <d v="2024-01-07T11:10:00Z"/>
        <d v="2024-08-08T23:42:00Z"/>
        <s v="26-07-2024 02:26"/>
        <s v="15-08-2024 11:22"/>
        <s v="21-07-2024 05:42"/>
        <d v="2024-01-07T07:41:00Z"/>
        <s v="13-08-2024 18:35"/>
        <s v="28-07-2024 10:05"/>
        <d v="2024-03-07T12:49:00Z"/>
        <s v="14-08-2024 14:08"/>
        <s v="23-08-2024 04:39"/>
        <s v="31-07-2024 13:44"/>
        <s v="21-08-2024 18:17"/>
        <s v="25-07-2024 05:58"/>
        <d v="2024-10-08T07:24:00Z"/>
        <s v="18-08-2024 06:16"/>
        <s v="27-08-2024 23:02"/>
        <s v="19-07-2024 13:10"/>
        <s v="23-08-2024 03:12"/>
        <s v="16-08-2024 15:40"/>
        <d v="2024-10-07T13:02:00Z"/>
        <s v="27-08-2024 05:00"/>
        <s v="21-08-2024 08:38"/>
        <d v="2024-09-07T19:32:00Z"/>
        <d v="2024-04-07T09:30:00Z"/>
        <s v="14-08-2024 13:38"/>
        <s v="25-07-2024 04:58"/>
        <d v="2024-11-08T02:37:00Z"/>
        <s v="20-07-2024 12:51"/>
        <d v="2024-03-08T05:06:00Z"/>
        <d v="2024-08-07T17:40:00Z"/>
        <s v="22-07-2024 23:20"/>
        <s v="17-07-2024 17:07"/>
        <s v="26-08-2024 20:08"/>
        <s v="25-07-2024 10:48"/>
        <s v="25-08-2024 06:33"/>
        <d v="2024-12-08T23:35:00Z"/>
        <s v="21-08-2024 13:49"/>
        <s v="23-07-2024 22:41"/>
        <s v="15-08-2024 20:03"/>
        <d v="2024-02-08T02:38:00Z"/>
        <s v="20-08-2024 02:48"/>
        <s v="16-07-2024 07:36"/>
        <s v="24-08-2024 13:56"/>
        <d v="2024-12-07T23:21:00Z"/>
        <d v="2024-02-08T20:27:00Z"/>
        <d v="2024-09-07T12:59:00Z"/>
        <d v="2024-10-07T20:29:00Z"/>
        <s v="20-08-2024 21:27"/>
        <d v="2024-09-08T07:10:00Z"/>
        <s v="21-08-2024 23:46"/>
        <d v="2024-01-07T09:56:00Z"/>
        <d v="2024-07-08T07:16:00Z"/>
        <s v="29-08-2024 03:57"/>
        <s v="24-07-2024 01:32"/>
        <s v="23-07-2024 16:11"/>
        <d v="2024-01-07T04:28:00Z"/>
        <s v="25-08-2024 11:45"/>
        <d v="2024-12-07T10:30:00Z"/>
        <d v="2024-02-08T17:51:00Z"/>
        <s v="15-07-2024 16:25"/>
        <s v="26-08-2024 01:08"/>
        <d v="2024-10-08T03:36:00Z"/>
        <s v="13-07-2024 04:08"/>
        <s v="25-07-2024 21:17"/>
        <s v="14-08-2024 14:34"/>
        <s v="21-07-2024 11:54"/>
        <d v="2024-01-07T02:57:00Z"/>
        <s v="27-07-2024 14:31"/>
        <d v="2024-12-08T12:44:00Z"/>
        <s v="27-07-2024 19:26"/>
        <d v="2024-02-07T02:21:00Z"/>
        <d v="2024-09-08T11:18:00Z"/>
        <d v="2024-09-08T10:49:00Z"/>
        <s v="28-08-2024 19:00"/>
        <s v="17-07-2024 10:40"/>
        <d v="2024-01-07T08:59:00Z"/>
        <d v="2024-03-07T13:45:00Z"/>
        <d v="2024-02-08T15:51:00Z"/>
        <s v="19-08-2024 12:07"/>
        <d v="2024-09-08T01:35:00Z"/>
        <s v="29-07-2024 19:36"/>
        <d v="2024-09-08T12:31:00Z"/>
        <s v="17-07-2024 04:03"/>
        <s v="22-07-2024 05:48"/>
        <d v="2024-10-08T06:16:00Z"/>
        <d v="2024-10-08T18:16:00Z"/>
        <d v="2024-08-07T09:40:00Z"/>
        <d v="2024-10-07T08:31:00Z"/>
        <d v="2024-03-07T04:28:00Z"/>
        <d v="2024-05-08T12:56:00Z"/>
        <s v="20-08-2024 14:01"/>
        <s v="25-07-2024 16:18"/>
        <s v="17-08-2024 10:09"/>
        <d v="2024-04-07T07:15:00Z"/>
        <d v="2024-06-08T06:00:00Z"/>
        <s v="14-07-2024 13:19"/>
        <d v="2024-10-07T03:33:00Z"/>
        <s v="21-07-2024 05:57"/>
        <s v="20-07-2024 14:08"/>
        <s v="13-07-2024 13:32"/>
        <s v="30-06-2024 21:27"/>
        <d v="2024-12-08T03:32:00Z"/>
        <s v="27-08-2024 00:40"/>
        <s v="24-07-2024 15:06"/>
        <s v="25-08-2024 03:48"/>
        <s v="21-07-2024 02:48"/>
        <s v="16-07-2024 06:46"/>
        <s v="16-08-2024 12:47"/>
        <s v="22-08-2024 22:04"/>
        <s v="22-08-2024 13:37"/>
        <s v="21-08-2024 14:27"/>
        <s v="18-08-2024 21:39"/>
        <d v="2024-06-08T15:30:00Z"/>
        <s v="16-07-2024 19:22"/>
        <s v="28-07-2024 06:36"/>
        <s v="26-08-2024 17:36"/>
        <s v="13-07-2024 04:51"/>
        <d v="2024-02-08T04:53:00Z"/>
        <d v="2024-09-07T13:12:00Z"/>
        <d v="2024-03-08T02:49:00Z"/>
        <s v="26-08-2024 12:25"/>
        <d v="2024-02-07T01:26:00Z"/>
        <d v="2024-05-07T18:19:00Z"/>
        <s v="15-08-2024 15:40"/>
        <s v="24-07-2024 04:01"/>
        <s v="24-07-2024 21:27"/>
        <s v="25-07-2024 08:44"/>
        <s v="24-08-2024 11:01"/>
        <s v="15-07-2024 16:29"/>
        <s v="13-08-2024 20:09"/>
        <d v="2024-03-07T05:37:00Z"/>
        <d v="2024-12-07T07:38:00Z"/>
        <s v="23-07-2024 08:25"/>
        <d v="2024-03-07T23:07:00Z"/>
        <s v="27-08-2024 17:51"/>
        <s v="18-08-2024 12:20"/>
        <s v="24-08-2024 08:55"/>
        <s v="19-07-2024 11:22"/>
        <s v="25-07-2024 06:42"/>
        <s v="15-07-2024 07:25"/>
        <d v="2024-03-07T23:16:00Z"/>
        <s v="20-08-2024 00:05"/>
        <s v="29-07-2024 16:17"/>
        <d v="2024-03-07T03:00:00Z"/>
        <d v="2024-09-08T04:02:00Z"/>
        <d v="2024-04-08T16:44:00Z"/>
        <s v="29-07-2024 08:23"/>
        <d v="2024-07-08T00:55:00Z"/>
        <s v="23-08-2024 05:56"/>
        <s v="19-07-2024 07:56"/>
        <d v="2024-08-07T16:17:00Z"/>
        <d v="2024-03-07T18:57:00Z"/>
        <d v="2024-08-08T01:50:00Z"/>
        <s v="31-07-2024 02:38"/>
        <s v="26-07-2024 01:57"/>
        <s v="27-07-2024 10:53"/>
        <s v="26-08-2024 19:54"/>
        <d v="2024-11-07T20:55:00Z"/>
        <s v="15-08-2024 07:46"/>
        <d v="2024-03-08T05:48:00Z"/>
        <s v="20-07-2024 16:24"/>
        <s v="14-07-2024 21:40"/>
        <d v="2024-09-07T01:42:00Z"/>
        <d v="2024-03-08T07:49:00Z"/>
        <d v="2024-10-08T20:23:00Z"/>
        <s v="13-07-2024 01:04"/>
        <s v="16-08-2024 12:56"/>
        <d v="2024-09-07T18:39:00Z"/>
        <d v="2024-02-07T16:06:00Z"/>
        <s v="15-07-2024 03:58"/>
        <d v="2024-12-07T00:22:00Z"/>
        <d v="2024-05-08T00:53:00Z"/>
        <s v="24-07-2024 15:27"/>
        <s v="17-08-2024 21:39"/>
        <d v="2024-01-07T15:41:00Z"/>
        <s v="24-07-2024 09:58"/>
        <s v="18-08-2024 01:24"/>
        <d v="2024-12-08T15:35:00Z"/>
        <d v="2024-05-07T01:50:00Z"/>
        <s v="18-07-2024 11:19"/>
        <s v="16-07-2024 13:39"/>
        <s v="22-07-2024 09:06"/>
        <s v="25-08-2024 05:16"/>
        <d v="2024-06-07T02:37:00Z"/>
        <d v="2024-10-07T17:49:00Z"/>
        <d v="2024-12-07T19:53:00Z"/>
        <d v="2024-09-08T02:47:00Z"/>
        <d v="2024-01-08T04:56:00Z"/>
        <s v="26-07-2024 13:07"/>
        <s v="23-07-2024 04:35"/>
        <s v="26-08-2024 21:29"/>
        <s v="22-07-2024 21:31"/>
        <d v="2024-02-07T08:08:00Z"/>
        <s v="27-08-2024 18:28"/>
        <s v="29-08-2024 13:29"/>
        <d v="2024-07-08T20:19:00Z"/>
        <d v="2024-03-07T07:41:00Z"/>
        <d v="2024-12-08T12:15:00Z"/>
        <d v="2024-12-08T17:35:00Z"/>
        <d v="2024-12-07T11:01:00Z"/>
        <s v="14-08-2024 09:33"/>
        <s v="23-07-2024 21:19"/>
        <d v="2024-11-07T19:28:00Z"/>
        <d v="2024-10-07T03:58:00Z"/>
        <d v="2024-10-07T18:39:00Z"/>
        <d v="2024-10-08T04:48:00Z"/>
        <d v="2024-02-07T11:06:00Z"/>
        <s v="13-08-2024 21:05"/>
        <d v="2024-09-08T07:48:00Z"/>
        <d v="2024-06-07T03:49:00Z"/>
        <s v="14-08-2024 09:24"/>
        <d v="2024-10-08T00:14:00Z"/>
        <s v="19-07-2024 09:00"/>
        <s v="18-08-2024 20:33"/>
        <s v="16-07-2024 20:58"/>
        <d v="2024-10-07T11:03:00Z"/>
        <s v="23-08-2024 18:06"/>
        <d v="2024-02-08T23:18:00Z"/>
        <s v="21-07-2024 06:06"/>
        <s v="15-07-2024 15:02"/>
        <d v="2024-07-07T05:10:00Z"/>
        <d v="2024-03-07T14:36:00Z"/>
        <d v="2024-06-08T07:40:00Z"/>
        <d v="2024-02-08T15:38:00Z"/>
        <s v="28-07-2024 04:35"/>
        <s v="13-08-2024 23:22"/>
        <s v="18-07-2024 02:47"/>
        <d v="2024-08-07T00:32:00Z"/>
        <d v="2024-06-08T06:27:00Z"/>
        <s v="27-07-2024 12:33"/>
        <s v="14-07-2024 05:26"/>
        <d v="2024-08-07T11:32:00Z"/>
        <s v="22-07-2024 14:21"/>
        <s v="26-07-2024 08:27"/>
        <s v="23-07-2024 14:06"/>
        <d v="2024-03-07T09:09:00Z"/>
        <s v="24-08-2024 16:26"/>
        <d v="2024-09-08T10:19:00Z"/>
        <s v="15-07-2024 13:46"/>
        <d v="2024-07-07T13:53:00Z"/>
        <s v="18-08-2024 12:38"/>
        <s v="15-07-2024 14:00"/>
        <d v="2024-11-08T04:56:00Z"/>
        <d v="2024-11-07T14:07:00Z"/>
        <d v="2024-03-07T13:01:00Z"/>
        <d v="2024-05-07T14:57:00Z"/>
        <d v="2024-08-07T17:22:00Z"/>
        <s v="14-08-2024 13:09"/>
        <d v="2024-07-07T04:56:00Z"/>
        <s v="26-07-2024 17:46"/>
        <s v="30-06-2024 20:57"/>
        <d v="2024-02-07T09:16:00Z"/>
        <d v="2024-07-07T10:32:00Z"/>
        <s v="24-07-2024 08:49"/>
        <d v="2024-11-08T18:41:00Z"/>
        <s v="23-07-2024 09:29"/>
        <s v="24-07-2024 00:38"/>
        <s v="28-08-2024 14:01"/>
        <d v="2024-07-08T09:36:00Z"/>
        <d v="2024-10-08T05:23:00Z"/>
        <d v="2024-08-07T09:22:00Z"/>
        <d v="2024-06-07T02:55:00Z"/>
        <d v="2024-11-07T03:47:00Z"/>
        <s v="30-07-2024 12:53"/>
        <s v="24-08-2024 05:08"/>
        <d v="2024-09-08T03:54:00Z"/>
        <d v="2024-10-07T01:36:00Z"/>
        <s v="18-08-2024 10:27"/>
        <d v="2024-12-08T11:08:00Z"/>
        <s v="31-07-2024 11:07"/>
        <d v="2024-10-07T10:15:00Z"/>
        <s v="24-07-2024 07:52"/>
        <s v="26-07-2024 04:07"/>
        <s v="17-07-2024 05:00"/>
        <s v="22-07-2024 14:32"/>
        <s v="19-08-2024 15:58"/>
        <d v="2024-10-07T09:36:00Z"/>
        <d v="2024-03-08T14:06:00Z"/>
        <d v="2024-04-07T19:24:00Z"/>
        <s v="20-08-2024 14:34"/>
        <s v="19-07-2024 17:58"/>
        <s v="15-07-2024 17:15"/>
        <s v="22-08-2024 06:17"/>
        <s v="31-07-2024 07:15"/>
        <s v="18-07-2024 09:39"/>
        <d v="2024-07-08T13:28:00Z"/>
        <s v="18-08-2024 01:30"/>
        <d v="2024-11-07T18:06:00Z"/>
        <d v="2024-02-08T00:36:00Z"/>
        <s v="13-07-2024 20:58"/>
        <s v="21-08-2024 12:02"/>
        <d v="2024-10-08T23:53:00Z"/>
        <d v="2024-11-08T12:46:00Z"/>
        <d v="2024-02-08T01:07:00Z"/>
        <d v="2024-02-07T17:05:00Z"/>
        <s v="25-08-2024 04:52"/>
        <d v="2024-08-08T19:34:00Z"/>
        <s v="15-07-2024 00:13"/>
        <s v="19-07-2024 09:51"/>
        <s v="25-07-2024 05:56"/>
        <d v="2024-10-08T06:17:00Z"/>
        <s v="30-07-2024 16:07"/>
        <d v="2024-03-07T02:50:00Z"/>
        <s v="24-07-2024 22:23"/>
        <s v="30-06-2024 23:38"/>
        <d v="2024-10-07T08:55:00Z"/>
        <s v="30-06-2024 16:20"/>
        <d v="2024-12-08T07:18:00Z"/>
        <d v="2024-04-07T17:08:00Z"/>
        <d v="2024-04-08T06:46:00Z"/>
        <d v="2024-11-08T17:32:00Z"/>
        <d v="2024-11-07T11:04:00Z"/>
        <d v="2024-01-07T20:11:00Z"/>
        <s v="23-07-2024 23:08"/>
        <s v="21-07-2024 10:44"/>
        <d v="2024-10-07T07:36:00Z"/>
        <d v="2024-05-07T19:28:00Z"/>
        <d v="2024-03-07T20:09:00Z"/>
        <d v="2024-12-07T16:20:00Z"/>
        <d v="2024-07-08T05:28:00Z"/>
        <s v="13-08-2024 18:52"/>
        <s v="27-08-2024 19:10"/>
        <s v="20-08-2024 13:43"/>
        <d v="2024-11-08T22:13:00Z"/>
        <s v="17-08-2024 23:06"/>
        <s v="19-07-2024 16:25"/>
        <s v="26-08-2024 17:40"/>
        <s v="13-08-2024 16:10"/>
        <d v="2024-05-08T12:29:00Z"/>
        <s v="22-08-2024 08:26"/>
        <s v="25-08-2024 21:11"/>
        <d v="2024-05-07T07:36:00Z"/>
        <s v="25-07-2024 16:50"/>
        <s v="21-08-2024 01:51"/>
        <s v="15-07-2024 12:30"/>
        <d v="2024-01-08T05:07:00Z"/>
        <d v="2024-05-07T23:57:00Z"/>
        <s v="22-07-2024 12:33"/>
        <d v="2024-12-07T18:26:00Z"/>
        <d v="2024-07-08T13:32:00Z"/>
        <s v="23-07-2024 09:42"/>
        <s v="14-07-2024 13:26"/>
        <s v="27-08-2024 13:42"/>
        <d v="2024-07-08T15:32:00Z"/>
        <d v="2024-07-08T09:39:00Z"/>
        <d v="2024-05-07T16:26:00Z"/>
        <s v="16-07-2024 18:18"/>
        <d v="2024-10-08T05:42:00Z"/>
        <s v="17-08-2024 16:07"/>
        <d v="2024-11-07T03:42:00Z"/>
        <s v="28-08-2024 17:08"/>
        <s v="31-07-2024 21:15"/>
        <s v="20-07-2024 14:35"/>
        <d v="2024-08-07T02:20:00Z"/>
        <s v="18-08-2024 04:13"/>
        <d v="2024-06-07T00:15:00Z"/>
        <d v="2024-01-08T11:19:00Z"/>
        <s v="29-08-2024 00:04"/>
        <s v="24-07-2024 06:00"/>
        <s v="13-08-2024 05:19"/>
        <s v="29-08-2024 01:57"/>
        <s v="13-08-2024 07:22"/>
        <d v="2024-11-07T02:34:00Z"/>
        <s v="20-07-2024 22:19"/>
        <d v="2024-12-08T21:46:00Z"/>
        <s v="30-06-2024 17:08"/>
        <s v="15-07-2024 14:32"/>
        <d v="2024-02-07T23:29:00Z"/>
        <s v="28-08-2024 12:31"/>
        <d v="2024-02-07T19:13:00Z"/>
        <s v="25-08-2024 21:15"/>
        <d v="2024-01-08T04:26:00Z"/>
        <d v="2024-10-07T23:29:00Z"/>
        <d v="2024-03-07T11:56:00Z"/>
        <d v="2024-08-07T17:07:00Z"/>
        <d v="2024-11-08T15:12:00Z"/>
        <s v="16-08-2024 10:02"/>
        <d v="2024-12-07T22:56:00Z"/>
        <s v="28-07-2024 19:01"/>
        <d v="2024-09-08T02:43:00Z"/>
        <s v="14-08-2024 18:02"/>
        <s v="16-07-2024 22:05"/>
        <s v="25-07-2024 12:01"/>
        <s v="25-08-2024 02:41"/>
        <d v="2024-07-07T19:48:00Z"/>
        <s v="29-07-2024 07:48"/>
        <s v="19-08-2024 20:36"/>
        <s v="15-07-2024 17:28"/>
        <d v="2024-02-07T07:10:00Z"/>
        <d v="2024-03-07T04:12:00Z"/>
        <s v="25-08-2024 14:55"/>
        <s v="29-08-2024 08:40"/>
        <d v="2024-05-08T14:21:00Z"/>
        <d v="2024-11-08T19:32:00Z"/>
        <s v="21-08-2024 01:17"/>
        <s v="27-08-2024 18:42"/>
        <s v="20-07-2024 22:58"/>
        <d v="2024-07-08T21:33:00Z"/>
        <d v="2024-10-07T00:12:00Z"/>
        <s v="20-07-2024 09:48"/>
        <s v="20-08-2024 16:06"/>
        <s v="25-08-2024 13:28"/>
        <s v="21-07-2024 00:55"/>
        <s v="13-07-2024 09:07"/>
        <d v="2024-02-08T18:25:00Z"/>
        <s v="21-07-2024 20:22"/>
        <d v="2024-07-08T01:36:00Z"/>
        <s v="21-08-2024 09:54"/>
        <d v="2024-10-08T20:25:00Z"/>
        <d v="2024-04-08T05:25:00Z"/>
        <d v="2024-11-07T20:54:00Z"/>
        <s v="17-08-2024 17:54"/>
        <d v="2024-03-07T22:36:00Z"/>
        <s v="16-07-2024 22:56"/>
        <d v="2024-06-08T10:40:00Z"/>
        <s v="22-08-2024 09:50"/>
        <s v="28-08-2024 01:26"/>
        <s v="27-08-2024 16:01"/>
        <d v="2024-12-07T01:15:00Z"/>
        <d v="2024-12-08T21:13:00Z"/>
        <s v="19-07-2024 14:48"/>
        <s v="19-07-2024 09:44"/>
        <s v="28-08-2024 19:12"/>
        <d v="2024-06-08T09:33:00Z"/>
        <s v="28-07-2024 02:35"/>
        <s v="24-07-2024 09:05"/>
        <s v="17-07-2024 13:03"/>
        <s v="15-07-2024 04:09"/>
        <s v="13-08-2024 15:21"/>
        <s v="20-07-2024 11:27"/>
        <s v="16-08-2024 15:54"/>
        <d v="2024-07-07T15:53:00Z"/>
        <s v="24-07-2024 07:23"/>
        <s v="17-08-2024 02:34"/>
        <d v="2024-04-07T02:25:00Z"/>
        <d v="2024-03-07T15:25:00Z"/>
        <s v="31-07-2024 06:14"/>
        <s v="13-07-2024 06:12"/>
        <s v="29-07-2024 12:33"/>
        <s v="29-07-2024 02:21"/>
        <s v="23-07-2024 07:44"/>
        <s v="30-07-2024 21:13"/>
        <s v="20-07-2024 00:10"/>
        <s v="18-08-2024 22:57"/>
        <s v="24-07-2024 18:15"/>
        <s v="27-08-2024 07:47"/>
        <s v="30-07-2024 06:59"/>
        <d v="2024-08-08T11:47:00Z"/>
        <s v="14-07-2024 15:04"/>
        <d v="2024-01-07T10:58:00Z"/>
        <m/>
      </sharedItems>
    </cacheField>
    <cacheField name="Usage End Date">
      <sharedItems containsDate="1" containsBlank="1" containsMixedTypes="1">
        <d v="2024-07-08T06:54:00Z"/>
        <s v="25-08-2024 07:26"/>
        <s v="22-07-2024 00:45"/>
        <s v="21-07-2024 10:16"/>
        <s v="25-08-2024 00:21"/>
        <s v="20-07-2024 05:55"/>
        <s v="25-08-2024 11:08"/>
        <s v="22-08-2024 14:58"/>
        <s v="14-07-2024 04:02"/>
        <d v="2024-10-07T21:26:00Z"/>
        <d v="2024-12-07T21:15:00Z"/>
        <s v="18-08-2024 00:25"/>
        <s v="22-07-2024 13:56"/>
        <s v="20-07-2024 21:28"/>
        <d v="2024-08-07T06:34:00Z"/>
        <s v="24-08-2024 05:27"/>
        <s v="31-08-2024 12:24"/>
        <d v="2024-09-07T13:46:00Z"/>
        <s v="29-08-2024 17:30"/>
        <d v="2024-11-07T01:58:00Z"/>
        <s v="21-08-2024 09:41"/>
        <s v="22-07-2024 08:13"/>
        <d v="2024-09-08T08:02:00Z"/>
        <s v="19-08-2024 18:27"/>
        <s v="17-07-2024 02:28"/>
        <s v="29-08-2024 07:02"/>
        <s v="29-08-2024 04:27"/>
        <d v="2024-04-07T21:24:00Z"/>
        <s v="15-08-2024 11:52"/>
        <s v="28-08-2024 05:23"/>
        <s v="19-08-2024 13:19"/>
        <s v="31-08-2024 13:07"/>
        <d v="2024-05-07T16:16:00Z"/>
        <s v="16-07-2024 23:28"/>
        <d v="2024-12-07T02:51:00Z"/>
        <s v="30-07-2024 14:04"/>
        <s v="18-07-2024 20:13"/>
        <s v="21-08-2024 12:08"/>
        <d v="2024-08-08T00:16:00Z"/>
        <s v="25-08-2024 23:47"/>
        <s v="24-07-2024 05:06"/>
        <s v="14-07-2024 00:48"/>
        <s v="22-08-2024 20:06"/>
        <d v="2024-03-08T16:36:00Z"/>
        <d v="2024-06-08T02:35:00Z"/>
        <s v="22-07-2024 15:42"/>
        <d v="2024-08-07T10:05:00Z"/>
        <s v="14-07-2024 20:22"/>
        <d v="2024-04-07T01:47:00Z"/>
        <s v="16-08-2024 16:17"/>
        <s v="17-07-2024 01:48"/>
        <s v="20-08-2024 03:38"/>
        <s v="14-08-2024 01:08"/>
        <d v="2024-09-07T18:12:00Z"/>
        <s v="29-07-2024 02:07"/>
        <s v="19-08-2024 14:12"/>
        <d v="2024-11-07T07:37:00Z"/>
        <d v="2024-08-07T02:20:00Z"/>
        <d v="2024-06-08T22:53:00Z"/>
        <d v="2024-09-07T12:26:00Z"/>
        <d v="2024-09-07T21:19:00Z"/>
        <d v="2024-04-08T05:04:00Z"/>
        <s v="21-08-2024 03:45"/>
        <s v="24-07-2024 08:12"/>
        <d v="2024-05-08T17:38:00Z"/>
        <s v="22-07-2024 15:33"/>
        <d v="2024-06-07T07:09:00Z"/>
        <d v="2024-03-08T08:55:00Z"/>
        <s v="28-08-2024 22:58"/>
        <d v="2024-12-07T02:04:00Z"/>
        <d v="2024-12-07T07:22:00Z"/>
        <s v="17-08-2024 00:54"/>
        <s v="22-08-2024 03:54"/>
        <d v="2024-07-08T07:29:00Z"/>
        <s v="21-07-2024 00:30"/>
        <d v="2024-02-09T23:21:00Z"/>
        <s v="15-08-2024 22:18"/>
        <s v="13-07-2024 06:46"/>
        <s v="20-07-2024 09:14"/>
        <s v="28-07-2024 22:08"/>
        <d v="2024-08-08T22:03:00Z"/>
        <d v="2024-09-07T09:33:00Z"/>
        <s v="23-07-2024 02:49"/>
        <s v="23-07-2024 00:45"/>
        <s v="29-07-2024 13:39"/>
        <d v="2024-11-07T11:10:00Z"/>
        <s v="21-08-2024 09:03"/>
        <s v="14-08-2024 20:36"/>
        <d v="2024-07-07T02:27:00Z"/>
        <d v="2024-09-08T07:34:00Z"/>
        <s v="17-08-2024 14:38"/>
        <s v="30-07-2024 01:45"/>
        <s v="14-07-2024 02:52"/>
        <s v="26-08-2024 10:28"/>
        <s v="16-08-2024 00:43"/>
        <d v="2024-06-07T01:13:00Z"/>
        <s v="24-08-2024 15:19"/>
        <d v="2024-04-07T08:35:00Z"/>
        <s v="18-08-2024 13:32"/>
        <d v="2024-01-08T14:18:00Z"/>
        <s v="31-08-2024 23:33"/>
        <s v="23-07-2024 05:49"/>
        <s v="28-07-2024 21:25"/>
        <s v="29-08-2024 06:12"/>
        <d v="2024-05-08T08:45:00Z"/>
        <d v="2024-05-07T10:35:00Z"/>
        <s v="24-08-2024 10:23"/>
        <s v="29-07-2024 19:20"/>
        <s v="17-07-2024 10:00"/>
        <d v="2024-08-07T06:45:00Z"/>
        <s v="29-07-2024 01:37"/>
        <s v="29-07-2024 05:57"/>
        <s v="28-07-2024 08:06"/>
        <d v="2024-02-09T18:36:00Z"/>
        <d v="2024-06-08T16:14:00Z"/>
        <d v="2024-11-08T02:52:00Z"/>
        <d v="2024-11-07T23:44:00Z"/>
        <s v="27-07-2024 06:58"/>
        <s v="29-07-2024 14:50"/>
        <s v="29-07-2024 05:13"/>
        <s v="23-08-2024 23:24"/>
        <s v="21-07-2024 15:03"/>
        <s v="26-08-2024 11:51"/>
        <d v="2024-03-08T01:29:00Z"/>
        <s v="23-08-2024 08:24"/>
        <s v="25-07-2024 11:33"/>
        <d v="2024-10-07T10:18:00Z"/>
        <d v="2024-01-08T01:44:00Z"/>
        <s v="26-07-2024 18:33"/>
        <s v="24-08-2024 04:46"/>
        <s v="23-08-2024 14:10"/>
        <s v="19-07-2024 23:33"/>
        <s v="29-08-2024 21:48"/>
        <d v="2024-08-08T11:15:00Z"/>
        <s v="14-08-2024 04:26"/>
        <s v="23-07-2024 12:48"/>
        <d v="2024-06-08T03:48:00Z"/>
        <s v="17-08-2024 21:24"/>
        <s v="21-07-2024 16:48"/>
        <s v="25-08-2024 01:31"/>
        <s v="20-08-2024 02:51"/>
        <s v="28-08-2024 13:59"/>
        <s v="22-07-2024 00:58"/>
        <s v="21-07-2024 17:46"/>
        <s v="18-08-2024 05:38"/>
        <d v="2024-04-08T10:09:00Z"/>
        <d v="2024-02-08T16:09:00Z"/>
        <d v="2024-06-08T19:21:00Z"/>
        <s v="30-08-2024 11:05"/>
        <d v="2024-12-08T01:49:00Z"/>
        <s v="29-07-2024 03:30"/>
        <d v="2024-03-08T21:48:00Z"/>
        <s v="16-07-2024 21:20"/>
        <s v="31-07-2024 03:59"/>
        <d v="2024-11-08T05:18:00Z"/>
        <s v="29-07-2024 08:14"/>
        <s v="16-07-2024 14:18"/>
        <d v="2024-08-07T22:22:00Z"/>
        <s v="18-08-2024 04:13"/>
        <d v="2024-10-07T13:01:00Z"/>
        <s v="26-07-2024 00:32"/>
        <s v="18-08-2024 15:06"/>
        <d v="2024-06-07T02:16:00Z"/>
        <d v="2024-10-08T06:43:00Z"/>
        <s v="21-07-2024 09:36"/>
        <s v="21-08-2024 19:17"/>
        <s v="13-07-2024 21:00"/>
        <s v="15-08-2024 17:23"/>
        <d v="2024-05-08T20:48:00Z"/>
        <s v="24-08-2024 03:20"/>
        <d v="2024-12-08T11:58:00Z"/>
        <s v="17-08-2024 03:15"/>
        <s v="22-07-2024 06:12"/>
        <d v="2024-10-08T14:03:00Z"/>
        <d v="2024-06-07T18:20:00Z"/>
        <s v="18-07-2024 19:06"/>
        <s v="20-07-2024 10:09"/>
        <s v="19-08-2024 22:10"/>
        <s v="22-08-2024 02:54"/>
        <s v="31-07-2024 15:06"/>
        <s v="13-07-2024 07:33"/>
        <d v="2024-08-08T10:08:00Z"/>
        <s v="16-08-2024 01:22"/>
        <d v="2024-05-08T21:54:00Z"/>
        <s v="18-08-2024 10:41"/>
        <d v="2024-08-08T12:30:00Z"/>
        <d v="2024-03-08T16:32:00Z"/>
        <s v="27-07-2024 13:03"/>
        <s v="19-08-2024 03:05"/>
        <s v="22-08-2024 23:13"/>
        <d v="2024-02-07T20:24:00Z"/>
        <s v="26-07-2024 09:54"/>
        <d v="2024-04-07T07:48:00Z"/>
        <s v="31-08-2024 10:09"/>
        <d v="2024-05-07T22:14:00Z"/>
        <s v="18-08-2024 04:45"/>
        <s v="18-08-2024 05:25"/>
        <d v="2024-05-08T17:53:00Z"/>
        <s v="22-08-2024 21:48"/>
        <d v="2024-10-07T08:09:00Z"/>
        <d v="2024-09-07T22:23:00Z"/>
        <s v="19-08-2024 08:05"/>
        <s v="24-07-2024 13:53"/>
        <d v="2024-10-07T08:51:00Z"/>
        <s v="23-08-2024 03:33"/>
        <s v="18-07-2024 04:54"/>
        <s v="15-07-2024 14:47"/>
        <s v="15-08-2024 10:22"/>
        <s v="13-08-2024 05:25"/>
        <s v="19-07-2024 10:47"/>
        <s v="25-08-2024 07:54"/>
        <s v="27-07-2024 00:30"/>
        <s v="27-07-2024 15:18"/>
        <s v="17-08-2024 08:35"/>
        <d v="2024-07-08T13:00:00Z"/>
        <s v="31-08-2024 20:02"/>
        <s v="16-08-2024 02:29"/>
        <s v="24-07-2024 22:06"/>
        <d v="2024-05-07T20:30:00Z"/>
        <s v="24-07-2024 16:37"/>
        <s v="29-07-2024 22:13"/>
        <s v="27-07-2024 18:29"/>
        <s v="27-08-2024 20:39"/>
        <d v="2024-12-07T01:05:00Z"/>
        <s v="23-07-2024 13:10"/>
        <d v="2024-05-08T15:16:00Z"/>
        <d v="2024-12-08T18:25:00Z"/>
        <d v="2024-05-08T12:42:00Z"/>
        <s v="21-07-2024 12:21"/>
        <d v="2024-05-08T23:00:00Z"/>
        <d v="2024-10-08T00:44:00Z"/>
        <s v="21-07-2024 14:14"/>
        <s v="15-07-2024 02:39"/>
        <s v="26-07-2024 21:50"/>
        <s v="16-08-2024 19:00"/>
        <s v="19-07-2024 20:27"/>
        <s v="24-08-2024 06:45"/>
        <s v="27-07-2024 13:20"/>
        <s v="25-08-2024 17:34"/>
        <d v="2024-10-07T15:26:00Z"/>
        <s v="14-08-2024 09:13"/>
        <d v="2024-09-07T21:24:00Z"/>
        <s v="17-07-2024 18:23"/>
        <d v="2024-10-08T04:45:00Z"/>
        <s v="20-07-2024 01:41"/>
        <d v="2024-09-08T15:21:00Z"/>
        <s v="13-08-2024 14:54"/>
        <d v="2024-07-08T20:19:00Z"/>
        <d v="2024-07-08T16:37:00Z"/>
        <d v="2024-05-08T08:21:00Z"/>
        <s v="16-07-2024 11:22"/>
        <d v="2024-07-07T23:32:00Z"/>
        <s v="19-07-2024 04:02"/>
        <d v="2024-09-07T02:52:00Z"/>
        <s v="25-08-2024 14:30"/>
        <s v="28-07-2024 02:16"/>
        <s v="26-08-2024 04:31"/>
        <d v="2024-09-08T08:23:00Z"/>
        <d v="2024-11-08T19:58:00Z"/>
        <s v="24-07-2024 01:50"/>
        <s v="19-08-2024 08:52"/>
        <s v="20-08-2024 02:23"/>
        <d v="2024-01-08T07:45:00Z"/>
        <s v="22-08-2024 07:32"/>
        <d v="2024-03-08T23:54:00Z"/>
        <d v="2024-10-07T19:51:00Z"/>
        <s v="26-07-2024 08:09"/>
        <d v="2024-12-07T11:48:00Z"/>
        <d v="2024-01-08T02:20:00Z"/>
        <s v="19-07-2024 09:41"/>
        <s v="25-07-2024 17:08"/>
        <s v="20-07-2024 09:15"/>
        <d v="2024-09-08T08:19:00Z"/>
        <d v="2024-08-07T06:09:00Z"/>
        <s v="17-07-2024 22:58"/>
        <d v="2024-02-09T05:10:00Z"/>
        <d v="2024-04-07T13:25:00Z"/>
        <s v="31-08-2024 07:31"/>
        <s v="17-07-2024 11:43"/>
        <s v="30-08-2024 07:14"/>
        <s v="27-07-2024 11:12"/>
        <d v="2024-06-07T07:24:00Z"/>
        <s v="31-08-2024 05:01"/>
        <s v="17-07-2024 00:42"/>
        <d v="2024-10-08T13:13:00Z"/>
        <s v="14-07-2024 23:33"/>
        <s v="25-07-2024 03:22"/>
        <d v="2024-08-08T14:03:00Z"/>
        <s v="15-07-2024 07:54"/>
        <s v="22-07-2024 17:52"/>
        <d v="2024-12-07T10:07:00Z"/>
        <s v="24-07-2024 07:49"/>
        <d v="2024-02-08T11:18:00Z"/>
        <d v="2024-10-08T15:48:00Z"/>
        <s v="28-07-2024 19:12"/>
        <s v="29-07-2024 12:17"/>
        <d v="2024-11-07T03:10:00Z"/>
        <s v="20-08-2024 21:26"/>
        <s v="31-08-2024 06:47"/>
        <d v="2024-08-08T05:54:00Z"/>
        <s v="31-07-2024 19:10"/>
        <d v="2024-03-09T14:19:00Z"/>
        <d v="2024-12-07T06:23:00Z"/>
        <s v="17-08-2024 05:40"/>
        <s v="29-07-2024 09:29"/>
        <s v="31-07-2024 14:19"/>
        <s v="29-08-2024 21:42"/>
        <d v="2024-08-07T18:52:00Z"/>
        <s v="14-07-2024 03:04"/>
        <s v="25-07-2024 12:07"/>
        <s v="30-07-2024 15:50"/>
        <s v="20-07-2024 23:16"/>
        <d v="2024-07-07T19:42:00Z"/>
        <d v="2024-07-08T04:02:00Z"/>
        <s v="13-08-2024 13:11"/>
        <d v="2024-08-08T16:29:00Z"/>
        <d v="2024-07-07T12:29:00Z"/>
        <s v="20-07-2024 23:15"/>
        <s v="18-08-2024 15:53"/>
        <s v="23-07-2024 02:34"/>
        <d v="2024-11-08T02:55:00Z"/>
        <s v="21-08-2024 08:36"/>
        <d v="2024-10-07T08:40:00Z"/>
        <s v="13-07-2024 19:55"/>
        <s v="15-08-2024 17:33"/>
        <d v="2024-04-08T07:53:00Z"/>
        <d v="2024-07-08T13:35:00Z"/>
        <d v="2024-06-08T16:56:00Z"/>
        <d v="2024-05-08T01:48:00Z"/>
        <s v="18-07-2024 22:16"/>
        <d v="2024-05-08T18:34:00Z"/>
        <s v="15-07-2024 14:37"/>
        <d v="2024-07-08T06:15:00Z"/>
        <d v="2024-12-08T10:53:00Z"/>
        <d v="2024-11-07T03:29:00Z"/>
        <d v="2024-02-08T12:34:00Z"/>
        <d v="2024-06-07T15:44:00Z"/>
        <s v="20-08-2024 10:05"/>
        <s v="20-07-2024 20:33"/>
        <d v="2024-10-07T14:12:00Z"/>
        <d v="2024-11-07T15:10:00Z"/>
        <s v="24-08-2024 05:01"/>
        <s v="19-07-2024 16:51"/>
        <s v="27-07-2024 20:28"/>
        <s v="24-08-2024 22:25"/>
        <s v="13-07-2024 07:03"/>
        <d v="2024-04-08T01:47:00Z"/>
        <s v="15-07-2024 01:13"/>
        <s v="24-07-2024 11:51"/>
        <s v="19-07-2024 09:24"/>
        <s v="13-07-2024 05:15"/>
        <s v="16-08-2024 22:59"/>
        <s v="16-08-2024 20:33"/>
        <s v="28-08-2024 01:49"/>
        <s v="22-07-2024 08:06"/>
        <s v="23-08-2024 20:21"/>
        <d v="2024-04-07T17:05:00Z"/>
        <s v="15-08-2024 21:43"/>
        <d v="2024-12-08T00:52:00Z"/>
        <s v="28-08-2024 03:36"/>
        <s v="14-08-2024 00:46"/>
        <s v="26-07-2024 14:05"/>
        <s v="31-07-2024 11:41"/>
        <s v="31-07-2024 08:03"/>
        <s v="25-08-2024 05:02"/>
        <d v="2024-07-08T01:48:00Z"/>
        <s v="24-07-2024 09:22"/>
        <s v="13-07-2024 07:15"/>
        <s v="21-08-2024 03:26"/>
        <d v="2024-09-08T06:49:00Z"/>
        <s v="21-07-2024 13:41"/>
        <s v="24-07-2024 02:17"/>
        <s v="23-07-2024 18:10"/>
        <s v="27-08-2024 13:25"/>
        <s v="20-08-2024 09:01"/>
        <s v="13-07-2024 14:31"/>
        <d v="2024-06-08T05:33:00Z"/>
        <s v="28-08-2024 15:22"/>
        <s v="24-08-2024 04:28"/>
        <s v="19-08-2024 23:33"/>
        <s v="24-08-2024 14:17"/>
        <s v="19-08-2024 23:57"/>
        <d v="2024-06-07T11:07:00Z"/>
        <s v="20-08-2024 10:08"/>
        <d v="2024-04-08T13:19:00Z"/>
        <s v="26-07-2024 17:56"/>
        <s v="30-07-2024 03:18"/>
        <s v="24-08-2024 23:50"/>
        <s v="23-08-2024 13:12"/>
        <d v="2024-01-09T13:57:00Z"/>
        <s v="16-07-2024 10:06"/>
        <s v="24-07-2024 11:02"/>
        <s v="17-07-2024 18:48"/>
        <d v="2024-12-08T04:40:00Z"/>
        <d v="2024-06-08T12:24:00Z"/>
        <s v="22-08-2024 10:09"/>
        <s v="30-07-2024 22:04"/>
        <s v="22-07-2024 05:34"/>
        <s v="13-08-2024 08:26"/>
        <s v="24-07-2024 03:49"/>
        <d v="2024-12-07T05:03:00Z"/>
        <s v="27-08-2024 12:23"/>
        <s v="28-07-2024 10:57"/>
        <s v="26-08-2024 20:19"/>
        <s v="20-07-2024 17:50"/>
        <s v="14-07-2024 13:09"/>
        <s v="21-07-2024 08:41"/>
        <s v="19-07-2024 23:46"/>
        <s v="25-08-2024 17:27"/>
        <s v="14-07-2024 23:19"/>
        <s v="19-08-2024 16:28"/>
        <d v="2024-04-08T16:19:00Z"/>
        <d v="2024-02-08T05:39:00Z"/>
        <d v="2024-02-07T14:33:00Z"/>
        <s v="18-08-2024 15:45"/>
        <s v="24-07-2024 00:15"/>
        <s v="13-07-2024 10:33"/>
        <d v="2024-07-07T11:41:00Z"/>
        <s v="22-07-2024 07:00"/>
        <d v="2024-11-08T21:32:00Z"/>
        <d v="2024-02-08T01:50:00Z"/>
        <d v="2024-02-08T03:18:00Z"/>
        <s v="30-08-2024 05:36"/>
        <d v="2024-12-07T12:33:00Z"/>
        <d v="2024-10-07T21:20:00Z"/>
        <s v="28-07-2024 05:06"/>
        <d v="2024-07-07T07:17:00Z"/>
        <d v="2024-05-08T13:49:00Z"/>
        <d v="2024-07-07T19:49:00Z"/>
        <d v="2024-03-08T07:56:00Z"/>
        <d v="2024-08-08T18:04:00Z"/>
        <d v="2024-09-08T01:43:00Z"/>
        <s v="16-08-2024 19:28"/>
        <s v="14-08-2024 18:16"/>
        <d v="2024-06-08T13:35:00Z"/>
        <s v="14-08-2024 03:46"/>
        <s v="14-08-2024 12:05"/>
        <d v="2024-09-07T22:12:00Z"/>
        <s v="28-08-2024 12:21"/>
        <s v="17-08-2024 00:57"/>
        <s v="28-07-2024 21:36"/>
        <s v="24-08-2024 04:52"/>
        <d v="2024-08-08T03:38:00Z"/>
        <d v="2024-07-07T03:42:00Z"/>
        <d v="2024-08-07T15:53:00Z"/>
        <d v="2024-08-08T16:32:00Z"/>
        <d v="2024-09-07T10:25:00Z"/>
        <s v="25-08-2024 21:08"/>
        <s v="23-07-2024 12:11"/>
        <d v="2024-05-07T04:10:00Z"/>
        <d v="2024-03-07T12:43:00Z"/>
        <s v="25-07-2024 15:00"/>
        <s v="22-08-2024 15:55"/>
        <s v="31-07-2024 20:45"/>
        <s v="28-08-2024 19:51"/>
        <s v="13-07-2024 12:29"/>
        <d v="2024-08-08T13:38:00Z"/>
        <s v="28-08-2024 00:17"/>
        <s v="21-07-2024 17:58"/>
        <s v="14-08-2024 14:57"/>
        <s v="14-07-2024 02:00"/>
        <d v="2024-04-08T06:42:00Z"/>
        <d v="2024-11-07T20:24:00Z"/>
        <d v="2024-01-09T08:27:00Z"/>
        <s v="16-08-2024 07:20"/>
        <s v="30-07-2024 16:42"/>
        <s v="25-07-2024 06:36"/>
        <d v="2024-12-07T00:33:00Z"/>
        <s v="25-08-2024 12:57"/>
        <d v="2024-02-09T00:01:00Z"/>
        <s v="22-08-2024 09:51"/>
        <s v="21-07-2024 19:18"/>
        <s v="21-07-2024 18:02"/>
        <d v="2024-08-07T05:14:00Z"/>
        <s v="29-08-2024 08:49"/>
        <d v="2024-12-07T09:43:00Z"/>
        <d v="2024-11-08T15:41:00Z"/>
        <d v="2024-10-08T00:38:00Z"/>
        <s v="31-07-2024 06:20"/>
        <d v="2024-06-07T00:54:00Z"/>
        <d v="2024-05-08T05:28:00Z"/>
        <s v="22-07-2024 01:31"/>
        <d v="2024-11-07T08:02:00Z"/>
        <s v="30-07-2024 00:01"/>
        <s v="20-07-2024 10:35"/>
        <d v="2024-09-08T18:36:00Z"/>
        <s v="30-07-2024 00:43"/>
        <d v="2024-01-08T07:58:00Z"/>
        <d v="2024-05-07T10:19:00Z"/>
        <s v="20-07-2024 14:02"/>
        <s v="20-07-2024 13:54"/>
        <s v="24-08-2024 04:49"/>
        <d v="2024-03-08T05:58:00Z"/>
        <s v="26-08-2024 03:07"/>
        <s v="16-08-2024 15:12"/>
        <s v="31-08-2024 08:26"/>
        <d v="2024-11-07T05:33:00Z"/>
        <d v="2024-02-09T03:37:00Z"/>
        <s v="16-08-2024 16:21"/>
        <s v="28-08-2024 23:44"/>
        <d v="2024-12-08T02:34:00Z"/>
        <d v="2024-12-08T18:14:00Z"/>
        <s v="20-07-2024 10:47"/>
        <s v="17-07-2024 22:49"/>
        <s v="20-07-2024 11:17"/>
        <s v="13-07-2024 11:37"/>
        <s v="29-07-2024 11:48"/>
        <s v="27-07-2024 10:10"/>
        <d v="2024-12-07T22:52:00Z"/>
        <s v="19-08-2024 02:09"/>
        <s v="15-08-2024 04:16"/>
        <s v="24-08-2024 23:00"/>
        <d v="2024-11-08T14:47:00Z"/>
        <d v="2024-12-08T16:07:00Z"/>
        <s v="14-07-2024 13:50"/>
        <s v="14-07-2024 10:25"/>
        <s v="22-07-2024 06:14"/>
        <s v="31-08-2024 11:23"/>
        <s v="17-07-2024 21:10"/>
        <d v="2024-11-07T23:14:00Z"/>
        <s v="31-07-2024 16:07"/>
        <s v="19-08-2024 09:09"/>
        <d v="2024-02-09T17:58:00Z"/>
        <d v="2024-03-08T10:49:00Z"/>
        <d v="2024-11-07T10:11:00Z"/>
        <s v="24-07-2024 22:39"/>
        <d v="2024-09-08T14:42:00Z"/>
        <s v="14-08-2024 22:22"/>
        <s v="29-08-2024 02:59"/>
        <s v="17-08-2024 11:25"/>
        <d v="2024-12-07T07:00:00Z"/>
        <s v="27-08-2024 13:53"/>
        <d v="2024-07-08T16:03:00Z"/>
        <d v="2024-12-08T06:08:00Z"/>
        <d v="2024-10-07T00:01:00Z"/>
        <d v="2024-11-08T13:22:00Z"/>
        <s v="31-08-2024 18:56"/>
        <s v="16-08-2024 15:03"/>
        <s v="15-07-2024 15:34"/>
        <s v="24-08-2024 01:35"/>
        <d v="2024-08-08T06:08:00Z"/>
        <d v="2024-03-08T21:30:00Z"/>
        <s v="22-07-2024 02:36"/>
        <s v="22-07-2024 03:14"/>
        <d v="2024-06-07T21:17:00Z"/>
        <d v="2024-12-08T01:20:00Z"/>
        <s v="27-07-2024 12:22"/>
        <s v="19-08-2024 02:38"/>
        <s v="24-07-2024 02:13"/>
        <d v="2024-04-07T10:25:00Z"/>
        <s v="16-08-2024 17:34"/>
        <s v="31-07-2024 02:45"/>
        <d v="2024-07-07T00:02:00Z"/>
        <s v="16-08-2024 04:03"/>
        <s v="26-08-2024 08:27"/>
        <d v="2024-06-08T02:52:00Z"/>
        <s v="27-08-2024 09:11"/>
        <s v="31-07-2024 03:13"/>
        <d v="2024-12-08T04:56:00Z"/>
        <s v="20-08-2024 03:17"/>
        <s v="28-08-2024 23:18"/>
        <s v="24-07-2024 20:17"/>
        <s v="27-08-2024 20:12"/>
        <s v="20-08-2024 06:51"/>
        <d v="2024-11-07T17:42:00Z"/>
        <s v="29-08-2024 20:25"/>
        <s v="26-08-2024 08:18"/>
        <s v="13-07-2024 03:56"/>
        <d v="2024-09-07T08:16:00Z"/>
        <s v="15-08-2024 15:41"/>
        <s v="27-07-2024 00:02"/>
        <s v="13-08-2024 03:15"/>
        <s v="25-07-2024 23:19"/>
        <d v="2024-09-08T04:25:00Z"/>
        <s v="14-07-2024 01:49"/>
        <s v="27-07-2024 13:42"/>
        <s v="20-07-2024 17:16"/>
        <s v="31-08-2024 03:35"/>
        <s v="28-07-2024 18:04"/>
        <s v="27-08-2024 16:25"/>
        <s v="16-08-2024 20:52"/>
        <s v="25-08-2024 07:05"/>
        <s v="27-07-2024 15:34"/>
        <s v="21-08-2024 19:33"/>
        <d v="2024-03-08T06:37:00Z"/>
        <s v="23-08-2024 14:14"/>
        <s v="28-08-2024 16:45"/>
        <s v="18-07-2024 05:25"/>
        <d v="2024-08-08T15:59:00Z"/>
        <d v="2024-11-07T05:38:00Z"/>
        <d v="2024-12-07T03:46:00Z"/>
        <s v="23-08-2024 02:47"/>
        <d v="2024-11-08T00:09:00Z"/>
        <s v="27-08-2024 00:45"/>
        <d v="2024-03-07T20:45:00Z"/>
        <d v="2024-08-08T20:25:00Z"/>
        <d v="2024-02-09T20:36:00Z"/>
        <s v="26-07-2024 20:19"/>
        <s v="25-07-2024 04:10"/>
        <d v="2024-02-07T14:45:00Z"/>
        <s v="30-08-2024 01:17"/>
        <s v="15-07-2024 12:58"/>
        <d v="2024-04-08T00:33:00Z"/>
        <s v="21-07-2024 15:32"/>
        <s v="28-08-2024 23:08"/>
        <s v="14-08-2024 17:14"/>
        <s v="14-07-2024 07:54"/>
        <s v="29-07-2024 05:07"/>
        <s v="16-08-2024 02:18"/>
        <s v="26-07-2024 07:24"/>
        <d v="2024-05-07T07:28:00Z"/>
        <s v="30-07-2024 03:46"/>
        <s v="15-08-2024 11:44"/>
        <d v="2024-01-08T12:19:00Z"/>
        <d v="2024-05-07T13:15:00Z"/>
        <s v="14-08-2024 20:28"/>
        <d v="2024-12-08T00:18:00Z"/>
        <d v="2024-03-09T07:35:00Z"/>
        <s v="18-07-2024 10:41"/>
        <d v="2024-05-07T16:54:00Z"/>
        <d v="2024-07-07T20:21:00Z"/>
        <d v="2024-04-08T14:00:00Z"/>
        <s v="25-08-2024 04:18"/>
        <d v="2024-10-08T08:59:00Z"/>
        <d v="2024-01-08T02:52:00Z"/>
        <d v="2024-12-08T05:46:00Z"/>
        <s v="21-07-2024 09:30"/>
        <s v="26-07-2024 08:19"/>
        <d v="2024-11-08T23:25:00Z"/>
        <s v="15-08-2024 05:38"/>
        <d v="2024-11-07T04:11:00Z"/>
        <s v="15-07-2024 07:34"/>
        <d v="2024-07-07T19:51:00Z"/>
        <d v="2024-10-08T03:44:00Z"/>
        <s v="24-08-2024 14:09"/>
        <s v="28-07-2024 00:17"/>
        <s v="20-08-2024 20:51"/>
        <d v="2024-07-07T20:33:00Z"/>
        <d v="2024-12-08T04:45:00Z"/>
        <s v="15-07-2024 16:07"/>
        <s v="14-07-2024 06:12"/>
        <s v="23-07-2024 17:52"/>
        <s v="21-07-2024 15:14"/>
        <s v="15-07-2024 19:56"/>
        <d v="2024-04-07T02:55:00Z"/>
        <s v="14-08-2024 00:49"/>
        <d v="2024-01-09T20:33:00Z"/>
        <s v="26-07-2024 02:35"/>
        <s v="27-08-2024 04:10"/>
        <s v="22-07-2024 16:44"/>
        <s v="20-07-2024 10:43"/>
        <s v="19-08-2024 23:20"/>
        <s v="24-08-2024 11:22"/>
        <s v="26-08-2024 10:18"/>
        <s v="27-08-2024 06:06"/>
        <s v="23-08-2024 15:37"/>
        <d v="2024-11-08T20:47:00Z"/>
        <s v="22-07-2024 02:40"/>
        <s v="29-07-2024 20:56"/>
        <d v="2024-01-09T03:34:00Z"/>
        <s v="14-07-2024 12:33"/>
        <d v="2024-07-08T01:59:00Z"/>
        <s v="14-07-2024 08:27"/>
        <d v="2024-05-08T21:27:00Z"/>
        <s v="28-08-2024 11:03"/>
        <d v="2024-03-07T15:39:00Z"/>
        <d v="2024-11-07T03:18:00Z"/>
        <s v="20-08-2024 18:08"/>
        <s v="25-07-2024 20:19"/>
        <s v="27-07-2024 04:38"/>
        <s v="29-07-2024 02:41"/>
        <s v="29-08-2024 09:16"/>
        <s v="21-07-2024 14:50"/>
        <s v="16-08-2024 02:50"/>
        <d v="2024-05-07T22:48:00Z"/>
        <s v="14-07-2024 04:33"/>
        <s v="26-07-2024 00:26"/>
        <d v="2024-06-07T01:26:00Z"/>
        <s v="30-08-2024 14:25"/>
        <s v="24-08-2024 11:47"/>
        <s v="27-08-2024 21:14"/>
        <s v="22-07-2024 06:10"/>
        <s v="29-07-2024 03:58"/>
        <s v="17-07-2024 15:21"/>
        <d v="2024-06-07T21:32:00Z"/>
        <s v="23-08-2024 18:16"/>
        <d v="2024-03-08T12:06:00Z"/>
        <d v="2024-07-07T07:13:00Z"/>
        <s v="14-08-2024 18:01"/>
        <d v="2024-08-08T10:46:00Z"/>
        <d v="2024-03-08T08:06:00Z"/>
        <d v="2024-09-08T15:42:00Z"/>
        <s v="27-08-2024 16:32"/>
        <s v="23-07-2024 12:58"/>
        <d v="2024-12-07T19:01:00Z"/>
        <d v="2024-06-07T14:53:00Z"/>
        <d v="2024-09-08T13:23:00Z"/>
        <d v="2024-04-08T22:17:00Z"/>
        <s v="30-07-2024 20:00"/>
        <s v="29-07-2024 05:37"/>
        <s v="29-08-2024 15:31"/>
        <s v="16-07-2024 23:06"/>
        <s v="16-08-2024 10:47"/>
        <d v="2024-07-08T23:31:00Z"/>
        <s v="24-07-2024 11:07"/>
        <s v="17-07-2024 23:14"/>
        <d v="2024-10-07T02:51:00Z"/>
        <d v="2024-04-08T15:05:00Z"/>
        <s v="15-08-2024 20:25"/>
        <s v="18-07-2024 12:30"/>
        <s v="19-08-2024 10:20"/>
        <s v="14-07-2024 00:09"/>
        <d v="2024-05-07T11:51:00Z"/>
        <s v="20-07-2024 08:41"/>
        <s v="16-07-2024 07:59"/>
        <d v="2024-10-08T09:32:00Z"/>
        <s v="29-07-2024 04:45"/>
        <s v="22-08-2024 04:18"/>
        <d v="2024-04-07T16:28:00Z"/>
        <s v="28-07-2024 02:59"/>
        <s v="20-08-2024 23:03"/>
        <s v="17-08-2024 09:50"/>
        <d v="2024-10-07T11:08:00Z"/>
        <s v="20-07-2024 02:34"/>
        <s v="20-07-2024 13:48"/>
        <s v="25-07-2024 08:23"/>
        <s v="29-08-2024 14:51"/>
        <d v="2024-08-07T00:39:00Z"/>
        <d v="2024-12-07T07:36:00Z"/>
        <s v="16-07-2024 12:05"/>
        <s v="14-08-2024 13:38"/>
        <d v="2024-05-08T03:45:00Z"/>
        <s v="28-07-2024 14:09"/>
        <s v="18-07-2024 10:08"/>
        <s v="28-07-2024 07:07"/>
        <d v="2024-01-09T07:46:00Z"/>
        <s v="25-07-2024 01:02"/>
        <d v="2024-06-07T11:58:00Z"/>
        <s v="31-08-2024 02:48"/>
        <d v="2024-03-09T00:21:00Z"/>
        <s v="13-08-2024 08:27"/>
        <d v="2024-06-07T06:09:00Z"/>
        <s v="14-08-2024 16:49"/>
        <s v="17-08-2024 13:55"/>
        <s v="15-07-2024 02:01"/>
        <s v="19-08-2024 06:31"/>
        <s v="25-07-2024 20:22"/>
        <s v="14-07-2024 06:36"/>
        <d v="2024-11-07T16:23:00Z"/>
        <s v="13-07-2024 13:42"/>
        <s v="15-08-2024 11:45"/>
        <d v="2024-08-07T02:42:00Z"/>
        <s v="19-08-2024 20:23"/>
        <d v="2024-10-08T09:18:00Z"/>
        <d v="2024-09-07T12:05:00Z"/>
        <s v="19-08-2024 04:58"/>
        <s v="14-08-2024 00:00"/>
        <s v="22-07-2024 01:48"/>
        <s v="24-08-2024 16:04"/>
        <s v="19-07-2024 12:53"/>
        <s v="16-07-2024 06:44"/>
        <s v="26-08-2024 21:39"/>
        <d v="2024-05-08T04:17:00Z"/>
        <s v="25-07-2024 01:05"/>
        <s v="17-07-2024 17:56"/>
        <d v="2024-08-07T19:27:00Z"/>
        <d v="2024-08-07T09:23:00Z"/>
        <d v="2024-11-08T03:35:00Z"/>
        <d v="2024-03-08T20:15:00Z"/>
        <s v="30-07-2024 06:54"/>
        <s v="15-08-2024 03:59"/>
        <s v="20-07-2024 15:12"/>
        <s v="13-07-2024 22:38"/>
        <d v="2024-10-08T01:25:00Z"/>
        <s v="31-07-2024 07:00"/>
        <s v="16-07-2024 19:11"/>
        <s v="14-07-2024 03:06"/>
        <s v="24-07-2024 09:02"/>
        <s v="31-07-2024 05:49"/>
        <s v="29-07-2024 07:58"/>
        <d v="2024-08-07T01:35:00Z"/>
        <s v="29-08-2024 06:37"/>
        <s v="14-08-2024 11:40"/>
        <s v="20-07-2024 16:41"/>
        <d v="2024-11-07T07:22:00Z"/>
        <s v="19-08-2024 14:52"/>
        <s v="17-07-2024 20:43"/>
        <s v="16-08-2024 11:42"/>
        <s v="15-07-2024 05:46"/>
        <d v="2024-06-07T22:46:00Z"/>
        <d v="2024-11-07T02:10:00Z"/>
        <s v="13-07-2024 03:52"/>
        <s v="17-08-2024 15:50"/>
        <d v="2024-12-07T05:15:00Z"/>
        <s v="29-07-2024 18:04"/>
        <d v="2024-05-07T05:07:00Z"/>
        <d v="2024-07-07T09:25:00Z"/>
        <s v="13-07-2024 01:12"/>
        <s v="20-08-2024 10:45"/>
        <s v="29-07-2024 02:06"/>
        <s v="16-08-2024 17:05"/>
        <s v="26-07-2024 19:32"/>
        <s v="27-07-2024 19:37"/>
        <s v="29-08-2024 23:33"/>
        <d v="2024-12-08T06:28:00Z"/>
        <s v="15-08-2024 09:52"/>
        <d v="2024-10-07T08:03:00Z"/>
        <d v="2024-07-07T12:26:00Z"/>
        <s v="14-07-2024 07:47"/>
        <d v="2024-05-08T01:02:00Z"/>
        <s v="26-08-2024 14:17"/>
        <s v="14-08-2024 06:54"/>
        <d v="2024-11-07T09:55:00Z"/>
        <s v="22-08-2024 07:34"/>
        <s v="16-08-2024 11:40"/>
        <d v="2024-01-08T12:23:00Z"/>
        <s v="13-07-2024 23:54"/>
        <s v="28-07-2024 18:24"/>
        <s v="30-07-2024 21:28"/>
        <s v="22-07-2024 03:23"/>
        <s v="26-07-2024 11:34"/>
        <s v="21-08-2024 21:00"/>
        <d v="2024-11-07T13:39:00Z"/>
        <d v="2024-05-08T04:14:00Z"/>
        <d v="2024-06-07T21:39:00Z"/>
        <s v="23-08-2024 01:26"/>
        <s v="23-07-2024 21:31"/>
        <s v="18-07-2024 09:15"/>
        <s v="27-08-2024 20:30"/>
        <d v="2024-02-08T02:28:00Z"/>
        <s v="19-08-2024 01:50"/>
        <s v="21-07-2024 23:30"/>
        <d v="2024-08-08T21:41:00Z"/>
        <s v="30-07-2024 09:06"/>
        <s v="23-08-2024 11:01"/>
        <s v="16-07-2024 11:54"/>
        <d v="2024-07-08T16:46:00Z"/>
        <s v="17-07-2024 02:30"/>
        <s v="23-08-2024 06:05"/>
        <s v="15-08-2024 08:52"/>
        <s v="13-08-2024 14:18"/>
        <d v="2024-06-08T02:30:00Z"/>
        <d v="2024-04-07T13:56:00Z"/>
        <s v="28-08-2024 03:41"/>
        <d v="2024-11-08T02:49:00Z"/>
        <s v="18-07-2024 11:02"/>
        <s v="24-07-2024 03:09"/>
        <s v="15-08-2024 06:54"/>
        <d v="2024-03-08T12:08:00Z"/>
        <d v="2024-07-07T04:55:00Z"/>
        <s v="26-07-2024 23:48"/>
        <d v="2024-03-07T02:15:00Z"/>
        <s v="14-07-2024 05:56"/>
        <d v="2024-02-07T03:46:00Z"/>
        <s v="18-08-2024 00:30"/>
        <d v="2024-09-07T13:45:00Z"/>
        <d v="2024-08-08T05:39:00Z"/>
        <s v="17-08-2024 15:56"/>
        <s v="14-07-2024 06:09"/>
        <d v="2024-07-07T03:39:00Z"/>
        <s v="26-07-2024 20:31"/>
        <s v="23-07-2024 11:15"/>
        <s v="15-07-2024 03:10"/>
        <d v="2024-07-07T02:42:00Z"/>
        <d v="2024-06-07T13:01:00Z"/>
        <s v="15-07-2024 12:04"/>
        <d v="2024-10-08T07:25:00Z"/>
        <s v="19-08-2024 08:18"/>
        <s v="29-08-2024 07:25"/>
        <s v="24-08-2024 00:36"/>
        <s v="13-08-2024 22:58"/>
        <s v="23-08-2024 02:38"/>
        <s v="22-07-2024 05:14"/>
        <s v="31-08-2024 21:19"/>
        <s v="18-08-2024 22:18"/>
        <d v="2024-06-08T20:02:00Z"/>
        <s v="24-08-2024 22:11"/>
        <s v="30-08-2024 09:03"/>
        <d v="2024-09-07T18:27:00Z"/>
        <s v="22-08-2024 10:37"/>
        <s v="17-07-2024 15:20"/>
        <d v="2024-05-08T04:53:00Z"/>
        <d v="2024-09-07T21:18:00Z"/>
        <s v="27-07-2024 04:03"/>
        <s v="14-07-2024 17:03"/>
        <d v="2024-10-08T16:22:00Z"/>
        <s v="26-07-2024 00:27"/>
        <s v="18-07-2024 18:48"/>
        <s v="29-08-2024 01:30"/>
        <d v="2024-09-08T08:31:00Z"/>
        <d v="2024-11-08T07:46:00Z"/>
        <d v="2024-08-07T00:55:00Z"/>
        <s v="19-07-2024 17:02"/>
        <s v="15-08-2024 19:16"/>
        <s v="21-08-2024 02:09"/>
        <s v="14-07-2024 13:19"/>
        <d v="2024-02-09T03:05:00Z"/>
        <d v="2024-03-08T01:50:00Z"/>
        <s v="26-07-2024 03:48"/>
        <s v="13-07-2024 16:46"/>
        <s v="23-08-2024 15:36"/>
        <d v="2024-07-07T06:00:00Z"/>
        <d v="2024-05-08T09:12:00Z"/>
        <s v="31-08-2024 00:56"/>
        <s v="26-07-2024 23:45"/>
        <s v="14-08-2024 19:46"/>
        <d v="2024-02-09T09:48:00Z"/>
        <s v="14-08-2024 17:23"/>
        <s v="13-07-2024 15:18"/>
        <s v="24-07-2024 23:18"/>
        <s v="15-08-2024 01:42"/>
        <d v="2024-03-07T20:15:00Z"/>
        <s v="18-07-2024 04:48"/>
        <d v="2024-04-07T10:37:00Z"/>
        <s v="31-08-2024 11:26"/>
        <d v="2024-04-07T20:08:00Z"/>
        <s v="28-08-2024 07:52"/>
        <d v="2024-05-08T19:51:00Z"/>
        <d v="2024-09-07T11:19:00Z"/>
        <s v="13-07-2024 16:13"/>
        <s v="15-08-2024 23:02"/>
        <s v="22-08-2024 02:51"/>
        <s v="17-07-2024 13:34"/>
        <s v="30-07-2024 03:23"/>
        <d v="2024-12-08T01:39:00Z"/>
        <s v="17-08-2024 02:19"/>
        <s v="21-07-2024 06:17"/>
        <s v="30-07-2024 12:28"/>
        <s v="29-08-2024 07:39"/>
        <d v="2024-09-07T11:23:00Z"/>
        <d v="2024-01-08T20:51:00Z"/>
        <s v="21-08-2024 17:40"/>
        <s v="19-07-2024 17:52"/>
        <d v="2024-07-07T00:59:00Z"/>
        <d v="2024-04-07T08:59:00Z"/>
        <s v="27-08-2024 04:36"/>
        <d v="2024-01-09T19:14:00Z"/>
        <d v="2024-08-08T19:02:00Z"/>
        <s v="17-08-2024 04:20"/>
        <s v="22-08-2024 16:50"/>
        <s v="29-08-2024 11:27"/>
        <s v="22-07-2024 13:45"/>
        <d v="2024-12-08T17:59:00Z"/>
        <d v="2024-12-07T11:39:00Z"/>
        <s v="23-07-2024 08:09"/>
        <s v="22-08-2024 15:15"/>
        <s v="28-08-2024 10:07"/>
        <s v="25-07-2024 21:12"/>
        <s v="16-07-2024 02:24"/>
        <d v="2024-04-08T09:27:00Z"/>
        <s v="23-07-2024 00:38"/>
        <d v="2024-12-08T21:19:00Z"/>
        <s v="27-08-2024 05:14"/>
        <s v="14-08-2024 14:44"/>
        <d v="2024-09-08T13:09:00Z"/>
        <s v="16-07-2024 13:34"/>
        <s v="20-08-2024 02:26"/>
        <d v="2024-06-07T14:02:00Z"/>
        <s v="22-07-2024 05:06"/>
        <d v="2024-10-08T23:05:00Z"/>
        <s v="27-08-2024 15:15"/>
        <s v="30-08-2024 18:24"/>
        <d v="2024-01-09T01:01:00Z"/>
        <s v="15-07-2024 22:32"/>
        <s v="14-08-2024 22:37"/>
        <s v="25-07-2024 13:12"/>
        <s v="24-07-2024 02:20"/>
        <d v="2024-02-09T23:37:00Z"/>
        <d v="2024-11-08T11:24:00Z"/>
        <s v="31-07-2024 12:09"/>
        <s v="27-07-2024 22:33"/>
        <s v="20-07-2024 02:17"/>
        <s v="17-07-2024 08:52"/>
        <s v="18-08-2024 06:46"/>
        <s v="21-07-2024 17:41"/>
        <s v="22-08-2024 09:24"/>
        <d v="2024-09-07T23:08:00Z"/>
        <s v="28-07-2024 05:55"/>
        <s v="18-08-2024 13:05"/>
        <d v="2024-08-07T19:05:00Z"/>
        <d v="2024-05-07T00:28:00Z"/>
        <d v="2024-04-08T12:38:00Z"/>
        <s v="16-07-2024 02:37"/>
        <d v="2024-03-08T09:34:00Z"/>
        <d v="2024-02-08T10:47:00Z"/>
        <s v="24-07-2024 12:27"/>
        <d v="2024-03-08T13:49:00Z"/>
        <s v="21-07-2024 22:26"/>
        <s v="22-08-2024 11:18"/>
        <s v="28-07-2024 08:19"/>
        <s v="31-08-2024 17:03"/>
        <d v="2024-04-08T09:40:00Z"/>
        <s v="13-08-2024 18:54"/>
        <s v="16-07-2024 05:01"/>
        <d v="2024-05-07T13:02:00Z"/>
        <m/>
      </sharedItems>
    </cacheField>
    <cacheField name="Cost per Quantity ($)" numFmtId="0">
      <sharedItems containsString="0" containsBlank="1" containsNumber="1">
        <n v="5.24"/>
        <n v="9.82"/>
        <n v="7.37"/>
        <n v="4.41"/>
        <n v="6.09"/>
        <n v="8.8"/>
        <n v="5.84"/>
        <n v="4.84"/>
        <n v="1.98"/>
        <n v="5.08"/>
        <n v="4.89"/>
        <n v="9.23"/>
        <n v="4.09"/>
        <n v="3.15"/>
        <n v="3.28"/>
        <n v="7.71"/>
        <n v="5.12"/>
        <n v="4.92"/>
        <n v="7.68"/>
        <n v="7.04"/>
        <n v="8.18"/>
        <n v="7.5"/>
        <n v="8.75"/>
        <n v="1.92"/>
        <n v="8.26"/>
        <n v="6.25"/>
        <n v="5.17"/>
        <n v="7.49"/>
        <n v="8.65"/>
        <n v="7.74"/>
        <n v="9.97"/>
        <n v="5.91"/>
        <n v="7.34"/>
        <n v="2.33"/>
        <n v="8.51"/>
        <n v="1.05"/>
        <n v="3.29"/>
        <n v="2.03"/>
        <n v="7.61"/>
        <n v="3.2"/>
        <n v="4.74"/>
        <n v="4.91"/>
        <n v="3.17"/>
        <n v="7.16"/>
        <n v="8.9"/>
        <n v="2.24"/>
        <n v="4.99"/>
        <n v="2.63"/>
        <n v="4.63"/>
        <n v="2.32"/>
        <n v="6.96"/>
        <n v="3.76"/>
        <n v="4.48"/>
        <n v="6.64"/>
        <n v="2.1"/>
        <n v="2.15"/>
        <n v="8.81"/>
        <n v="8.03"/>
        <n v="1.81"/>
        <n v="4.35"/>
        <n v="1.39"/>
        <n v="3.33"/>
        <n v="4.93"/>
        <n v="7.7"/>
        <n v="6.17"/>
        <n v="2.07"/>
        <n v="6.8"/>
        <n v="9.35"/>
        <n v="8.54"/>
        <n v="4.22"/>
        <n v="5.01"/>
        <n v="3.48"/>
        <n v="8.91"/>
        <n v="4.88"/>
        <n v="2.0"/>
        <n v="1.37"/>
        <n v="3.31"/>
        <n v="7.33"/>
        <n v="2.46"/>
        <n v="5.94"/>
        <n v="9.87"/>
        <n v="9.61"/>
        <n v="9.12"/>
        <n v="4.86"/>
        <n v="2.79"/>
        <n v="9.93"/>
        <n v="7.17"/>
        <n v="9.6"/>
        <n v="6.88"/>
        <n v="4.56"/>
        <n v="9.75"/>
        <n v="7.44"/>
        <n v="2.27"/>
        <n v="8.21"/>
        <n v="2.38"/>
        <n v="3.69"/>
        <n v="4.67"/>
        <n v="5.7"/>
        <n v="2.85"/>
        <n v="4.51"/>
        <n v="6.41"/>
        <n v="4.58"/>
        <n v="2.52"/>
        <n v="7.69"/>
        <n v="9.62"/>
        <n v="4.21"/>
        <n v="7.52"/>
        <n v="9.53"/>
        <n v="4.72"/>
        <n v="6.32"/>
        <n v="6.65"/>
        <n v="2.22"/>
        <n v="8.1"/>
        <n v="3.72"/>
        <n v="5.97"/>
        <n v="4.11"/>
        <n v="2.08"/>
        <n v="3.51"/>
        <n v="4.87"/>
        <n v="3.38"/>
        <n v="4.38"/>
        <n v="8.14"/>
        <n v="4.7"/>
        <n v="8.49"/>
        <n v="8.76"/>
        <n v="8.82"/>
        <n v="4.81"/>
        <n v="7.0"/>
        <n v="7.19"/>
        <n v="5.99"/>
        <n v="7.8"/>
        <n v="5.53"/>
        <n v="5.34"/>
        <n v="3.79"/>
        <n v="2.86"/>
        <n v="5.78"/>
        <n v="3.57"/>
        <n v="2.37"/>
        <n v="3.68"/>
        <n v="9.52"/>
        <n v="8.95"/>
        <n v="9.37"/>
        <n v="1.44"/>
        <n v="5.13"/>
        <n v="6.93"/>
        <n v="1.69"/>
        <n v="3.78"/>
        <n v="6.63"/>
        <n v="2.98"/>
        <n v="8.27"/>
        <n v="1.08"/>
        <n v="5.77"/>
        <n v="4.78"/>
        <n v="9.06"/>
        <n v="9.55"/>
        <n v="5.51"/>
        <n v="1.52"/>
        <n v="6.34"/>
        <n v="3.09"/>
        <n v="1.23"/>
        <n v="8.25"/>
        <n v="9.14"/>
        <n v="4.01"/>
        <n v="1.54"/>
        <n v="2.44"/>
        <n v="4.44"/>
        <n v="3.13"/>
        <n v="7.93"/>
        <n v="9.01"/>
        <n v="1.79"/>
        <n v="6.66"/>
        <n v="7.72"/>
        <n v="4.34"/>
        <n v="9.86"/>
        <n v="2.73"/>
        <n v="6.44"/>
        <n v="2.56"/>
        <n v="5.3"/>
        <n v="6.3"/>
        <n v="7.63"/>
        <n v="5.65"/>
        <n v="9.26"/>
        <n v="7.46"/>
        <n v="8.28"/>
        <n v="2.34"/>
        <n v="9.73"/>
        <n v="4.14"/>
        <n v="4.02"/>
        <n v="2.67"/>
        <n v="7.81"/>
        <n v="2.31"/>
        <n v="9.68"/>
        <n v="9.49"/>
        <n v="5.02"/>
        <n v="7.23"/>
        <n v="5.63"/>
        <n v="1.84"/>
        <n v="7.09"/>
        <n v="1.9"/>
        <n v="1.24"/>
        <n v="3.7"/>
        <n v="2.06"/>
        <n v="6.43"/>
        <n v="5.71"/>
        <n v="2.83"/>
        <n v="2.26"/>
        <n v="9.3"/>
        <n v="9.56"/>
        <n v="7.84"/>
        <n v="9.67"/>
        <n v="8.94"/>
        <n v="4.1"/>
        <n v="7.66"/>
        <n v="8.17"/>
        <n v="5.04"/>
        <n v="1.13"/>
        <n v="3.22"/>
        <n v="6.2"/>
        <n v="5.26"/>
        <n v="4.79"/>
        <n v="1.88"/>
        <n v="4.33"/>
        <n v="4.45"/>
        <n v="9.84"/>
        <n v="2.12"/>
        <n v="9.05"/>
        <n v="7.6"/>
        <n v="7.82"/>
        <n v="2.96"/>
        <n v="8.59"/>
        <n v="2.74"/>
        <n v="1.77"/>
        <n v="1.83"/>
        <n v="6.15"/>
        <n v="4.16"/>
        <n v="3.63"/>
        <n v="2.39"/>
        <n v="8.15"/>
        <n v="6.18"/>
        <n v="3.82"/>
        <n v="6.86"/>
        <n v="7.86"/>
        <n v="3.05"/>
        <n v="6.52"/>
        <n v="3.32"/>
        <n v="9.79"/>
        <n v="3.94"/>
        <n v="2.9"/>
        <n v="2.95"/>
        <n v="5.55"/>
        <n v="3.34"/>
        <n v="8.47"/>
        <n v="3.77"/>
        <n v="1.35"/>
        <n v="8.63"/>
        <n v="3.46"/>
        <n v="5.37"/>
        <n v="8.88"/>
        <n v="9.2"/>
        <n v="1.12"/>
        <n v="8.19"/>
        <n v="9.39"/>
        <n v="2.61"/>
        <n v="5.32"/>
        <n v="1.06"/>
        <n v="1.25"/>
        <n v="7.25"/>
        <n v="9.83"/>
        <n v="3.67"/>
        <n v="9.99"/>
        <n v="5.54"/>
        <n v="6.1"/>
        <n v="4.19"/>
        <n v="5.18"/>
        <n v="7.65"/>
        <n v="4.06"/>
        <n v="8.69"/>
        <n v="9.71"/>
        <n v="4.64"/>
        <n v="5.52"/>
        <n v="6.31"/>
        <n v="1.33"/>
        <n v="8.23"/>
        <n v="9.57"/>
        <n v="5.35"/>
        <n v="8.34"/>
        <n v="3.89"/>
        <n v="7.41"/>
        <n v="9.7"/>
        <n v="5.74"/>
        <n v="7.42"/>
        <n v="9.36"/>
        <n v="8.38"/>
        <n v="3.23"/>
        <n v="3.49"/>
        <n v="3.8"/>
        <n v="2.2"/>
        <n v="8.68"/>
        <n v="3.83"/>
        <n v="9.9"/>
        <n v="2.76"/>
        <n v="9.22"/>
        <n v="9.0"/>
        <n v="6.49"/>
        <n v="8.57"/>
        <n v="6.98"/>
        <n v="3.84"/>
        <n v="7.91"/>
        <n v="6.22"/>
        <n v="6.95"/>
        <n v="1.68"/>
        <n v="5.6"/>
        <n v="6.33"/>
        <n v="7.36"/>
        <n v="7.15"/>
        <n v="3.47"/>
        <n v="8.53"/>
        <n v="3.55"/>
        <n v="3.66"/>
        <n v="3.98"/>
        <n v="3.73"/>
        <n v="9.16"/>
        <n v="9.28"/>
        <n v="2.93"/>
        <n v="8.89"/>
        <n v="5.11"/>
        <n v="7.03"/>
        <n v="7.02"/>
        <n v="2.94"/>
        <n v="7.14"/>
        <n v="1.26"/>
        <n v="1.8"/>
        <n v="4.05"/>
        <n v="9.46"/>
        <n v="5.07"/>
        <n v="4.61"/>
        <n v="5.68"/>
        <n v="7.64"/>
        <n v="2.43"/>
        <n v="6.55"/>
        <n v="6.59"/>
        <n v="8.41"/>
        <n v="6.47"/>
        <n v="1.14"/>
        <n v="1.11"/>
        <n v="7.54"/>
        <n v="8.07"/>
        <n v="1.67"/>
        <n v="4.75"/>
        <n v="4.36"/>
        <n v="4.37"/>
        <n v="5.75"/>
        <n v="6.4"/>
        <n v="3.44"/>
        <n v="4.83"/>
        <n v="3.9"/>
        <n v="2.18"/>
        <n v="1.28"/>
        <n v="8.87"/>
        <n v="5.14"/>
        <n v="6.5"/>
        <n v="6.13"/>
        <n v="8.79"/>
        <n v="8.36"/>
        <n v="3.12"/>
        <n v="2.82"/>
        <n v="3.26"/>
        <n v="6.19"/>
        <n v="3.27"/>
        <n v="3.08"/>
        <n v="1.29"/>
        <n v="2.42"/>
        <n v="3.45"/>
        <n v="8.5"/>
        <n v="7.55"/>
        <n v="1.62"/>
        <n v="6.03"/>
        <n v="9.17"/>
        <n v="8.05"/>
        <n v="3.36"/>
        <n v="6.08"/>
        <n v="9.1"/>
        <n v="5.45"/>
        <n v="1.49"/>
        <n v="2.29"/>
        <n v="2.69"/>
        <n v="3.06"/>
        <n v="5.39"/>
        <n v="6.72"/>
        <n v="2.81"/>
        <n v="1.46"/>
        <n v="9.21"/>
        <n v="1.58"/>
        <n v="6.26"/>
        <n v="4.03"/>
        <n v="3.59"/>
        <n v="1.0"/>
        <n v="2.62"/>
        <n v="7.31"/>
        <n v="8.24"/>
        <n v="1.1"/>
        <n v="7.58"/>
        <n v="7.67"/>
        <n v="6.0"/>
        <n v="5.96"/>
        <n v="8.0"/>
        <n v="6.54"/>
        <n v="1.89"/>
        <n v="4.5"/>
        <n v="2.02"/>
        <n v="7.4"/>
        <n v="5.57"/>
        <n v="2.7"/>
        <n v="6.37"/>
        <n v="5.58"/>
        <n v="7.1"/>
        <n v="8.92"/>
        <n v="2.35"/>
        <n v="2.4"/>
        <n v="6.38"/>
        <n v="2.51"/>
        <n v="6.23"/>
        <n v="4.54"/>
        <n v="9.69"/>
        <n v="4.23"/>
        <n v="3.18"/>
        <n v="1.87"/>
        <n v="2.3"/>
        <n v="7.29"/>
        <n v="8.35"/>
        <n v="2.05"/>
        <n v="4.12"/>
        <n v="8.37"/>
        <n v="6.14"/>
        <n v="8.96"/>
        <n v="1.71"/>
        <n v="7.78"/>
        <n v="2.8"/>
        <n v="4.08"/>
        <n v="7.12"/>
        <n v="1.5"/>
        <n v="3.65"/>
        <n v="8.52"/>
        <n v="6.06"/>
        <n v="7.05"/>
        <n v="1.36"/>
        <n v="5.27"/>
        <n v="4.18"/>
        <n v="7.56"/>
        <n v="3.21"/>
        <n v="5.05"/>
        <n v="6.77"/>
        <n v="8.42"/>
        <n v="2.21"/>
        <n v="6.07"/>
        <n v="9.47"/>
        <n v="2.78"/>
        <n v="7.47"/>
        <n v="5.16"/>
        <n v="7.99"/>
        <n v="6.16"/>
        <n v="2.45"/>
        <n v="7.51"/>
        <n v="6.85"/>
        <n v="2.75"/>
        <n v="6.58"/>
        <n v="4.71"/>
        <n v="4.0"/>
        <n v="6.84"/>
        <n v="9.58"/>
        <n v="1.4"/>
        <n v="1.47"/>
        <n v="2.36"/>
        <n v="6.48"/>
        <n v="7.38"/>
        <n v="9.18"/>
        <n v="8.44"/>
        <n v="4.31"/>
        <n v="1.38"/>
        <n v="4.8"/>
        <n v="5.38"/>
        <n v="9.81"/>
        <n v="8.86"/>
        <n v="8.64"/>
        <n v="1.41"/>
        <n v="5.23"/>
        <n v="6.45"/>
        <n v="3.04"/>
        <n v="6.81"/>
        <n v="4.76"/>
        <n v="6.11"/>
        <n v="9.4"/>
        <n v="4.73"/>
        <n v="9.77"/>
        <n v="8.48"/>
        <n v="9.45"/>
        <n v="9.25"/>
        <n v="8.04"/>
        <n v="3.3"/>
        <n v="5.61"/>
        <n v="5.87"/>
        <n v="1.32"/>
        <n v="8.39"/>
        <n v="1.85"/>
        <n v="1.82"/>
        <n v="3.53"/>
        <n v="7.3"/>
        <n v="5.25"/>
        <n v="2.5"/>
        <n v="4.24"/>
        <n v="7.62"/>
        <n v="8.7"/>
        <n v="4.98"/>
        <n v="7.48"/>
        <n v="8.08"/>
        <n v="6.57"/>
        <n v="9.03"/>
        <n v="7.35"/>
        <n v="4.9"/>
        <n v="7.2"/>
        <n v="9.19"/>
        <n v="1.31"/>
        <n v="2.17"/>
        <n v="6.78"/>
        <n v="3.97"/>
        <n v="5.29"/>
        <n v="4.25"/>
        <n v="7.28"/>
        <n v="8.29"/>
        <n v="1.86"/>
        <n v="6.76"/>
        <n v="3.03"/>
        <n v="3.07"/>
        <n v="9.15"/>
        <n v="3.1"/>
        <n v="8.98"/>
        <n v="3.16"/>
        <n v="9.33"/>
        <n v="9.89"/>
        <n v="6.04"/>
        <n v="7.57"/>
        <n v="2.64"/>
        <n v="2.49"/>
        <n v="6.94"/>
        <n v="9.72"/>
        <n v="7.87"/>
        <n v="3.99"/>
        <n v="5.76"/>
        <n v="9.74"/>
        <n v="8.99"/>
        <n v="6.92"/>
        <n v="9.65"/>
        <n v="6.62"/>
        <n v="4.28"/>
        <n v="8.83"/>
        <n v="8.84"/>
        <n v="5.42"/>
        <n v="2.01"/>
        <n v="3.43"/>
        <n v="3.39"/>
        <n v="9.02"/>
        <n v="6.56"/>
        <n v="4.15"/>
        <n v="6.69"/>
        <n v="5.88"/>
        <n v="4.32"/>
        <n v="6.12"/>
        <n v="2.97"/>
        <n v="3.54"/>
        <n v="1.04"/>
        <n v="9.09"/>
        <n v="6.73"/>
        <n v="2.04"/>
        <n v="2.91"/>
        <n v="8.43"/>
        <n v="7.83"/>
        <n v="6.24"/>
        <n v="8.45"/>
        <n v="5.69"/>
        <n v="8.12"/>
        <n v="5.89"/>
        <n v="1.59"/>
        <n v="6.35"/>
        <n v="4.2"/>
        <n v="6.05"/>
        <n v="6.68"/>
        <n v="1.53"/>
        <n v="4.77"/>
        <n v="5.43"/>
        <n v="3.61"/>
        <n v="9.43"/>
        <n v="5.72"/>
        <n v="2.47"/>
        <n v="6.61"/>
        <n v="9.38"/>
        <n v="2.71"/>
        <n v="3.52"/>
        <n v="1.22"/>
        <n v="7.97"/>
        <m/>
      </sharedItems>
    </cacheField>
    <cacheField name="Unrounded Cost ($)" numFmtId="0">
      <sharedItems containsString="0" containsBlank="1" containsNumber="1">
        <n v="5004.12"/>
        <n v="4710.01"/>
        <n v="843.22"/>
        <n v="1822.18"/>
        <n v="2046.17"/>
        <n v="447.04"/>
        <n v="1948.3"/>
        <n v="239.98"/>
        <n v="761.9"/>
        <n v="2710.81"/>
        <n v="384.84"/>
        <n v="799.63"/>
        <n v="1186.3"/>
        <n v="305.4"/>
        <n v="2156.23"/>
        <n v="758.54"/>
        <n v="3653.3"/>
        <n v="3001.15"/>
        <n v="471.47"/>
        <n v="1370.04"/>
        <n v="4827.05"/>
        <n v="1141.4"/>
        <n v="793.92"/>
        <n v="748.77"/>
        <n v="3218.43"/>
        <n v="5639.75"/>
        <n v="1839.63"/>
        <n v="3578.35"/>
        <n v="272.92"/>
        <n v="189.76"/>
        <n v="847.62"/>
        <n v="4918.1"/>
        <n v="2187.8"/>
        <n v="2024.49"/>
        <n v="2610.75"/>
        <n v="33.53"/>
        <n v="2352.42"/>
        <n v="1522.27"/>
        <n v="839.51"/>
        <n v="177.81"/>
        <n v="179.41"/>
        <n v="123.32"/>
        <n v="704.81"/>
        <n v="4046.75"/>
        <n v="5948.25"/>
        <n v="1126.16"/>
        <n v="719.84"/>
        <n v="176.83"/>
        <n v="4593.27"/>
        <n v="2303.19"/>
        <n v="5290.12"/>
        <n v="2470.41"/>
        <n v="145.45"/>
        <n v="433.7"/>
        <n v="190.26"/>
        <n v="1596.47"/>
        <n v="8467.64"/>
        <n v="1828.59"/>
        <n v="1739.16"/>
        <n v="1476.43"/>
        <n v="184.68"/>
        <n v="342.67"/>
        <n v="1336.26"/>
        <n v="7239.01"/>
        <n v="4870.47"/>
        <n v="132.72"/>
        <n v="5470.23"/>
        <n v="157.74"/>
        <n v="734.62"/>
        <n v="455.48"/>
        <n v="2054.27"/>
        <n v="202.07"/>
        <n v="7736.89"/>
        <n v="505.41"/>
        <n v="1022.86"/>
        <n v="734.85"/>
        <n v="168.09"/>
        <n v="5538.73"/>
        <n v="1230.08"/>
        <n v="3844.71"/>
        <n v="3207.94"/>
        <n v="8427.61"/>
        <n v="2955.92"/>
        <n v="1308.01"/>
        <n v="2666.27"/>
        <n v="1487.92"/>
        <n v="4708.01"/>
        <n v="7116.29"/>
        <n v="5104.19"/>
        <n v="183.12"/>
        <n v="2418.52"/>
        <n v="3096.49"/>
        <n v="3018.41"/>
        <n v="1758.22"/>
        <n v="1241.99"/>
        <n v="3669.53"/>
        <n v="2868.64"/>
        <n v="184.47"/>
        <n v="306.53"/>
        <n v="4906.94"/>
        <n v="856.42"/>
        <n v="1548.99"/>
        <n v="2294.02"/>
        <n v="915.91"/>
        <n v="2568.55"/>
        <n v="1513.53"/>
        <n v="2155.87"/>
        <n v="360.65"/>
        <n v="1387.05"/>
        <n v="5569.93"/>
        <n v="326.18"/>
        <n v="697.48"/>
        <n v="814.36"/>
        <n v="1000.85"/>
        <n v="3621.57"/>
        <n v="3472.5"/>
        <n v="409.09"/>
        <n v="354.49"/>
        <n v="2593.54"/>
        <n v="2776.83"/>
        <n v="2236.03"/>
        <n v="1448.65"/>
        <n v="4905.87"/>
        <n v="1067.69"/>
        <n v="1523.67"/>
        <n v="489.0"/>
        <n v="2576.06"/>
        <n v="5580.62"/>
        <n v="545.19"/>
        <n v="1988.24"/>
        <n v="296.36"/>
        <n v="4606.7"/>
        <n v="266.12"/>
        <n v="4365.57"/>
        <n v="2615.55"/>
        <n v="3731.42"/>
        <n v="2935.96"/>
        <n v="6353.42"/>
        <n v="56.36"/>
        <n v="2538.55"/>
        <n v="8441.78"/>
        <n v="626.26"/>
        <n v="1356.51"/>
        <n v="1190.57"/>
        <n v="196.77"/>
        <n v="769.08"/>
        <n v="2841.43"/>
        <n v="1247.19"/>
        <n v="179.23"/>
        <n v="310.65"/>
        <n v="261.07"/>
        <n v="1424.22"/>
        <n v="5318.65"/>
        <n v="617.25"/>
        <n v="1889.19"/>
        <n v="3566.79"/>
        <n v="390.32"/>
        <n v="72.41"/>
        <n v="4719.05"/>
        <n v="4488.6"/>
        <n v="548.0"/>
        <n v="441.09"/>
        <n v="1592.91"/>
        <n v="68.47"/>
        <n v="316.7"/>
        <n v="6307.76"/>
        <n v="209.38"/>
        <n v="1974.76"/>
        <n v="8260.39"/>
        <n v="783.26"/>
        <n v="610.85"/>
        <n v="498.63"/>
        <n v="849.11"/>
        <n v="8176.42"/>
        <n v="3851.36"/>
        <n v="46.28"/>
        <n v="452.46"/>
        <n v="2160.07"/>
        <n v="628.55"/>
        <n v="1401.15"/>
        <n v="709.26"/>
        <n v="572.16"/>
        <n v="170.56"/>
        <n v="373.23"/>
        <n v="979.74"/>
        <n v="3755.79"/>
        <n v="317.26"/>
        <n v="1680.71"/>
        <n v="183.55"/>
        <n v="6690.02"/>
        <n v="91.44"/>
        <n v="381.12"/>
        <n v="51.35"/>
        <n v="1049.3"/>
        <n v="728.39"/>
        <n v="1978.38"/>
        <n v="2432.2"/>
        <n v="5739.17"/>
        <n v="891.2"/>
        <n v="513.93"/>
        <n v="602.39"/>
        <n v="1907.66"/>
        <n v="2116.1"/>
        <n v="664.75"/>
        <n v="236.59"/>
        <n v="3599.78"/>
        <n v="1765.13"/>
        <n v="3177.94"/>
        <n v="4576.69"/>
        <n v="1065.52"/>
        <n v="6941.21"/>
        <n v="309.22"/>
        <n v="5076.25"/>
        <n v="457.91"/>
        <n v="3313.32"/>
        <n v="1075.16"/>
        <n v="385.37"/>
        <n v="313.16"/>
        <n v="1876.61"/>
        <n v="6891.52"/>
        <n v="220.92"/>
        <n v="4786.78"/>
        <n v="8755.49"/>
        <n v="1219.84"/>
        <n v="1454.94"/>
        <n v="669.39"/>
        <n v="780.97"/>
        <n v="5783.12"/>
        <n v="771.75"/>
        <n v="240.98"/>
        <n v="428.36"/>
        <n v="1085.29"/>
        <n v="76.98"/>
        <n v="1678.42"/>
        <n v="564.51"/>
        <n v="4349.67"/>
        <n v="3126.31"/>
        <n v="1136.08"/>
        <n v="966.1"/>
        <n v="5722.46"/>
        <n v="8832.79"/>
        <n v="4101.66"/>
        <n v="371.33"/>
        <n v="5160.09"/>
        <n v="2318.75"/>
        <n v="106.4"/>
        <n v="397.7"/>
        <n v="3108.8"/>
        <n v="677.02"/>
        <n v="544.92"/>
        <n v="419.78"/>
        <n v="5369.03"/>
        <n v="432.99"/>
        <n v="1659.61"/>
        <n v="727.28"/>
        <n v="539.11"/>
        <n v="2922.38"/>
        <n v="1686.07"/>
        <n v="114.49"/>
        <n v="1798.99"/>
        <n v="3608.9"/>
        <n v="1498.85"/>
        <n v="6352.37"/>
        <n v="390.48"/>
        <n v="1075.74"/>
        <n v="3546.89"/>
        <n v="1012.3"/>
        <n v="1418.37"/>
        <n v="8437.53"/>
        <n v="533.95"/>
        <n v="1761.86"/>
        <n v="151.89"/>
        <n v="5775.91"/>
        <n v="1024.26"/>
        <n v="351.85"/>
        <n v="5833.47"/>
        <n v="1449.24"/>
        <n v="278.53"/>
        <n v="545.56"/>
        <n v="845.31"/>
        <n v="925.69"/>
        <n v="763.87"/>
        <n v="1643.42"/>
        <n v="3911.04"/>
        <n v="679.7"/>
        <n v="1060.66"/>
        <n v="6458.1"/>
        <n v="2180.42"/>
        <n v="5877.14"/>
        <n v="4921.79"/>
        <n v="217.77"/>
        <n v="1181.89"/>
        <n v="462.27"/>
        <n v="2212.98"/>
        <n v="117.43"/>
        <n v="946.18"/>
        <n v="600.93"/>
        <n v="395.76"/>
        <n v="1025.08"/>
        <n v="1199.0"/>
        <n v="541.41"/>
        <n v="7095.69"/>
        <n v="4672.23"/>
        <n v="1111.03"/>
        <n v="368.06"/>
        <n v="134.46"/>
        <n v="1200.56"/>
        <n v="4319.27"/>
        <n v="394.45"/>
        <n v="663.68"/>
        <n v="3518.53"/>
        <n v="5717.63"/>
        <n v="234.98"/>
        <n v="943.94"/>
        <n v="508.69"/>
        <n v="7609.03"/>
        <n v="721.02"/>
        <n v="527.4"/>
        <n v="82.73"/>
        <n v="425.25"/>
        <n v="3258.65"/>
        <n v="695.47"/>
        <n v="966.15"/>
        <n v="713.13"/>
        <n v="3268.06"/>
        <n v="3204.72"/>
        <n v="846.03"/>
        <n v="5803.56"/>
        <n v="2057.09"/>
        <n v="1628.6"/>
        <n v="619.16"/>
        <n v="36.41"/>
        <n v="469.56"/>
        <n v="532.51"/>
        <n v="526.17"/>
        <n v="236.35"/>
        <n v="705.4"/>
        <n v="2902.17"/>
        <n v="5528.95"/>
        <n v="791.07"/>
        <n v="1478.03"/>
        <n v="1635.9"/>
        <n v="4656.11"/>
        <n v="996.45"/>
        <n v="589.19"/>
        <n v="2622.99"/>
        <n v="423.93"/>
        <n v="858.14"/>
        <n v="290.65"/>
        <n v="1959.23"/>
        <n v="2457.74"/>
        <n v="252.63"/>
        <n v="777.06"/>
        <n v="552.01"/>
        <n v="4626.49"/>
        <n v="1315.29"/>
        <n v="1328.34"/>
        <n v="89.6"/>
        <n v="3924.66"/>
        <n v="4980.75"/>
        <n v="212.81"/>
        <n v="2752.3"/>
        <n v="647.76"/>
        <n v="1126.01"/>
        <n v="752.23"/>
        <n v="80.64"/>
        <n v="4282.71"/>
        <n v="1009.32"/>
        <n v="3181.0"/>
        <n v="2273.84"/>
        <n v="8175.95"/>
        <n v="1967.93"/>
        <n v="101.31"/>
        <n v="198.12"/>
        <n v="3223.96"/>
        <n v="191.08"/>
        <n v="1953.53"/>
        <n v="972.53"/>
        <n v="5432.54"/>
        <n v="176.56"/>
        <n v="4913.1"/>
        <n v="827.25"/>
        <n v="1086.83"/>
        <n v="578.85"/>
        <n v="712.04"/>
        <n v="1814.54"/>
        <n v="5005.74"/>
        <n v="3564.47"/>
        <n v="126.02"/>
        <n v="668.59"/>
        <n v="5888.99"/>
        <n v="5796.07"/>
        <n v="5346.66"/>
        <n v="177.32"/>
        <n v="3274.6"/>
        <n v="5310.02"/>
        <n v="2825.81"/>
        <n v="2902.34"/>
        <n v="231.3"/>
        <n v="176.58"/>
        <n v="1978.37"/>
        <n v="4677.81"/>
        <n v="2815.36"/>
        <n v="3568.7"/>
        <n v="2825.07"/>
        <n v="3235.14"/>
        <n v="4839.61"/>
        <n v="6135.2"/>
        <n v="5986.65"/>
        <n v="119.38"/>
        <n v="192.05"/>
        <n v="445.49"/>
        <n v="8184.42"/>
        <n v="135.57"/>
        <n v="775.0"/>
        <n v="613.37"/>
        <n v="2780.84"/>
        <n v="4123.16"/>
        <n v="953.34"/>
        <n v="1215.86"/>
        <n v="5764.58"/>
        <n v="21.28"/>
        <n v="2800.31"/>
        <n v="1717.1"/>
        <n v="3098.73"/>
        <n v="639.97"/>
        <n v="569.95"/>
        <n v="618.82"/>
        <n v="153.17"/>
        <n v="751.47"/>
        <n v="708.23"/>
        <n v="1282.86"/>
        <n v="4331.46"/>
        <n v="3647.82"/>
        <n v="879.87"/>
        <n v="418.79"/>
        <n v="5742.75"/>
        <n v="4424.06"/>
        <n v="4431.59"/>
        <n v="710.94"/>
        <n v="513.82"/>
        <n v="882.57"/>
        <n v="1006.15"/>
        <n v="890.23"/>
        <n v="7498.58"/>
        <n v="639.49"/>
        <n v="951.09"/>
        <n v="1730.1"/>
        <n v="1193.1"/>
        <n v="3692.8"/>
        <n v="2127.39"/>
        <n v="5156.17"/>
        <n v="443.65"/>
        <n v="4061.0"/>
        <n v="2044.87"/>
        <n v="582.39"/>
        <n v="2135.38"/>
        <n v="401.86"/>
        <n v="1176.9"/>
        <n v="875.54"/>
        <n v="588.7"/>
        <n v="596.98"/>
        <n v="1737.62"/>
        <n v="803.3"/>
        <n v="1023.67"/>
        <n v="1199.39"/>
        <n v="814.65"/>
        <n v="3899.25"/>
        <n v="1972.86"/>
        <n v="4789.86"/>
        <n v="317.15"/>
        <n v="7898.77"/>
        <n v="4318.32"/>
        <n v="260.99"/>
        <n v="533.88"/>
        <n v="1833.74"/>
        <n v="5709.02"/>
        <n v="1223.11"/>
        <n v="554.87"/>
        <n v="2707.66"/>
        <n v="561.26"/>
        <n v="232.68"/>
        <n v="835.31"/>
        <n v="1932.83"/>
        <n v="202.77"/>
        <n v="2028.9"/>
        <n v="1015.29"/>
        <n v="1012.78"/>
        <n v="3924.13"/>
        <n v="2958.47"/>
        <n v="1318.36"/>
        <n v="2849.61"/>
        <n v="43.47"/>
        <n v="4128.25"/>
        <n v="1513.3"/>
        <n v="987.0"/>
        <n v="850.73"/>
        <n v="3949.23"/>
        <n v="476.71"/>
        <n v="2534.06"/>
        <n v="725.72"/>
        <n v="834.51"/>
        <n v="303.47"/>
        <n v="82.36"/>
        <n v="213.0"/>
        <n v="179.09"/>
        <n v="3819.33"/>
        <n v="2598.84"/>
        <n v="1732.6"/>
        <n v="5385.1"/>
        <n v="6158.04"/>
        <n v="1175.45"/>
        <n v="197.97"/>
        <n v="730.18"/>
        <n v="1102.49"/>
        <n v="1856.99"/>
        <n v="487.47"/>
        <n v="5275.32"/>
        <n v="2180.74"/>
        <n v="4379.45"/>
        <n v="841.03"/>
        <n v="1754.94"/>
        <n v="1266.49"/>
        <n v="457.39"/>
        <n v="5937.3"/>
        <n v="480.35"/>
        <n v="6245.93"/>
        <n v="2835.44"/>
        <n v="439.78"/>
        <n v="4019.74"/>
        <n v="726.33"/>
        <n v="2713.78"/>
        <n v="388.36"/>
        <n v="3245.43"/>
        <n v="3694.73"/>
        <n v="397.49"/>
        <n v="268.07"/>
        <n v="1199.06"/>
        <n v="4366.33"/>
        <n v="500.85"/>
        <n v="347.43"/>
        <n v="6457.9"/>
        <n v="181.28"/>
        <n v="1851.58"/>
        <n v="3368.17"/>
        <n v="1209.38"/>
        <n v="203.6"/>
        <n v="8750.6"/>
        <n v="585.13"/>
        <n v="3986.68"/>
        <n v="567.87"/>
        <n v="2615.15"/>
        <n v="1250.97"/>
        <n v="602.67"/>
        <n v="211.62"/>
        <n v="7049.61"/>
        <n v="427.31"/>
        <n v="1364.49"/>
        <n v="8068.99"/>
        <n v="392.39"/>
        <n v="65.52"/>
        <n v="1123.76"/>
        <n v="6234.63"/>
        <n v="1905.09"/>
        <n v="231.34"/>
        <n v="1735.64"/>
        <n v="146.64"/>
        <n v="637.57"/>
        <n v="5216.88"/>
        <n v="3273.64"/>
        <n v="5104.64"/>
        <n v="824.12"/>
        <n v="1909.31"/>
        <n v="469.18"/>
        <n v="3543.68"/>
        <n v="7237.2"/>
        <n v="2397.19"/>
        <n v="1148.4"/>
        <n v="325.64"/>
        <n v="126.51"/>
        <n v="5645.17"/>
        <n v="3010.69"/>
        <n v="9003.65"/>
        <n v="3349.93"/>
        <n v="3295.92"/>
        <n v="265.32"/>
        <n v="168.46"/>
        <n v="277.16"/>
        <n v="5848.88"/>
        <n v="263.72"/>
        <n v="3926.22"/>
        <n v="245.89"/>
        <n v="440.64"/>
        <n v="7989.93"/>
        <n v="165.78"/>
        <n v="584.05"/>
        <n v="2733.88"/>
        <n v="571.3"/>
        <n v="443.73"/>
        <n v="3954.92"/>
        <n v="210.5"/>
        <n v="1192.04"/>
        <n v="100.53"/>
        <n v="275.07"/>
        <n v="1053.66"/>
        <n v="119.7"/>
        <n v="852.95"/>
        <n v="2073.28"/>
        <n v="1724.74"/>
        <n v="6688.26"/>
        <n v="5468.25"/>
        <n v="2558.19"/>
        <n v="869.85"/>
        <n v="310.77"/>
        <n v="1330.44"/>
        <n v="552.11"/>
        <n v="868.8"/>
        <n v="244.7"/>
        <n v="1092.49"/>
        <n v="2934.63"/>
        <n v="885.37"/>
        <n v="864.02"/>
        <n v="2501.88"/>
        <n v="3949.89"/>
        <n v="143.18"/>
        <n v="667.62"/>
        <n v="1938.55"/>
        <n v="5934.53"/>
        <n v="889.84"/>
        <n v="1860.89"/>
        <n v="4063.2"/>
        <n v="1842.79"/>
        <n v="6274.29"/>
        <n v="3170.03"/>
        <n v="675.88"/>
        <n v="369.15"/>
        <n v="4899.77"/>
        <n v="1389.56"/>
        <n v="5643.7"/>
        <n v="1880.97"/>
        <n v="2993.6"/>
        <n v="5094.52"/>
        <n v="1782.32"/>
        <n v="4484.6"/>
        <n v="895.4"/>
        <n v="2071.49"/>
        <n v="369.96"/>
        <n v="698.48"/>
        <n v="2518.68"/>
        <n v="1634.53"/>
        <n v="2720.42"/>
        <n v="457.77"/>
        <n v="1758.91"/>
        <n v="7302.74"/>
        <n v="478.25"/>
        <n v="1083.84"/>
        <n v="702.03"/>
        <n v="306.94"/>
        <n v="1862.61"/>
        <n v="2883.31"/>
        <n v="1657.38"/>
        <n v="934.95"/>
        <n v="3853.46"/>
        <n v="1578.68"/>
        <n v="1670.54"/>
        <n v="306.85"/>
        <n v="180.0"/>
        <n v="2024.16"/>
        <n v="1586.79"/>
        <n v="4535.17"/>
        <n v="1318.55"/>
        <n v="1557.31"/>
        <n v="8101.62"/>
        <n v="721.38"/>
        <n v="949.07"/>
        <n v="472.78"/>
        <n v="1832.01"/>
        <n v="6233.64"/>
        <n v="2170.82"/>
        <n v="506.02"/>
        <n v="626.88"/>
        <n v="280.54"/>
        <n v="3783.32"/>
        <n v="1518.76"/>
        <n v="472.08"/>
        <n v="302.85"/>
        <n v="976.4"/>
        <n v="8044.73"/>
        <n v="726.57"/>
        <n v="643.12"/>
        <n v="230.49"/>
        <n v="5205.96"/>
        <n v="2029.94"/>
        <n v="4768.11"/>
        <n v="895.16"/>
        <n v="3640.14"/>
        <n v="586.94"/>
        <n v="95.37"/>
        <n v="5383.98"/>
        <n v="22.58"/>
        <n v="2215.68"/>
        <n v="151.46"/>
        <n v="1979.75"/>
        <n v="3761.46"/>
        <n v="939.3"/>
        <n v="357.69"/>
        <n v="5566.96"/>
        <n v="5966.29"/>
        <n v="3312.85"/>
        <n v="336.09"/>
        <n v="399.56"/>
        <n v="472.61"/>
        <n v="996.73"/>
        <n v="305.55"/>
        <n v="203.69"/>
        <n v="3960.15"/>
        <n v="659.97"/>
        <n v="1287.82"/>
        <n v="3203.13"/>
        <n v="4376.87"/>
        <n v="2299.28"/>
        <n v="5929.62"/>
        <n v="3051.39"/>
        <n v="1148.78"/>
        <n v="2335.4"/>
        <n v="2484.3"/>
        <n v="3383.04"/>
        <n v="499.41"/>
        <n v="4668.07"/>
        <n v="2732.9"/>
        <n v="291.57"/>
        <n v="6496.79"/>
        <n v="4447.88"/>
        <n v="6894.38"/>
        <n v="3036.81"/>
        <n v="642.07"/>
        <n v="1772.04"/>
        <n v="170.01"/>
        <n v="1710.75"/>
        <n v="4093.64"/>
        <n v="3618.68"/>
        <n v="2912.41"/>
        <n v="13.91"/>
        <n v="6771.69"/>
        <n v="2760.87"/>
        <n v="6996.67"/>
        <n v="312.92"/>
        <n v="85.63"/>
        <n v="2645.62"/>
        <n v="879.97"/>
        <n v="5821.71"/>
        <n v="1189.19"/>
        <n v="219.68"/>
        <n v="626.22"/>
        <n v="108.12"/>
        <n v="611.63"/>
        <n v="4104.56"/>
        <n v="1178.61"/>
        <n v="3703.94"/>
        <n v="332.05"/>
        <n v="4628.48"/>
        <n v="6731.94"/>
        <n v="2742.15"/>
        <n v="7072.45"/>
        <n v="7555.4"/>
        <n v="4384.0"/>
        <n v="190.65"/>
        <n v="1140.78"/>
        <n v="1052.14"/>
        <n v="127.34"/>
        <n v="406.56"/>
        <n v="2007.7"/>
        <n v="4135.19"/>
        <n v="1244.48"/>
        <n v="2688.36"/>
        <n v="1762.95"/>
        <n v="156.89"/>
        <n v="817.47"/>
        <n v="131.46"/>
        <n v="2970.95"/>
        <n v="3625.94"/>
        <n v="520.57"/>
        <n v="3359.84"/>
        <n v="86.04"/>
        <n v="1053.98"/>
        <n v="1998.14"/>
        <n v="7328.55"/>
        <n v="212.52"/>
        <n v="1192.94"/>
        <n v="1229.61"/>
        <n v="4485.24"/>
        <n v="2924.66"/>
        <n v="2226.31"/>
        <n v="4742.14"/>
        <n v="1746.28"/>
        <n v="770.45"/>
        <n v="5150.82"/>
        <n v="1799.55"/>
        <n v="2198.08"/>
        <n v="5438.15"/>
        <n v="3920.45"/>
        <n v="218.76"/>
        <n v="6062.75"/>
        <n v="316.62"/>
        <n v="2141.56"/>
        <n v="4700.17"/>
        <n v="1209.12"/>
        <n v="339.85"/>
        <n v="277.85"/>
        <n v="6175.76"/>
        <n v="245.8"/>
        <n v="386.33"/>
        <n v="789.16"/>
        <n v="55.26"/>
        <n v="2136.12"/>
        <n v="304.08"/>
        <n v="689.72"/>
        <n v="3356.78"/>
        <n v="7243.78"/>
        <n v="351.38"/>
        <n v="1802.18"/>
        <n v="1880.42"/>
        <n v="1857.06"/>
        <n v="3863.49"/>
        <n v="2954.13"/>
        <n v="4926.01"/>
        <n v="281.97"/>
        <n v="3703.32"/>
        <n v="117.12"/>
        <n v="6146.01"/>
        <n v="362.59"/>
        <n v="4248.87"/>
        <n v="3345.04"/>
        <n v="505.18"/>
        <n v="6691.62"/>
        <n v="1716.46"/>
        <n v="1130.03"/>
        <n v="4344.33"/>
        <n v="751.98"/>
        <n v="1093.59"/>
        <n v="1957.05"/>
        <n v="5644.58"/>
        <n v="3994.19"/>
        <n v="912.11"/>
        <n v="688.34"/>
        <n v="324.59"/>
        <n v="246.79"/>
        <n v="3899.12"/>
        <n v="451.48"/>
        <n v="2762.99"/>
        <n v="436.5"/>
        <n v="1037.48"/>
        <n v="3617.51"/>
        <n v="1156.29"/>
        <n v="114.16"/>
        <n v="142.44"/>
        <n v="4480.23"/>
        <n v="2105.47"/>
        <n v="8693.36"/>
        <n v="1873.14"/>
        <n v="6412.94"/>
        <n v="5186.37"/>
        <n v="6245.2"/>
        <n v="4032.26"/>
        <n v="3441.4"/>
        <n v="1653.76"/>
        <n v="2144.8"/>
        <n v="598.76"/>
        <n v="387.5"/>
        <n v="1484.55"/>
        <n v="1181.49"/>
        <n v="264.23"/>
        <n v="248.3"/>
        <n v="2233.11"/>
        <n v="1812.69"/>
        <n v="489.38"/>
        <n v="104.38"/>
        <n v="544.63"/>
        <n v="890.45"/>
        <n v="3924.86"/>
        <n v="1278.58"/>
        <n v="292.93"/>
        <n v="1145.31"/>
        <n v="2262.96"/>
        <n v="624.51"/>
        <n v="6824.82"/>
        <n v="2581.77"/>
        <n v="4574.71"/>
        <n v="3208.61"/>
        <n v="1012.65"/>
        <n v="609.95"/>
        <n v="250.82"/>
        <n v="403.55"/>
        <n v="3012.46"/>
        <n v="3256.87"/>
        <n v="594.78"/>
        <n v="2069.7"/>
        <n v="7491.62"/>
        <n v="988.86"/>
        <n v="1710.57"/>
        <n v="896.55"/>
        <n v="1184.48"/>
        <n v="5109.96"/>
        <n v="3543.49"/>
        <n v="3433.5"/>
        <n v="142.2"/>
        <n v="132.81"/>
        <n v="5360.81"/>
        <n v="2965.57"/>
        <n v="302.12"/>
        <n v="2236.11"/>
        <n v="1032.89"/>
        <n v="2639.57"/>
        <n v="1937.42"/>
        <n v="5169.78"/>
        <n v="2235.94"/>
        <n v="446.78"/>
        <n v="1100.42"/>
        <n v="436.58"/>
        <n v="812.23"/>
        <n v="631.18"/>
        <n v="2324.16"/>
        <n v="5013.83"/>
        <n v="1251.34"/>
        <n v="1157.51"/>
        <n v="571.97"/>
        <n v="60.85"/>
        <n v="440.43"/>
        <n v="2715.39"/>
        <n v="3489.59"/>
        <n v="3092.74"/>
        <n v="337.3"/>
        <n v="6816.96"/>
        <n v="2913.06"/>
        <n v="5424.64"/>
        <n v="1888.21"/>
        <n v="375.86"/>
        <n v="233.72"/>
        <n v="209.9"/>
        <n v="486.32"/>
        <n v="121.93"/>
        <n v="476.56"/>
        <n v="1890.84"/>
        <n v="1166.82"/>
        <n v="316.85"/>
        <n v="267.8"/>
        <n v="2781.32"/>
        <n v="2229.73"/>
        <n v="285.26"/>
        <n v="6453.74"/>
        <n v="410.48"/>
        <n v="99.88"/>
        <n v="163.55"/>
        <n v="857.76"/>
        <n v="2469.91"/>
        <n v="1753.39"/>
        <n v="806.86"/>
        <n v="996.32"/>
        <n v="7514.38"/>
        <n v="1848.21"/>
        <n v="140.27"/>
        <n v="2008.67"/>
        <n v="969.25"/>
        <n v="151.36"/>
        <n v="1090.68"/>
        <n v="2055.96"/>
        <n v="589.55"/>
        <n v="1035.45"/>
        <n v="291.92"/>
        <n v="2465.28"/>
        <n v="252.0"/>
        <n v="1227.59"/>
        <n v="6856.26"/>
        <n v="7259.57"/>
        <n v="2089.52"/>
        <n v="487.63"/>
        <n v="308.15"/>
        <n v="97.37"/>
        <n v="6443.68"/>
        <n v="5306.51"/>
        <n v="3613.76"/>
        <n v="45.91"/>
        <n v="305.33"/>
        <n v="7284.36"/>
        <n v="360.45"/>
        <n v="533.65"/>
        <n v="784.33"/>
        <n v="2230.05"/>
        <n v="32.46"/>
        <n v="475.49"/>
        <n v="2345.77"/>
        <n v="1934.14"/>
        <n v="197.14"/>
        <n v="818.97"/>
        <n v="5510.7"/>
        <n v="776.44"/>
        <n v="2650.84"/>
        <n v="653.12"/>
        <m/>
      </sharedItems>
    </cacheField>
    <cacheField name="Rounded Cost ($)" numFmtId="0">
      <sharedItems containsString="0" containsBlank="1" containsNumber="1" containsInteger="1">
        <n v="5004.0"/>
        <n v="4710.0"/>
        <n v="843.0"/>
        <n v="1822.0"/>
        <n v="2046.0"/>
        <n v="447.0"/>
        <n v="1948.0"/>
        <n v="240.0"/>
        <n v="762.0"/>
        <n v="2711.0"/>
        <n v="385.0"/>
        <n v="800.0"/>
        <n v="1186.0"/>
        <n v="305.0"/>
        <n v="2156.0"/>
        <n v="759.0"/>
        <n v="3653.0"/>
        <n v="3001.0"/>
        <n v="471.0"/>
        <n v="1370.0"/>
        <n v="4827.0"/>
        <n v="1141.0"/>
        <n v="794.0"/>
        <n v="749.0"/>
        <n v="3218.0"/>
        <n v="5640.0"/>
        <n v="1840.0"/>
        <n v="3578.0"/>
        <n v="273.0"/>
        <n v="190.0"/>
        <n v="848.0"/>
        <n v="4918.0"/>
        <n v="2188.0"/>
        <n v="2024.0"/>
        <n v="2611.0"/>
        <n v="34.0"/>
        <n v="2352.0"/>
        <n v="1522.0"/>
        <n v="840.0"/>
        <n v="178.0"/>
        <n v="179.0"/>
        <n v="123.0"/>
        <n v="705.0"/>
        <n v="4047.0"/>
        <n v="5948.0"/>
        <n v="1126.0"/>
        <n v="720.0"/>
        <n v="177.0"/>
        <n v="4593.0"/>
        <n v="2303.0"/>
        <n v="5290.0"/>
        <n v="2470.0"/>
        <n v="145.0"/>
        <n v="434.0"/>
        <n v="1596.0"/>
        <n v="8468.0"/>
        <n v="1829.0"/>
        <n v="1739.0"/>
        <n v="1476.0"/>
        <n v="185.0"/>
        <n v="343.0"/>
        <n v="1336.0"/>
        <n v="7239.0"/>
        <n v="4870.0"/>
        <n v="133.0"/>
        <n v="5470.0"/>
        <n v="158.0"/>
        <n v="735.0"/>
        <n v="455.0"/>
        <n v="2054.0"/>
        <n v="202.0"/>
        <n v="7737.0"/>
        <n v="505.0"/>
        <n v="1023.0"/>
        <n v="168.0"/>
        <n v="5539.0"/>
        <n v="1230.0"/>
        <n v="3845.0"/>
        <n v="3208.0"/>
        <n v="8428.0"/>
        <n v="2956.0"/>
        <n v="1308.0"/>
        <n v="2666.0"/>
        <n v="1488.0"/>
        <n v="4708.0"/>
        <n v="7116.0"/>
        <n v="5104.0"/>
        <n v="183.0"/>
        <n v="2419.0"/>
        <n v="3096.0"/>
        <n v="3018.0"/>
        <n v="1758.0"/>
        <n v="1242.0"/>
        <n v="3670.0"/>
        <n v="2869.0"/>
        <n v="184.0"/>
        <n v="307.0"/>
        <n v="4907.0"/>
        <n v="856.0"/>
        <n v="1549.0"/>
        <n v="2294.0"/>
        <n v="916.0"/>
        <n v="2569.0"/>
        <n v="1514.0"/>
        <n v="361.0"/>
        <n v="1387.0"/>
        <n v="5570.0"/>
        <n v="326.0"/>
        <n v="697.0"/>
        <n v="814.0"/>
        <n v="1001.0"/>
        <n v="3622.0"/>
        <n v="3472.0"/>
        <n v="409.0"/>
        <n v="354.0"/>
        <n v="2594.0"/>
        <n v="2777.0"/>
        <n v="2236.0"/>
        <n v="1449.0"/>
        <n v="4906.0"/>
        <n v="1068.0"/>
        <n v="1524.0"/>
        <n v="489.0"/>
        <n v="2576.0"/>
        <n v="5581.0"/>
        <n v="545.0"/>
        <n v="1988.0"/>
        <n v="296.0"/>
        <n v="4607.0"/>
        <n v="266.0"/>
        <n v="4366.0"/>
        <n v="2616.0"/>
        <n v="3731.0"/>
        <n v="2936.0"/>
        <n v="6353.0"/>
        <n v="56.0"/>
        <n v="2539.0"/>
        <n v="8442.0"/>
        <n v="626.0"/>
        <n v="1357.0"/>
        <n v="1191.0"/>
        <n v="197.0"/>
        <n v="769.0"/>
        <n v="2841.0"/>
        <n v="1247.0"/>
        <n v="311.0"/>
        <n v="261.0"/>
        <n v="1424.0"/>
        <n v="5319.0"/>
        <n v="617.0"/>
        <n v="1889.0"/>
        <n v="3567.0"/>
        <n v="390.0"/>
        <n v="72.0"/>
        <n v="4719.0"/>
        <n v="4489.0"/>
        <n v="548.0"/>
        <n v="441.0"/>
        <n v="1593.0"/>
        <n v="68.0"/>
        <n v="317.0"/>
        <n v="6308.0"/>
        <n v="209.0"/>
        <n v="1975.0"/>
        <n v="8260.0"/>
        <n v="783.0"/>
        <n v="611.0"/>
        <n v="499.0"/>
        <n v="849.0"/>
        <n v="8176.0"/>
        <n v="3851.0"/>
        <n v="46.0"/>
        <n v="452.0"/>
        <n v="2160.0"/>
        <n v="629.0"/>
        <n v="1401.0"/>
        <n v="709.0"/>
        <n v="572.0"/>
        <n v="171.0"/>
        <n v="373.0"/>
        <n v="980.0"/>
        <n v="3756.0"/>
        <n v="1681.0"/>
        <n v="6690.0"/>
        <n v="91.0"/>
        <n v="381.0"/>
        <n v="51.0"/>
        <n v="1049.0"/>
        <n v="728.0"/>
        <n v="1978.0"/>
        <n v="2432.0"/>
        <n v="5739.0"/>
        <n v="891.0"/>
        <n v="514.0"/>
        <n v="602.0"/>
        <n v="1908.0"/>
        <n v="2116.0"/>
        <n v="665.0"/>
        <n v="237.0"/>
        <n v="3600.0"/>
        <n v="1765.0"/>
        <n v="3178.0"/>
        <n v="4577.0"/>
        <n v="1066.0"/>
        <n v="6941.0"/>
        <n v="309.0"/>
        <n v="5076.0"/>
        <n v="458.0"/>
        <n v="3313.0"/>
        <n v="1075.0"/>
        <n v="313.0"/>
        <n v="1877.0"/>
        <n v="6892.0"/>
        <n v="221.0"/>
        <n v="4787.0"/>
        <n v="8755.0"/>
        <n v="1220.0"/>
        <n v="1455.0"/>
        <n v="669.0"/>
        <n v="781.0"/>
        <n v="5783.0"/>
        <n v="772.0"/>
        <n v="241.0"/>
        <n v="428.0"/>
        <n v="1085.0"/>
        <n v="77.0"/>
        <n v="1678.0"/>
        <n v="565.0"/>
        <n v="4350.0"/>
        <n v="3126.0"/>
        <n v="1136.0"/>
        <n v="966.0"/>
        <n v="5722.0"/>
        <n v="8833.0"/>
        <n v="4102.0"/>
        <n v="371.0"/>
        <n v="5160.0"/>
        <n v="2319.0"/>
        <n v="106.0"/>
        <n v="398.0"/>
        <n v="3109.0"/>
        <n v="677.0"/>
        <n v="420.0"/>
        <n v="5369.0"/>
        <n v="433.0"/>
        <n v="1660.0"/>
        <n v="727.0"/>
        <n v="539.0"/>
        <n v="2922.0"/>
        <n v="1686.0"/>
        <n v="114.0"/>
        <n v="1799.0"/>
        <n v="3609.0"/>
        <n v="1499.0"/>
        <n v="6352.0"/>
        <n v="1076.0"/>
        <n v="3547.0"/>
        <n v="1012.0"/>
        <n v="1418.0"/>
        <n v="8438.0"/>
        <n v="534.0"/>
        <n v="1762.0"/>
        <n v="152.0"/>
        <n v="5776.0"/>
        <n v="1024.0"/>
        <n v="352.0"/>
        <n v="5833.0"/>
        <n v="279.0"/>
        <n v="546.0"/>
        <n v="845.0"/>
        <n v="926.0"/>
        <n v="764.0"/>
        <n v="1643.0"/>
        <n v="3911.0"/>
        <n v="680.0"/>
        <n v="1061.0"/>
        <n v="6458.0"/>
        <n v="2180.0"/>
        <n v="5877.0"/>
        <n v="4922.0"/>
        <n v="218.0"/>
        <n v="1182.0"/>
        <n v="462.0"/>
        <n v="2213.0"/>
        <n v="117.0"/>
        <n v="946.0"/>
        <n v="601.0"/>
        <n v="396.0"/>
        <n v="1025.0"/>
        <n v="1199.0"/>
        <n v="541.0"/>
        <n v="7096.0"/>
        <n v="4672.0"/>
        <n v="1111.0"/>
        <n v="368.0"/>
        <n v="134.0"/>
        <n v="1201.0"/>
        <n v="4319.0"/>
        <n v="394.0"/>
        <n v="664.0"/>
        <n v="3519.0"/>
        <n v="5718.0"/>
        <n v="235.0"/>
        <n v="944.0"/>
        <n v="509.0"/>
        <n v="7609.0"/>
        <n v="721.0"/>
        <n v="527.0"/>
        <n v="83.0"/>
        <n v="425.0"/>
        <n v="3259.0"/>
        <n v="695.0"/>
        <n v="713.0"/>
        <n v="3268.0"/>
        <n v="3205.0"/>
        <n v="846.0"/>
        <n v="5804.0"/>
        <n v="2057.0"/>
        <n v="1629.0"/>
        <n v="619.0"/>
        <n v="36.0"/>
        <n v="470.0"/>
        <n v="533.0"/>
        <n v="526.0"/>
        <n v="236.0"/>
        <n v="2902.0"/>
        <n v="5529.0"/>
        <n v="791.0"/>
        <n v="1478.0"/>
        <n v="1636.0"/>
        <n v="4656.0"/>
        <n v="996.0"/>
        <n v="589.0"/>
        <n v="2623.0"/>
        <n v="424.0"/>
        <n v="858.0"/>
        <n v="291.0"/>
        <n v="1959.0"/>
        <n v="2458.0"/>
        <n v="253.0"/>
        <n v="777.0"/>
        <n v="552.0"/>
        <n v="4626.0"/>
        <n v="1315.0"/>
        <n v="1328.0"/>
        <n v="90.0"/>
        <n v="3925.0"/>
        <n v="4981.0"/>
        <n v="213.0"/>
        <n v="2752.0"/>
        <n v="648.0"/>
        <n v="752.0"/>
        <n v="81.0"/>
        <n v="4283.0"/>
        <n v="1009.0"/>
        <n v="3181.0"/>
        <n v="2274.0"/>
        <n v="1968.0"/>
        <n v="101.0"/>
        <n v="198.0"/>
        <n v="3224.0"/>
        <n v="191.0"/>
        <n v="1954.0"/>
        <n v="973.0"/>
        <n v="5433.0"/>
        <n v="4913.0"/>
        <n v="827.0"/>
        <n v="1087.0"/>
        <n v="579.0"/>
        <n v="712.0"/>
        <n v="1815.0"/>
        <n v="5006.0"/>
        <n v="3564.0"/>
        <n v="126.0"/>
        <n v="5889.0"/>
        <n v="5796.0"/>
        <n v="5347.0"/>
        <n v="3275.0"/>
        <n v="5310.0"/>
        <n v="2826.0"/>
        <n v="231.0"/>
        <n v="4678.0"/>
        <n v="2815.0"/>
        <n v="3569.0"/>
        <n v="2825.0"/>
        <n v="3235.0"/>
        <n v="4840.0"/>
        <n v="6135.0"/>
        <n v="5987.0"/>
        <n v="119.0"/>
        <n v="192.0"/>
        <n v="445.0"/>
        <n v="8184.0"/>
        <n v="136.0"/>
        <n v="775.0"/>
        <n v="613.0"/>
        <n v="2781.0"/>
        <n v="4123.0"/>
        <n v="953.0"/>
        <n v="1216.0"/>
        <n v="5765.0"/>
        <n v="21.0"/>
        <n v="2800.0"/>
        <n v="1717.0"/>
        <n v="3099.0"/>
        <n v="640.0"/>
        <n v="570.0"/>
        <n v="153.0"/>
        <n v="751.0"/>
        <n v="708.0"/>
        <n v="1283.0"/>
        <n v="4331.0"/>
        <n v="3648.0"/>
        <n v="880.0"/>
        <n v="419.0"/>
        <n v="5743.0"/>
        <n v="4424.0"/>
        <n v="4432.0"/>
        <n v="711.0"/>
        <n v="883.0"/>
        <n v="1006.0"/>
        <n v="890.0"/>
        <n v="7499.0"/>
        <n v="639.0"/>
        <n v="951.0"/>
        <n v="1730.0"/>
        <n v="1193.0"/>
        <n v="3693.0"/>
        <n v="2127.0"/>
        <n v="5156.0"/>
        <n v="444.0"/>
        <n v="4061.0"/>
        <n v="2045.0"/>
        <n v="582.0"/>
        <n v="2135.0"/>
        <n v="402.0"/>
        <n v="1177.0"/>
        <n v="876.0"/>
        <n v="597.0"/>
        <n v="1738.0"/>
        <n v="803.0"/>
        <n v="815.0"/>
        <n v="3899.0"/>
        <n v="1973.0"/>
        <n v="4790.0"/>
        <n v="7899.0"/>
        <n v="4318.0"/>
        <n v="1834.0"/>
        <n v="5709.0"/>
        <n v="1223.0"/>
        <n v="555.0"/>
        <n v="2708.0"/>
        <n v="561.0"/>
        <n v="233.0"/>
        <n v="835.0"/>
        <n v="1933.0"/>
        <n v="203.0"/>
        <n v="2029.0"/>
        <n v="1015.0"/>
        <n v="1013.0"/>
        <n v="3924.0"/>
        <n v="2958.0"/>
        <n v="1318.0"/>
        <n v="2850.0"/>
        <n v="43.0"/>
        <n v="4128.0"/>
        <n v="1513.0"/>
        <n v="987.0"/>
        <n v="851.0"/>
        <n v="3949.0"/>
        <n v="477.0"/>
        <n v="2534.0"/>
        <n v="726.0"/>
        <n v="303.0"/>
        <n v="82.0"/>
        <n v="3819.0"/>
        <n v="2599.0"/>
        <n v="1733.0"/>
        <n v="5385.0"/>
        <n v="6158.0"/>
        <n v="1175.0"/>
        <n v="730.0"/>
        <n v="1102.0"/>
        <n v="1857.0"/>
        <n v="487.0"/>
        <n v="5275.0"/>
        <n v="2181.0"/>
        <n v="4379.0"/>
        <n v="841.0"/>
        <n v="1755.0"/>
        <n v="1266.0"/>
        <n v="457.0"/>
        <n v="5937.0"/>
        <n v="480.0"/>
        <n v="6246.0"/>
        <n v="2835.0"/>
        <n v="440.0"/>
        <n v="4020.0"/>
        <n v="2714.0"/>
        <n v="388.0"/>
        <n v="3245.0"/>
        <n v="3695.0"/>
        <n v="397.0"/>
        <n v="268.0"/>
        <n v="501.0"/>
        <n v="347.0"/>
        <n v="181.0"/>
        <n v="1852.0"/>
        <n v="3368.0"/>
        <n v="1209.0"/>
        <n v="204.0"/>
        <n v="8751.0"/>
        <n v="585.0"/>
        <n v="3987.0"/>
        <n v="568.0"/>
        <n v="2615.0"/>
        <n v="1251.0"/>
        <n v="603.0"/>
        <n v="212.0"/>
        <n v="7050.0"/>
        <n v="427.0"/>
        <n v="1364.0"/>
        <n v="8069.0"/>
        <n v="392.0"/>
        <n v="66.0"/>
        <n v="1124.0"/>
        <n v="6235.0"/>
        <n v="1905.0"/>
        <n v="1736.0"/>
        <n v="147.0"/>
        <n v="638.0"/>
        <n v="5217.0"/>
        <n v="3274.0"/>
        <n v="5105.0"/>
        <n v="824.0"/>
        <n v="1909.0"/>
        <n v="469.0"/>
        <n v="3544.0"/>
        <n v="7237.0"/>
        <n v="2397.0"/>
        <n v="1148.0"/>
        <n v="127.0"/>
        <n v="5645.0"/>
        <n v="3011.0"/>
        <n v="9004.0"/>
        <n v="3350.0"/>
        <n v="3296.0"/>
        <n v="265.0"/>
        <n v="277.0"/>
        <n v="5849.0"/>
        <n v="264.0"/>
        <n v="3926.0"/>
        <n v="246.0"/>
        <n v="7990.0"/>
        <n v="166.0"/>
        <n v="584.0"/>
        <n v="2734.0"/>
        <n v="571.0"/>
        <n v="3955.0"/>
        <n v="210.0"/>
        <n v="1192.0"/>
        <n v="275.0"/>
        <n v="1054.0"/>
        <n v="120.0"/>
        <n v="853.0"/>
        <n v="2073.0"/>
        <n v="1725.0"/>
        <n v="6688.0"/>
        <n v="5468.0"/>
        <n v="2558.0"/>
        <n v="870.0"/>
        <n v="1330.0"/>
        <n v="869.0"/>
        <n v="245.0"/>
        <n v="1092.0"/>
        <n v="2935.0"/>
        <n v="885.0"/>
        <n v="864.0"/>
        <n v="2502.0"/>
        <n v="3950.0"/>
        <n v="143.0"/>
        <n v="668.0"/>
        <n v="1939.0"/>
        <n v="5935.0"/>
        <n v="1861.0"/>
        <n v="4063.0"/>
        <n v="1843.0"/>
        <n v="6274.0"/>
        <n v="3170.0"/>
        <n v="676.0"/>
        <n v="369.0"/>
        <n v="4900.0"/>
        <n v="1390.0"/>
        <n v="5644.0"/>
        <n v="1881.0"/>
        <n v="2994.0"/>
        <n v="5095.0"/>
        <n v="1782.0"/>
        <n v="4485.0"/>
        <n v="895.0"/>
        <n v="2071.0"/>
        <n v="370.0"/>
        <n v="698.0"/>
        <n v="2519.0"/>
        <n v="1635.0"/>
        <n v="2720.0"/>
        <n v="1759.0"/>
        <n v="7303.0"/>
        <n v="478.0"/>
        <n v="1084.0"/>
        <n v="702.0"/>
        <n v="1863.0"/>
        <n v="2883.0"/>
        <n v="1657.0"/>
        <n v="935.0"/>
        <n v="3853.0"/>
        <n v="1579.0"/>
        <n v="1671.0"/>
        <n v="180.0"/>
        <n v="1587.0"/>
        <n v="4535.0"/>
        <n v="1319.0"/>
        <n v="1557.0"/>
        <n v="8102.0"/>
        <n v="949.0"/>
        <n v="473.0"/>
        <n v="1832.0"/>
        <n v="6234.0"/>
        <n v="2171.0"/>
        <n v="506.0"/>
        <n v="627.0"/>
        <n v="281.0"/>
        <n v="3783.0"/>
        <n v="1519.0"/>
        <n v="472.0"/>
        <n v="976.0"/>
        <n v="8045.0"/>
        <n v="643.0"/>
        <n v="230.0"/>
        <n v="5206.0"/>
        <n v="2030.0"/>
        <n v="4768.0"/>
        <n v="3640.0"/>
        <n v="587.0"/>
        <n v="95.0"/>
        <n v="5384.0"/>
        <n v="23.0"/>
        <n v="2216.0"/>
        <n v="151.0"/>
        <n v="1980.0"/>
        <n v="3761.0"/>
        <n v="939.0"/>
        <n v="358.0"/>
        <n v="5567.0"/>
        <n v="5966.0"/>
        <n v="336.0"/>
        <n v="400.0"/>
        <n v="997.0"/>
        <n v="306.0"/>
        <n v="3960.0"/>
        <n v="660.0"/>
        <n v="1288.0"/>
        <n v="3203.0"/>
        <n v="4377.0"/>
        <n v="2299.0"/>
        <n v="5930.0"/>
        <n v="3051.0"/>
        <n v="1149.0"/>
        <n v="2335.0"/>
        <n v="2484.0"/>
        <n v="3383.0"/>
        <n v="4668.0"/>
        <n v="2733.0"/>
        <n v="292.0"/>
        <n v="6497.0"/>
        <n v="4448.0"/>
        <n v="6894.0"/>
        <n v="3037.0"/>
        <n v="642.0"/>
        <n v="1772.0"/>
        <n v="170.0"/>
        <n v="1711.0"/>
        <n v="4094.0"/>
        <n v="3619.0"/>
        <n v="2912.0"/>
        <n v="14.0"/>
        <n v="6772.0"/>
        <n v="2761.0"/>
        <n v="6997.0"/>
        <n v="86.0"/>
        <n v="2646.0"/>
        <n v="5822.0"/>
        <n v="1189.0"/>
        <n v="220.0"/>
        <n v="108.0"/>
        <n v="612.0"/>
        <n v="4105.0"/>
        <n v="1179.0"/>
        <n v="3704.0"/>
        <n v="332.0"/>
        <n v="4628.0"/>
        <n v="6732.0"/>
        <n v="2742.0"/>
        <n v="7072.0"/>
        <n v="7555.0"/>
        <n v="4384.0"/>
        <n v="1052.0"/>
        <n v="407.0"/>
        <n v="2008.0"/>
        <n v="4135.0"/>
        <n v="1244.0"/>
        <n v="2688.0"/>
        <n v="1763.0"/>
        <n v="157.0"/>
        <n v="817.0"/>
        <n v="131.0"/>
        <n v="2971.0"/>
        <n v="3626.0"/>
        <n v="521.0"/>
        <n v="3360.0"/>
        <n v="1998.0"/>
        <n v="7329.0"/>
        <n v="2925.0"/>
        <n v="2226.0"/>
        <n v="4742.0"/>
        <n v="1746.0"/>
        <n v="770.0"/>
        <n v="5151.0"/>
        <n v="1800.0"/>
        <n v="2198.0"/>
        <n v="5438.0"/>
        <n v="3920.0"/>
        <n v="219.0"/>
        <n v="6063.0"/>
        <n v="2142.0"/>
        <n v="4700.0"/>
        <n v="340.0"/>
        <n v="278.0"/>
        <n v="6176.0"/>
        <n v="386.0"/>
        <n v="789.0"/>
        <n v="55.0"/>
        <n v="2136.0"/>
        <n v="304.0"/>
        <n v="690.0"/>
        <n v="3357.0"/>
        <n v="7244.0"/>
        <n v="351.0"/>
        <n v="1802.0"/>
        <n v="1880.0"/>
        <n v="3863.0"/>
        <n v="2954.0"/>
        <n v="4926.0"/>
        <n v="282.0"/>
        <n v="3703.0"/>
        <n v="6146.0"/>
        <n v="363.0"/>
        <n v="4249.0"/>
        <n v="3345.0"/>
        <n v="6692.0"/>
        <n v="1716.0"/>
        <n v="1130.0"/>
        <n v="4344.0"/>
        <n v="1094.0"/>
        <n v="1957.0"/>
        <n v="3994.0"/>
        <n v="912.0"/>
        <n v="688.0"/>
        <n v="325.0"/>
        <n v="247.0"/>
        <n v="451.0"/>
        <n v="2763.0"/>
        <n v="436.0"/>
        <n v="1037.0"/>
        <n v="3618.0"/>
        <n v="1156.0"/>
        <n v="142.0"/>
        <n v="4480.0"/>
        <n v="2105.0"/>
        <n v="8693.0"/>
        <n v="1873.0"/>
        <n v="6413.0"/>
        <n v="5186.0"/>
        <n v="6245.0"/>
        <n v="4032.0"/>
        <n v="3441.0"/>
        <n v="1654.0"/>
        <n v="2145.0"/>
        <n v="599.0"/>
        <n v="1485.0"/>
        <n v="1181.0"/>
        <n v="248.0"/>
        <n v="2233.0"/>
        <n v="1813.0"/>
        <n v="104.0"/>
        <n v="1279.0"/>
        <n v="293.0"/>
        <n v="1145.0"/>
        <n v="2263.0"/>
        <n v="625.0"/>
        <n v="6825.0"/>
        <n v="2582.0"/>
        <n v="4575.0"/>
        <n v="3209.0"/>
        <n v="610.0"/>
        <n v="251.0"/>
        <n v="404.0"/>
        <n v="3012.0"/>
        <n v="3257.0"/>
        <n v="595.0"/>
        <n v="2070.0"/>
        <n v="7492.0"/>
        <n v="989.0"/>
        <n v="897.0"/>
        <n v="1184.0"/>
        <n v="5110.0"/>
        <n v="3543.0"/>
        <n v="3434.0"/>
        <n v="5361.0"/>
        <n v="2966.0"/>
        <n v="302.0"/>
        <n v="1033.0"/>
        <n v="2640.0"/>
        <n v="1937.0"/>
        <n v="5170.0"/>
        <n v="1100.0"/>
        <n v="437.0"/>
        <n v="812.0"/>
        <n v="631.0"/>
        <n v="2324.0"/>
        <n v="5014.0"/>
        <n v="1158.0"/>
        <n v="61.0"/>
        <n v="2715.0"/>
        <n v="3490.0"/>
        <n v="3093.0"/>
        <n v="337.0"/>
        <n v="6817.0"/>
        <n v="2913.0"/>
        <n v="5425.0"/>
        <n v="1888.0"/>
        <n v="376.0"/>
        <n v="234.0"/>
        <n v="486.0"/>
        <n v="122.0"/>
        <n v="1891.0"/>
        <n v="1167.0"/>
        <n v="2230.0"/>
        <n v="285.0"/>
        <n v="6454.0"/>
        <n v="410.0"/>
        <n v="100.0"/>
        <n v="164.0"/>
        <n v="1753.0"/>
        <n v="807.0"/>
        <n v="7514.0"/>
        <n v="1848.0"/>
        <n v="140.0"/>
        <n v="2009.0"/>
        <n v="969.0"/>
        <n v="1091.0"/>
        <n v="2056.0"/>
        <n v="590.0"/>
        <n v="1035.0"/>
        <n v="2465.0"/>
        <n v="252.0"/>
        <n v="1228.0"/>
        <n v="6856.0"/>
        <n v="7260.0"/>
        <n v="2090.0"/>
        <n v="488.0"/>
        <n v="308.0"/>
        <n v="97.0"/>
        <n v="6444.0"/>
        <n v="5307.0"/>
        <n v="3614.0"/>
        <n v="7284.0"/>
        <n v="360.0"/>
        <n v="784.0"/>
        <n v="32.0"/>
        <n v="475.0"/>
        <n v="2346.0"/>
        <n v="1934.0"/>
        <n v="819.0"/>
        <n v="5511.0"/>
        <n v="776.0"/>
        <n v="2651.0"/>
        <n v="653.0"/>
        <m/>
      </sharedItems>
    </cacheField>
    <cacheField name="Total Cost (INR)" numFmtId="0">
      <sharedItems containsString="0" containsBlank="1" containsNumber="1" containsInteger="1">
        <n v="415332.0"/>
        <n v="390930.0"/>
        <n v="69969.0"/>
        <n v="151226.0"/>
        <n v="169818.0"/>
        <n v="37101.0"/>
        <n v="161684.0"/>
        <n v="19920.0"/>
        <n v="63246.0"/>
        <n v="225013.0"/>
        <n v="31955.0"/>
        <n v="66400.0"/>
        <n v="98438.0"/>
        <n v="25315.0"/>
        <n v="178948.0"/>
        <n v="62997.0"/>
        <n v="303199.0"/>
        <n v="249083.0"/>
        <n v="39093.0"/>
        <n v="113710.0"/>
        <n v="400641.0"/>
        <n v="94703.0"/>
        <n v="65902.0"/>
        <n v="62167.0"/>
        <n v="267094.0"/>
        <n v="468120.0"/>
        <n v="152720.0"/>
        <n v="296974.0"/>
        <n v="22659.0"/>
        <n v="15770.0"/>
        <n v="70384.0"/>
        <n v="408194.0"/>
        <n v="181604.0"/>
        <n v="167992.0"/>
        <n v="216713.0"/>
        <n v="2822.0"/>
        <n v="195216.0"/>
        <n v="126326.0"/>
        <n v="69720.0"/>
        <n v="14774.0"/>
        <n v="14857.0"/>
        <n v="10209.0"/>
        <n v="58515.0"/>
        <n v="335901.0"/>
        <n v="493684.0"/>
        <n v="93458.0"/>
        <n v="59760.0"/>
        <n v="14691.0"/>
        <n v="381219.0"/>
        <n v="191149.0"/>
        <n v="439070.0"/>
        <n v="205010.0"/>
        <n v="12035.0"/>
        <n v="36022.0"/>
        <n v="132468.0"/>
        <n v="702844.0"/>
        <n v="151807.0"/>
        <n v="144337.0"/>
        <n v="122508.0"/>
        <n v="15355.0"/>
        <n v="28469.0"/>
        <n v="110888.0"/>
        <n v="600837.0"/>
        <n v="404210.0"/>
        <n v="11039.0"/>
        <n v="454010.0"/>
        <n v="13114.0"/>
        <n v="61005.0"/>
        <n v="37765.0"/>
        <n v="170482.0"/>
        <n v="16766.0"/>
        <n v="642171.0"/>
        <n v="41915.0"/>
        <n v="84909.0"/>
        <n v="13944.0"/>
        <n v="459737.0"/>
        <n v="102090.0"/>
        <n v="319135.0"/>
        <n v="266264.0"/>
        <n v="699524.0"/>
        <n v="245348.0"/>
        <n v="108564.0"/>
        <n v="221278.0"/>
        <n v="123504.0"/>
        <n v="390764.0"/>
        <n v="590628.0"/>
        <n v="423632.0"/>
        <n v="15189.0"/>
        <n v="200777.0"/>
        <n v="256968.0"/>
        <n v="250494.0"/>
        <n v="145914.0"/>
        <n v="103086.0"/>
        <n v="304610.0"/>
        <n v="238127.0"/>
        <n v="15272.0"/>
        <n v="25481.0"/>
        <n v="407281.0"/>
        <n v="71048.0"/>
        <n v="128567.0"/>
        <n v="190402.0"/>
        <n v="76028.0"/>
        <n v="213227.0"/>
        <n v="125662.0"/>
        <n v="29963.0"/>
        <n v="115121.0"/>
        <n v="462310.0"/>
        <n v="27058.0"/>
        <n v="57851.0"/>
        <n v="67562.0"/>
        <n v="83083.0"/>
        <n v="300626.0"/>
        <n v="288176.0"/>
        <n v="33947.0"/>
        <n v="29382.0"/>
        <n v="215302.0"/>
        <n v="230491.0"/>
        <n v="185588.0"/>
        <n v="120267.0"/>
        <n v="407198.0"/>
        <n v="88644.0"/>
        <n v="126492.0"/>
        <n v="40587.0"/>
        <n v="213808.0"/>
        <n v="463223.0"/>
        <n v="45235.0"/>
        <n v="165004.0"/>
        <n v="24568.0"/>
        <n v="382381.0"/>
        <n v="22078.0"/>
        <n v="362378.0"/>
        <n v="217128.0"/>
        <n v="309673.0"/>
        <n v="243688.0"/>
        <n v="527299.0"/>
        <n v="4648.0"/>
        <n v="210737.0"/>
        <n v="700686.0"/>
        <n v="51958.0"/>
        <n v="112631.0"/>
        <n v="98853.0"/>
        <n v="16351.0"/>
        <n v="63827.0"/>
        <n v="235803.0"/>
        <n v="103501.0"/>
        <n v="25813.0"/>
        <n v="21663.0"/>
        <n v="118192.0"/>
        <n v="441477.0"/>
        <n v="51211.0"/>
        <n v="156787.0"/>
        <n v="296061.0"/>
        <n v="32370.0"/>
        <n v="5976.0"/>
        <n v="391677.0"/>
        <n v="372587.0"/>
        <n v="45484.0"/>
        <n v="36603.0"/>
        <n v="132219.0"/>
        <n v="5644.0"/>
        <n v="26311.0"/>
        <n v="523564.0"/>
        <n v="17347.0"/>
        <n v="163925.0"/>
        <n v="685580.0"/>
        <n v="64989.0"/>
        <n v="50713.0"/>
        <n v="41417.0"/>
        <n v="70467.0"/>
        <n v="678608.0"/>
        <n v="319633.0"/>
        <n v="3818.0"/>
        <n v="37516.0"/>
        <n v="179280.0"/>
        <n v="52207.0"/>
        <n v="116283.0"/>
        <n v="58847.0"/>
        <n v="47476.0"/>
        <n v="14193.0"/>
        <n v="30959.0"/>
        <n v="81340.0"/>
        <n v="311748.0"/>
        <n v="139523.0"/>
        <n v="555270.0"/>
        <n v="7553.0"/>
        <n v="31623.0"/>
        <n v="4233.0"/>
        <n v="87067.0"/>
        <n v="60424.0"/>
        <n v="164174.0"/>
        <n v="201856.0"/>
        <n v="476337.0"/>
        <n v="73953.0"/>
        <n v="42662.0"/>
        <n v="49966.0"/>
        <n v="158364.0"/>
        <n v="175628.0"/>
        <n v="55195.0"/>
        <n v="19671.0"/>
        <n v="298800.0"/>
        <n v="146495.0"/>
        <n v="263774.0"/>
        <n v="379891.0"/>
        <n v="88478.0"/>
        <n v="576103.0"/>
        <n v="25647.0"/>
        <n v="421308.0"/>
        <n v="38014.0"/>
        <n v="274979.0"/>
        <n v="89225.0"/>
        <n v="25979.0"/>
        <n v="155791.0"/>
        <n v="572036.0"/>
        <n v="18343.0"/>
        <n v="397321.0"/>
        <n v="726665.0"/>
        <n v="101260.0"/>
        <n v="120765.0"/>
        <n v="55527.0"/>
        <n v="64823.0"/>
        <n v="479989.0"/>
        <n v="64076.0"/>
        <n v="20003.0"/>
        <n v="35524.0"/>
        <n v="90055.0"/>
        <n v="6391.0"/>
        <n v="139274.0"/>
        <n v="46895.0"/>
        <n v="361050.0"/>
        <n v="259458.0"/>
        <n v="94288.0"/>
        <n v="80178.0"/>
        <n v="474926.0"/>
        <n v="733139.0"/>
        <n v="340466.0"/>
        <n v="30793.0"/>
        <n v="428280.0"/>
        <n v="192477.0"/>
        <n v="8798.0"/>
        <n v="33034.0"/>
        <n v="258047.0"/>
        <n v="56191.0"/>
        <n v="34860.0"/>
        <n v="445627.0"/>
        <n v="35939.0"/>
        <n v="137780.0"/>
        <n v="60341.0"/>
        <n v="44737.0"/>
        <n v="242526.0"/>
        <n v="139938.0"/>
        <n v="9462.0"/>
        <n v="149317.0"/>
        <n v="299547.0"/>
        <n v="124417.0"/>
        <n v="527216.0"/>
        <n v="89308.0"/>
        <n v="294401.0"/>
        <n v="83996.0"/>
        <n v="117694.0"/>
        <n v="700354.0"/>
        <n v="44322.0"/>
        <n v="146246.0"/>
        <n v="12616.0"/>
        <n v="479408.0"/>
        <n v="84992.0"/>
        <n v="29216.0"/>
        <n v="484139.0"/>
        <n v="23157.0"/>
        <n v="45318.0"/>
        <n v="70135.0"/>
        <n v="76858.0"/>
        <n v="63412.0"/>
        <n v="136369.0"/>
        <n v="324613.0"/>
        <n v="56440.0"/>
        <n v="88063.0"/>
        <n v="536014.0"/>
        <n v="180940.0"/>
        <n v="487791.0"/>
        <n v="408526.0"/>
        <n v="18094.0"/>
        <n v="98106.0"/>
        <n v="38346.0"/>
        <n v="183679.0"/>
        <n v="9711.0"/>
        <n v="78518.0"/>
        <n v="49883.0"/>
        <n v="32868.0"/>
        <n v="85075.0"/>
        <n v="99517.0"/>
        <n v="44903.0"/>
        <n v="588968.0"/>
        <n v="387776.0"/>
        <n v="92213.0"/>
        <n v="30544.0"/>
        <n v="11122.0"/>
        <n v="99683.0"/>
        <n v="358477.0"/>
        <n v="32702.0"/>
        <n v="55112.0"/>
        <n v="292077.0"/>
        <n v="474594.0"/>
        <n v="19505.0"/>
        <n v="78352.0"/>
        <n v="42247.0"/>
        <n v="631547.0"/>
        <n v="59843.0"/>
        <n v="43741.0"/>
        <n v="6889.0"/>
        <n v="35275.0"/>
        <n v="270497.0"/>
        <n v="57685.0"/>
        <n v="59179.0"/>
        <n v="271244.0"/>
        <n v="266015.0"/>
        <n v="70218.0"/>
        <n v="481732.0"/>
        <n v="170731.0"/>
        <n v="135207.0"/>
        <n v="51377.0"/>
        <n v="2988.0"/>
        <n v="39010.0"/>
        <n v="44239.0"/>
        <n v="43658.0"/>
        <n v="19588.0"/>
        <n v="240866.0"/>
        <n v="458907.0"/>
        <n v="65653.0"/>
        <n v="122674.0"/>
        <n v="135788.0"/>
        <n v="386448.0"/>
        <n v="82668.0"/>
        <n v="48887.0"/>
        <n v="217709.0"/>
        <n v="35192.0"/>
        <n v="71214.0"/>
        <n v="24153.0"/>
        <n v="162597.0"/>
        <n v="204014.0"/>
        <n v="20999.0"/>
        <n v="64491.0"/>
        <n v="45816.0"/>
        <n v="383958.0"/>
        <n v="109145.0"/>
        <n v="110224.0"/>
        <n v="7470.0"/>
        <n v="325775.0"/>
        <n v="413423.0"/>
        <n v="17679.0"/>
        <n v="228416.0"/>
        <n v="53784.0"/>
        <n v="62416.0"/>
        <n v="6723.0"/>
        <n v="355489.0"/>
        <n v="83747.0"/>
        <n v="264023.0"/>
        <n v="188742.0"/>
        <n v="163344.0"/>
        <n v="8383.0"/>
        <n v="16434.0"/>
        <n v="267592.0"/>
        <n v="15853.0"/>
        <n v="162182.0"/>
        <n v="80759.0"/>
        <n v="450939.0"/>
        <n v="407779.0"/>
        <n v="68641.0"/>
        <n v="90221.0"/>
        <n v="48057.0"/>
        <n v="59096.0"/>
        <n v="150645.0"/>
        <n v="415498.0"/>
        <n v="295812.0"/>
        <n v="10458.0"/>
        <n v="488787.0"/>
        <n v="481068.0"/>
        <n v="443801.0"/>
        <n v="271825.0"/>
        <n v="440730.0"/>
        <n v="234558.0"/>
        <n v="19173.0"/>
        <n v="388274.0"/>
        <n v="233645.0"/>
        <n v="296227.0"/>
        <n v="234475.0"/>
        <n v="268505.0"/>
        <n v="401720.0"/>
        <n v="509205.0"/>
        <n v="496921.0"/>
        <n v="9877.0"/>
        <n v="15936.0"/>
        <n v="36935.0"/>
        <n v="679272.0"/>
        <n v="11288.0"/>
        <n v="64325.0"/>
        <n v="50879.0"/>
        <n v="230823.0"/>
        <n v="342209.0"/>
        <n v="79099.0"/>
        <n v="100928.0"/>
        <n v="478495.0"/>
        <n v="1743.0"/>
        <n v="232400.0"/>
        <n v="142511.0"/>
        <n v="257217.0"/>
        <n v="53120.0"/>
        <n v="47310.0"/>
        <n v="12699.0"/>
        <n v="62333.0"/>
        <n v="58764.0"/>
        <n v="106489.0"/>
        <n v="359473.0"/>
        <n v="302784.0"/>
        <n v="73040.0"/>
        <n v="34777.0"/>
        <n v="476669.0"/>
        <n v="367192.0"/>
        <n v="367856.0"/>
        <n v="59013.0"/>
        <n v="73289.0"/>
        <n v="83498.0"/>
        <n v="73870.0"/>
        <n v="622417.0"/>
        <n v="53037.0"/>
        <n v="78933.0"/>
        <n v="143590.0"/>
        <n v="99019.0"/>
        <n v="306519.0"/>
        <n v="176541.0"/>
        <n v="427948.0"/>
        <n v="36852.0"/>
        <n v="337063.0"/>
        <n v="169735.0"/>
        <n v="48306.0"/>
        <n v="177205.0"/>
        <n v="33366.0"/>
        <n v="97691.0"/>
        <n v="72708.0"/>
        <n v="49551.0"/>
        <n v="144254.0"/>
        <n v="66649.0"/>
        <n v="67645.0"/>
        <n v="323617.0"/>
        <n v="163759.0"/>
        <n v="397570.0"/>
        <n v="655617.0"/>
        <n v="358394.0"/>
        <n v="152222.0"/>
        <n v="473847.0"/>
        <n v="101509.0"/>
        <n v="46065.0"/>
        <n v="224764.0"/>
        <n v="46563.0"/>
        <n v="19339.0"/>
        <n v="69305.0"/>
        <n v="160439.0"/>
        <n v="16849.0"/>
        <n v="168407.0"/>
        <n v="84245.0"/>
        <n v="84079.0"/>
        <n v="325692.0"/>
        <n v="245514.0"/>
        <n v="109394.0"/>
        <n v="236550.0"/>
        <n v="3569.0"/>
        <n v="342624.0"/>
        <n v="125579.0"/>
        <n v="81921.0"/>
        <n v="70633.0"/>
        <n v="327767.0"/>
        <n v="39591.0"/>
        <n v="210322.0"/>
        <n v="60258.0"/>
        <n v="25149.0"/>
        <n v="6806.0"/>
        <n v="316977.0"/>
        <n v="215717.0"/>
        <n v="143839.0"/>
        <n v="446955.0"/>
        <n v="511114.0"/>
        <n v="97525.0"/>
        <n v="60590.0"/>
        <n v="91466.0"/>
        <n v="154131.0"/>
        <n v="40421.0"/>
        <n v="437825.0"/>
        <n v="181023.0"/>
        <n v="363457.0"/>
        <n v="69803.0"/>
        <n v="145665.0"/>
        <n v="105078.0"/>
        <n v="37931.0"/>
        <n v="492771.0"/>
        <n v="39840.0"/>
        <n v="518418.0"/>
        <n v="235305.0"/>
        <n v="36520.0"/>
        <n v="333660.0"/>
        <n v="225262.0"/>
        <n v="32204.0"/>
        <n v="269335.0"/>
        <n v="306685.0"/>
        <n v="32951.0"/>
        <n v="22244.0"/>
        <n v="41583.0"/>
        <n v="28801.0"/>
        <n v="15023.0"/>
        <n v="153716.0"/>
        <n v="279544.0"/>
        <n v="100347.0"/>
        <n v="16932.0"/>
        <n v="726333.0"/>
        <n v="48555.0"/>
        <n v="330921.0"/>
        <n v="47144.0"/>
        <n v="217045.0"/>
        <n v="103833.0"/>
        <n v="50049.0"/>
        <n v="17596.0"/>
        <n v="585150.0"/>
        <n v="35441.0"/>
        <n v="113212.0"/>
        <n v="669727.0"/>
        <n v="32536.0"/>
        <n v="5478.0"/>
        <n v="93292.0"/>
        <n v="517505.0"/>
        <n v="158115.0"/>
        <n v="144088.0"/>
        <n v="12201.0"/>
        <n v="52954.0"/>
        <n v="433011.0"/>
        <n v="271742.0"/>
        <n v="423715.0"/>
        <n v="68392.0"/>
        <n v="158447.0"/>
        <n v="38927.0"/>
        <n v="294152.0"/>
        <n v="600671.0"/>
        <n v="198951.0"/>
        <n v="95284.0"/>
        <n v="10541.0"/>
        <n v="468535.0"/>
        <n v="249913.0"/>
        <n v="747332.0"/>
        <n v="278050.0"/>
        <n v="273568.0"/>
        <n v="21995.0"/>
        <n v="22991.0"/>
        <n v="485467.0"/>
        <n v="21912.0"/>
        <n v="325858.0"/>
        <n v="20418.0"/>
        <n v="663170.0"/>
        <n v="13778.0"/>
        <n v="48472.0"/>
        <n v="226922.0"/>
        <n v="47393.0"/>
        <n v="328265.0"/>
        <n v="17430.0"/>
        <n v="98936.0"/>
        <n v="22825.0"/>
        <n v="87482.0"/>
        <n v="9960.0"/>
        <n v="70799.0"/>
        <n v="172059.0"/>
        <n v="143175.0"/>
        <n v="555104.0"/>
        <n v="453844.0"/>
        <n v="212314.0"/>
        <n v="72210.0"/>
        <n v="110390.0"/>
        <n v="72127.0"/>
        <n v="20335.0"/>
        <n v="90636.0"/>
        <n v="243605.0"/>
        <n v="73455.0"/>
        <n v="71712.0"/>
        <n v="207666.0"/>
        <n v="327850.0"/>
        <n v="11869.0"/>
        <n v="55444.0"/>
        <n v="160937.0"/>
        <n v="492605.0"/>
        <n v="154463.0"/>
        <n v="337229.0"/>
        <n v="152969.0"/>
        <n v="520742.0"/>
        <n v="263110.0"/>
        <n v="56108.0"/>
        <n v="30627.0"/>
        <n v="406700.0"/>
        <n v="115370.0"/>
        <n v="468452.0"/>
        <n v="156123.0"/>
        <n v="248502.0"/>
        <n v="422885.0"/>
        <n v="147906.0"/>
        <n v="372255.0"/>
        <n v="74285.0"/>
        <n v="171893.0"/>
        <n v="30710.0"/>
        <n v="57934.0"/>
        <n v="209077.0"/>
        <n v="135705.0"/>
        <n v="225760.0"/>
        <n v="145997.0"/>
        <n v="606149.0"/>
        <n v="39674.0"/>
        <n v="89972.0"/>
        <n v="58266.0"/>
        <n v="154629.0"/>
        <n v="239289.0"/>
        <n v="137531.0"/>
        <n v="77605.0"/>
        <n v="319799.0"/>
        <n v="131057.0"/>
        <n v="138693.0"/>
        <n v="14940.0"/>
        <n v="131721.0"/>
        <n v="376405.0"/>
        <n v="109477.0"/>
        <n v="129231.0"/>
        <n v="672466.0"/>
        <n v="78767.0"/>
        <n v="39259.0"/>
        <n v="152056.0"/>
        <n v="517422.0"/>
        <n v="180193.0"/>
        <n v="41998.0"/>
        <n v="52041.0"/>
        <n v="23323.0"/>
        <n v="313989.0"/>
        <n v="126077.0"/>
        <n v="39176.0"/>
        <n v="81008.0"/>
        <n v="667735.0"/>
        <n v="53369.0"/>
        <n v="19090.0"/>
        <n v="432098.0"/>
        <n v="168490.0"/>
        <n v="395744.0"/>
        <n v="302120.0"/>
        <n v="48721.0"/>
        <n v="7885.0"/>
        <n v="446872.0"/>
        <n v="1909.0"/>
        <n v="183928.0"/>
        <n v="12533.0"/>
        <n v="164340.0"/>
        <n v="312163.0"/>
        <n v="77937.0"/>
        <n v="29714.0"/>
        <n v="462061.0"/>
        <n v="495178.0"/>
        <n v="27888.0"/>
        <n v="33200.0"/>
        <n v="82751.0"/>
        <n v="25398.0"/>
        <n v="328680.0"/>
        <n v="54780.0"/>
        <n v="106904.0"/>
        <n v="265849.0"/>
        <n v="363291.0"/>
        <n v="190817.0"/>
        <n v="492190.0"/>
        <n v="253233.0"/>
        <n v="95367.0"/>
        <n v="193805.0"/>
        <n v="206172.0"/>
        <n v="280789.0"/>
        <n v="387444.0"/>
        <n v="226839.0"/>
        <n v="24236.0"/>
        <n v="539251.0"/>
        <n v="369184.0"/>
        <n v="572202.0"/>
        <n v="252071.0"/>
        <n v="53286.0"/>
        <n v="147076.0"/>
        <n v="14110.0"/>
        <n v="142013.0"/>
        <n v="339802.0"/>
        <n v="300377.0"/>
        <n v="241696.0"/>
        <n v="1162.0"/>
        <n v="562076.0"/>
        <n v="229163.0"/>
        <n v="580751.0"/>
        <n v="7138.0"/>
        <n v="219618.0"/>
        <n v="483226.0"/>
        <n v="98687.0"/>
        <n v="18260.0"/>
        <n v="8964.0"/>
        <n v="50796.0"/>
        <n v="340715.0"/>
        <n v="97857.0"/>
        <n v="307432.0"/>
        <n v="27556.0"/>
        <n v="384124.0"/>
        <n v="558756.0"/>
        <n v="227586.0"/>
        <n v="586976.0"/>
        <n v="627065.0"/>
        <n v="363872.0"/>
        <n v="87316.0"/>
        <n v="33781.0"/>
        <n v="166664.0"/>
        <n v="343205.0"/>
        <n v="103252.0"/>
        <n v="223104.0"/>
        <n v="146329.0"/>
        <n v="13031.0"/>
        <n v="67811.0"/>
        <n v="10873.0"/>
        <n v="246593.0"/>
        <n v="300958.0"/>
        <n v="43243.0"/>
        <n v="278880.0"/>
        <n v="165834.0"/>
        <n v="608307.0"/>
        <n v="242775.0"/>
        <n v="184758.0"/>
        <n v="393586.0"/>
        <n v="144918.0"/>
        <n v="63910.0"/>
        <n v="427533.0"/>
        <n v="149400.0"/>
        <n v="182434.0"/>
        <n v="451354.0"/>
        <n v="325360.0"/>
        <n v="18177.0"/>
        <n v="503229.0"/>
        <n v="177786.0"/>
        <n v="390100.0"/>
        <n v="28220.0"/>
        <n v="23074.0"/>
        <n v="512608.0"/>
        <n v="32038.0"/>
        <n v="65487.0"/>
        <n v="4565.0"/>
        <n v="177288.0"/>
        <n v="25232.0"/>
        <n v="57270.0"/>
        <n v="278631.0"/>
        <n v="601252.0"/>
        <n v="29133.0"/>
        <n v="149566.0"/>
        <n v="156040.0"/>
        <n v="320629.0"/>
        <n v="245182.0"/>
        <n v="408858.0"/>
        <n v="23406.0"/>
        <n v="307349.0"/>
        <n v="510118.0"/>
        <n v="30129.0"/>
        <n v="352667.0"/>
        <n v="277635.0"/>
        <n v="555436.0"/>
        <n v="142428.0"/>
        <n v="93790.0"/>
        <n v="360552.0"/>
        <n v="90802.0"/>
        <n v="162431.0"/>
        <n v="331502.0"/>
        <n v="75696.0"/>
        <n v="57104.0"/>
        <n v="26975.0"/>
        <n v="20501.0"/>
        <n v="37433.0"/>
        <n v="229329.0"/>
        <n v="36188.0"/>
        <n v="86071.0"/>
        <n v="300294.0"/>
        <n v="95948.0"/>
        <n v="11786.0"/>
        <n v="371840.0"/>
        <n v="174715.0"/>
        <n v="721519.0"/>
        <n v="155459.0"/>
        <n v="532279.0"/>
        <n v="430438.0"/>
        <n v="518335.0"/>
        <n v="334656.0"/>
        <n v="285603.0"/>
        <n v="137282.0"/>
        <n v="178035.0"/>
        <n v="49717.0"/>
        <n v="123255.0"/>
        <n v="98023.0"/>
        <n v="20584.0"/>
        <n v="185339.0"/>
        <n v="150479.0"/>
        <n v="8632.0"/>
        <n v="106157.0"/>
        <n v="24319.0"/>
        <n v="95035.0"/>
        <n v="187829.0"/>
        <n v="51875.0"/>
        <n v="566475.0"/>
        <n v="214306.0"/>
        <n v="379725.0"/>
        <n v="266347.0"/>
        <n v="50630.0"/>
        <n v="20833.0"/>
        <n v="33532.0"/>
        <n v="249996.0"/>
        <n v="270331.0"/>
        <n v="49385.0"/>
        <n v="171810.0"/>
        <n v="621836.0"/>
        <n v="82087.0"/>
        <n v="74451.0"/>
        <n v="98272.0"/>
        <n v="424130.0"/>
        <n v="294069.0"/>
        <n v="285022.0"/>
        <n v="444963.0"/>
        <n v="246178.0"/>
        <n v="25066.0"/>
        <n v="85739.0"/>
        <n v="219120.0"/>
        <n v="160771.0"/>
        <n v="429110.0"/>
        <n v="91300.0"/>
        <n v="36271.0"/>
        <n v="67396.0"/>
        <n v="52373.0"/>
        <n v="192892.0"/>
        <n v="416162.0"/>
        <n v="96114.0"/>
        <n v="5063.0"/>
        <n v="225345.0"/>
        <n v="289670.0"/>
        <n v="256719.0"/>
        <n v="27971.0"/>
        <n v="565811.0"/>
        <n v="241779.0"/>
        <n v="450275.0"/>
        <n v="156704.0"/>
        <n v="31208.0"/>
        <n v="19422.0"/>
        <n v="40338.0"/>
        <n v="10126.0"/>
        <n v="156953.0"/>
        <n v="96861.0"/>
        <n v="185090.0"/>
        <n v="23655.0"/>
        <n v="535682.0"/>
        <n v="34030.0"/>
        <n v="8300.0"/>
        <n v="13612.0"/>
        <n v="145499.0"/>
        <n v="66981.0"/>
        <n v="623662.0"/>
        <n v="153384.0"/>
        <n v="11620.0"/>
        <n v="166747.0"/>
        <n v="80427.0"/>
        <n v="90553.0"/>
        <n v="170648.0"/>
        <n v="48970.0"/>
        <n v="85905.0"/>
        <n v="204595.0"/>
        <n v="20916.0"/>
        <n v="101924.0"/>
        <n v="569048.0"/>
        <n v="602580.0"/>
        <n v="173470.0"/>
        <n v="40504.0"/>
        <n v="25564.0"/>
        <n v="8051.0"/>
        <n v="534852.0"/>
        <n v="440481.0"/>
        <n v="299962.0"/>
        <n v="604572.0"/>
        <n v="29880.0"/>
        <n v="65072.0"/>
        <n v="2656.0"/>
        <n v="39425.0"/>
        <n v="194718.0"/>
        <n v="160522.0"/>
        <n v="67977.0"/>
        <n v="457413.0"/>
        <n v="64408.0"/>
        <n v="220033.0"/>
        <n v="54199.0"/>
        <m/>
      </sharedItems>
    </cacheField>
    <cacheField name="Duration Hours" numFmtId="0">
      <sharedItems containsString="0" containsBlank="1" containsNumber="1">
        <n v="128.4999999999418"/>
        <n v="46.1333333333605"/>
        <n v="85.53333333326736"/>
        <n v="34.016666666662786"/>
        <n v="74.93333333329065"/>
        <n v="50.800000000046566"/>
        <n v="47.4833333332208"/>
        <n v="49.583333333430346"/>
        <n v="128.45000000012806"/>
        <n v="132.016666666721"/>
        <n v="78.70000000001164"/>
        <n v="86.6333333333605"/>
        <n v="66.50000000005821"/>
        <n v="56.53333333320916"/>
        <n v="102.93333333323244"/>
        <n v="98.38333333324408"/>
        <n v="135.06666666670935"/>
        <n v="60.899999999965075"/>
        <n v="31.883333333360497"/>
        <n v="85.69999999995343"/>
        <n v="50.20000000001164"/>
        <n v="107.88333333347691"/>
        <n v="90.733333333279"/>
        <n v="65.16666666674428"/>
        <n v="113.16666666674428"/>
        <n v="133.73333333339542"/>
        <n v="56.93333333329065"/>
        <n v="73.55000000016298"/>
        <n v="114.78333333326736"/>
        <n v="24.5166666667792"/>
        <n v="85.01666666666279"/>
        <n v="116.71666666661622"/>
        <n v="75.68333333329065"/>
        <n v="53.66666666662786"/>
        <n v="27.600000000034925"/>
        <n v="31.933333333174232"/>
        <n v="106.86666666681413"/>
        <n v="112.06666666682577"/>
        <n v="110.31666666670935"/>
        <n v="55.56666666670935"/>
        <n v="37.85000000009313"/>
        <n v="25.116666666639503"/>
        <n v="33.600000000034925"/>
        <n v="39.733333333279006"/>
        <n v="119.11666666675592"/>
        <n v="28.233333333337214"/>
        <n v="104.75000000005821"/>
        <n v="46.83333333337214"/>
        <n v="33.66666666674428"/>
        <n v="79.61666666669771"/>
        <n v="116.06666666659294"/>
        <n v="137.18333333329065"/>
        <n v="32.46666666667443"/>
        <n v="65.31666666653473"/>
        <n v="90.5999999998603"/>
        <n v="131.05000000004657"/>
        <n v="136.1333333333605"/>
        <n v="49.43333333329065"/>
        <n v="68.49999999994179"/>
        <n v="143.58333333337214"/>
        <n v="37.816666666651145"/>
        <n v="98.96666666655801"/>
        <n v="130.7666666666628"/>
        <n v="117.66666666674428"/>
        <n v="42.46666666661622"/>
        <n v="64.1166666666395"/>
        <n v="29.93333333346527"/>
        <n v="133.03333333338378"/>
        <n v="103.28333333332557"/>
        <n v="134.76666666660458"/>
        <n v="110.36666666652309"/>
        <n v="58.066666666651145"/>
        <n v="111.75"/>
        <n v="103.56666666653473"/>
        <n v="41.91666666674428"/>
        <n v="119.44999999995343"/>
        <n v="50.78333333332557"/>
        <n v="78.45000000006985"/>
        <n v="100.08333333337214"/>
        <n v="87.016666666721"/>
        <n v="125.33333333325572"/>
        <n v="64.98333333333721"/>
        <n v="86.49999999994179"/>
        <n v="55.54999999998836"/>
        <n v="42.18333333323244"/>
        <n v="93.11666666669771"/>
        <n v="90.11666666669771"/>
        <n v="63.68333333329065"/>
        <n v="103.68333333323244"/>
        <n v="26.616666666639503"/>
        <n v="51.98333333339542"/>
        <n v="137.26666666654637"/>
        <n v="113.51666666666279"/>
        <n v="108.20000000012806"/>
        <n v="127.38333333347691"/>
        <n v="96.24999999994179"/>
        <n v="69.63333333330229"/>
        <n v="85.80000000010477"/>
        <n v="135.03333333326736"/>
        <n v="48.21666666667443"/>
        <n v="104.49999999994179"/>
        <n v="48.84999999997672"/>
        <n v="63.199999999953434"/>
        <n v="91.8666666666395"/>
        <n v="64.91666666680248"/>
        <n v="96.68333333329065"/>
        <n v="63.600000000034925"/>
        <n v="129.2666666666628"/>
        <n v="29.366666666523088"/>
        <n v="57.18333333340706"/>
        <n v="74.983333333279"/>
        <n v="114.26666666666279"/>
        <n v="29.71666666661622"/>
        <n v="130.1500000000815"/>
        <n v="53.116666666581295"/>
        <n v="54.40000000008149"/>
        <n v="96.06666666670935"/>
        <n v="47.53333333338378"/>
        <n v="105.66666666674428"/>
        <n v="141.0"/>
        <n v="63.45000000006985"/>
        <n v="123.30000000010477"/>
        <n v="90.2333333332208"/>
        <n v="67.30000000004657"/>
        <n v="32.31666666653473"/>
        <n v="85.75000000011642"/>
        <n v="33.03333333344199"/>
        <n v="132.65000000002328"/>
        <n v="128.7500000000582"/>
        <n v="84.43333333334886"/>
        <n v="131.95000000001164"/>
        <n v="78.733333333279"/>
        <n v="45.09999999997672"/>
        <n v="142.18333333334886"/>
        <n v="70.33333333331393"/>
        <n v="93.81666666670935"/>
        <n v="40.59999999997672"/>
        <n v="97.55000000016298"/>
        <n v="93.33333333319752"/>
        <n v="89.0166666667792"/>
        <n v="130.20000000006985"/>
        <n v="74.86666666675592"/>
        <n v="102.31666666665114"/>
        <n v="32.8499999998603"/>
        <n v="98.60000000009313"/>
        <n v="96.766666666721"/>
        <n v="96.30000000010477"/>
        <n v="37.233333333337214"/>
        <n v="81.96666666667443"/>
        <n v="91.28333333332557"/>
        <n v="94.56666666670935"/>
        <n v="53.54999999993015"/>
        <n v="30.683333333290648"/>
        <n v="62.500000000116415"/>
        <n v="70.18333333334886"/>
        <n v="40.999999999883585"/>
        <n v="29.433333333407063"/>
        <n v="106.43333333329065"/>
        <n v="119.68333333334886"/>
        <n v="80.6333333333605"/>
        <n v="85.98333333333721"/>
        <n v="131.53333333338378"/>
        <n v="40.516666666720994"/>
        <n v="83.78333333332557"/>
        <n v="105.16666666668607"/>
        <n v="82.01666666666279"/>
        <n v="79.5"/>
        <n v="24.216666666674428"/>
        <n v="72.31666666665114"/>
        <n v="105.86666666669771"/>
        <n v="104.31666666670935"/>
        <n v="85.56666666653473"/>
        <n v="24.81666666653473"/>
        <n v="82.61666666669771"/>
        <n v="67.64999999996508"/>
        <n v="71.36666666652309"/>
        <n v="127.96666666679084"/>
        <n v="50.29999999998836"/>
        <n v="102.35000000009313"/>
        <n v="77.59999999991851"/>
        <n v="142.68333333340706"/>
        <n v="110.75000000005821"/>
        <n v="116.63333333318587"/>
        <n v="70.43333333329065"/>
        <n v="102.46666666679084"/>
        <n v="42.40000000008149"/>
        <n v="92.96666666655801"/>
        <n v="38.399999999965075"/>
        <n v="55.44999999983702"/>
        <n v="105.93333333340706"/>
        <n v="42.29999999993015"/>
        <n v="111.19999999995343"/>
        <n v="31.116666666639503"/>
        <n v="68.93333333346527"/>
        <n v="118.01666666666279"/>
        <n v="66.733333333279"/>
        <n v="56.41666666668607"/>
        <n v="126.08333333325572"/>
        <n v="118.41666666656965"/>
        <n v="107.55000000010477"/>
        <n v="120.91666666668607"/>
        <n v="65.6333333333605"/>
        <n v="141.8666666666977"/>
        <n v="92.41666666668607"/>
        <n v="32.6166666666395"/>
        <n v="133.3833333334769"/>
        <n v="139.45000000001164"/>
        <n v="53.94999999983702"/>
        <n v="115.06666666665114"/>
        <n v="136.1166666666395"/>
        <n v="41.45000000012806"/>
        <n v="93.1500000001397"/>
        <n v="44.6166666666395"/>
        <n v="119.25"/>
        <n v="110.49999999994179"/>
        <n v="111.08333333325572"/>
        <n v="77.90000000002328"/>
        <n v="34.533333333267365"/>
        <n v="99.83333333325572"/>
        <n v="36.76666666654637"/>
        <n v="127.76666666666279"/>
        <n v="75.5166666667792"/>
        <n v="61.21666666679084"/>
        <n v="49.58333333325572"/>
        <n v="135.3499999999185"/>
        <n v="109.03333333320916"/>
        <n v="139.08333333337214"/>
        <n v="130.96666666661622"/>
        <n v="32.36666666669771"/>
        <n v="50.916666666569654"/>
        <n v="62.08333333331393"/>
        <n v="133.2500000000582"/>
        <n v="44.83333333331393"/>
        <n v="114.733333333279"/>
        <n v="74.36666666669771"/>
        <n v="104.36666666669771"/>
        <n v="89.18333333329065"/>
        <n v="139.64999999996508"/>
        <n v="34.68333333340706"/>
        <n v="142.7666666666628"/>
        <n v="38.4000000001397"/>
        <n v="66.21666666667443"/>
        <n v="109.99999999988358"/>
        <n v="82.41666666674428"/>
        <n v="64.7333333332208"/>
        <n v="65.41666666668607"/>
        <n v="82.8666666666395"/>
        <n v="53.53333333338378"/>
        <n v="47.050000000046566"/>
        <n v="73.2666666667792"/>
        <n v="138.2666666666628"/>
        <n v="112.54999999998836"/>
        <n v="129.81666666670935"/>
        <n v="45.1500000001397"/>
        <n v="58.933333333348855"/>
        <n v="56.11666666675592"/>
        <n v="86.53333333320916"/>
        <n v="111.86666666669771"/>
        <n v="116.13333333330229"/>
        <n v="118.8666666666395"/>
        <n v="71.60000000009313"/>
        <n v="129.44999999989523"/>
        <n v="47.91666666674428"/>
        <n v="94.8833333333605"/>
        <n v="120.0"/>
        <n v="29.83333333331393"/>
        <n v="82.99999999988358"/>
        <n v="137.46666666667443"/>
        <n v="136.75000000011642"/>
        <n v="43.26666666660458"/>
        <n v="68.26666666654637"/>
        <n v="110.11666666675592"/>
        <n v="40.48333333345363"/>
        <n v="89.58333333337214"/>
        <n v="45.783333333267365"/>
        <n v="53.266666666720994"/>
        <n v="78.84999999997672"/>
        <n v="88.43333333329065"/>
        <n v="59.683333333348855"/>
        <n v="109.98333333333721"/>
        <n v="53.59999999991851"/>
        <n v="128.1333333333023"/>
        <n v="124.94999999989523"/>
        <n v="55.5"/>
        <n v="62.18333333346527"/>
        <n v="71.39999999996508"/>
        <n v="39.51666666660458"/>
        <n v="70.89999999990687"/>
        <n v="142.79999999993015"/>
        <n v="79.06666666665114"/>
        <n v="108.3833333333605"/>
        <n v="62.46666666667443"/>
        <n v="60.70000000001164"/>
        <n v="111.33333333337214"/>
        <n v="125.54999999993015"/>
        <n v="123.70000000001164"/>
        <n v="129.51666666660458"/>
        <n v="118.96666666679084"/>
        <n v="37.08333333337214"/>
        <n v="93.41666666662786"/>
        <n v="46.36666666675592"/>
        <n v="52.816666666651145"/>
        <n v="46.03333333338378"/>
        <n v="118.10000000009313"/>
        <n v="86.98333333345363"/>
        <n v="43.28333333332557"/>
        <n v="39.3666666666395"/>
        <n v="37.71666666667443"/>
        <n v="94.35000000003492"/>
        <n v="82.516666666721"/>
        <n v="106.31666666659294"/>
        <n v="135.1166666666977"/>
        <n v="39.86666666669771"/>
        <n v="30.600000000034925"/>
        <n v="117.08333333343035"/>
        <n v="105.01666666654637"/>
        <n v="140.66666666662786"/>
        <n v="120.46666666661622"/>
        <n v="92.04999999987194"/>
        <n v="103.30000000004657"/>
        <n v="57.41666666662786"/>
        <n v="57.50000000005821"/>
        <n v="91.39999999984866"/>
        <n v="116.38333333324408"/>
        <n v="34.3499999998603"/>
        <n v="44.46666666667443"/>
        <n v="73.45000000001164"/>
        <n v="32.58333333337214"/>
        <n v="64.40000000002328"/>
        <n v="34.89999999990687"/>
        <n v="103.16666666662786"/>
        <n v="100.80000000010477"/>
        <n v="129.68333333329065"/>
        <n v="41.050000000046566"/>
        <n v="70.516666666721"/>
        <n v="72.39999999990687"/>
        <n v="142.3499999998603"/>
        <n v="72.11666666669771"/>
        <n v="91.43333333346527"/>
        <n v="104.41666666651145"/>
        <n v="98.75000000005821"/>
        <n v="29.933333333290648"/>
        <n v="88.91666666662786"/>
        <n v="115.21666666679084"/>
        <n v="45.766666666720994"/>
        <n v="117.19999999995343"/>
        <n v="139.88333333318587"/>
        <n v="74.59999999991851"/>
        <n v="139.68333333323244"/>
        <n v="36.29999999993015"/>
        <n v="115.8833333333605"/>
        <n v="38.233333333279006"/>
        <n v="25.516666666720994"/>
        <n v="45.833333333430346"/>
        <n v="87.41666666662786"/>
        <n v="116.08333333331393"/>
        <n v="130.483333333279"/>
        <n v="92.29999999998836"/>
        <n v="107.83333333331393"/>
        <n v="50.36666666669771"/>
        <n v="119.983333333279"/>
        <n v="27.0"/>
        <n v="59.06666666676756"/>
        <n v="31.366666666581295"/>
        <n v="41.283333333267365"/>
        <n v="50.28333333344199"/>
        <n v="54.41666666662786"/>
        <n v="109.14999999990687"/>
        <n v="46.10000000009313"/>
        <n v="36.483333333337214"/>
        <n v="64.31666666659294"/>
        <n v="106.56666666670935"/>
        <n v="68.56666666665114"/>
        <n v="48.63333333330229"/>
        <n v="131.66666666662786"/>
        <n v="32.81666666659294"/>
        <n v="71.36666666669771"/>
        <n v="127.80000000010477"/>
        <n v="137.983333333279"/>
        <n v="123.83333333325572"/>
        <n v="105.55000000004657"/>
        <n v="61.16666666662786"/>
        <n v="121.38333333347691"/>
        <n v="108.78333333326736"/>
        <n v="32.34999999997672"/>
        <n v="124.28333333332557"/>
        <n v="49.816666666651145"/>
        <n v="53.333333333430346"/>
        <n v="44.15000000002328"/>
        <n v="68.29999999998836"/>
        <n v="124.81666666665114"/>
        <n v="73.1333333333605"/>
        <n v="91.93333333334886"/>
        <n v="104.06666666676756"/>
        <n v="28.316666666592937"/>
        <n v="108.53333333332557"/>
        <n v="126.35000000009313"/>
        <n v="113.88333333347691"/>
        <n v="80.16666666656965"/>
        <n v="101.93333333346527"/>
        <n v="35.01666666660458"/>
        <n v="120.03333333326736"/>
        <n v="103.29999999987194"/>
        <n v="49.649999999965075"/>
        <n v="81.93333333340706"/>
        <n v="28.033333333209157"/>
        <n v="92.91666666674428"/>
        <n v="48.3666666666395"/>
        <n v="82.88333333318587"/>
        <n v="83.56666666665114"/>
        <n v="118.81666666665114"/>
        <n v="112.41666666674428"/>
        <n v="134.233333333279"/>
        <n v="26.966666666732635"/>
        <n v="92.70000000006985"/>
        <n v="137.08333333331393"/>
        <n v="139.69999999995343"/>
        <n v="93.766666666721"/>
        <n v="103.15000000008149"/>
        <n v="123.0"/>
        <n v="68.83333333331393"/>
        <n v="48.71666666655801"/>
        <n v="74.3833333334187"/>
        <n v="109.88333333318587"/>
        <n v="54.81666666653473"/>
        <n v="132.71666666673264"/>
        <n v="45.600000000034925"/>
        <n v="138.44999999989523"/>
        <n v="87.21666666667443"/>
        <n v="132.1166666666977"/>
        <n v="45.86666666652309"/>
        <n v="92.96666666673264"/>
        <n v="142.95000000006985"/>
        <n v="45.96666666667443"/>
        <n v="97.3666666665813"/>
        <n v="45.18333333340706"/>
        <n v="128.96666666673264"/>
        <n v="98.233333333279"/>
        <n v="65.83333333331393"/>
        <n v="84.06666666653473"/>
        <n v="134.06666666659294"/>
        <n v="103.16666666680248"/>
        <n v="132.68333333346527"/>
        <n v="143.7666666667792"/>
        <n v="114.53333333332557"/>
        <n v="30.533333333325572"/>
        <n v="101.86666666675592"/>
        <n v="124.43333333329065"/>
        <n v="124.38333333330229"/>
        <n v="132.3666666666395"/>
        <n v="81.06666666653473"/>
        <n v="37.466666666732635"/>
        <n v="110.05000000004657"/>
        <n v="142.8666666666395"/>
        <n v="101.65000000008149"/>
        <n v="55.68333333323244"/>
        <n v="85.516666666721"/>
        <n v="128.43333333323244"/>
        <n v="137.90000000002328"/>
        <n v="99.24999999994179"/>
        <n v="143.55000000010477"/>
        <n v="134.66666666662786"/>
        <n v="114.89999999996508"/>
        <n v="64.19999999989523"/>
        <n v="73.28333333332557"/>
        <n v="69.33333333337214"/>
        <n v="57.11666666669771"/>
        <n v="46.40000000002328"/>
        <n v="116.91666666656965"/>
        <n v="110.06666666676756"/>
        <n v="122.31666666670935"/>
        <n v="84.14999999996508"/>
        <n v="64.54999999998836"/>
        <n v="114.24999999994179"/>
        <n v="123.016666666721"/>
        <n v="26.83333333331393"/>
        <n v="133.41666666674428"/>
        <n v="44.31666666670935"/>
        <n v="107.6333333333605"/>
        <n v="85.45000000001164"/>
        <n v="77.18333333329065"/>
        <n v="107.36666666652309"/>
        <n v="141.4000000000815"/>
        <n v="81.43333333334886"/>
        <n v="125.4000000001397"/>
        <n v="46.53333333344199"/>
        <n v="35.03333333332557"/>
        <n v="26.733333333337214"/>
        <n v="78.09999999997672"/>
        <n v="32.91666666674428"/>
        <n v="71.983333333279"/>
        <n v="88.1166666666395"/>
        <n v="96.9833333332208"/>
        <n v="104.58333333337214"/>
        <n v="86.44999999995343"/>
        <n v="113.73333333333721"/>
        <n v="26.266666666720994"/>
        <n v="69.0"/>
        <n v="71.80000000004657"/>
        <n v="104.10000000003492"/>
        <n v="99.53333333332557"/>
        <n v="42.88333333324408"/>
        <n v="46.233333333337214"/>
        <n v="69.56666666659294"/>
        <n v="105.11666666669771"/>
        <n v="37.8666666666395"/>
        <n v="53.90000000002328"/>
        <n v="61.58333333325572"/>
        <n v="135.23333333339542"/>
        <n v="88.78333333320916"/>
        <n v="132.06666666653473"/>
        <n v="31.73333333339542"/>
        <n v="52.56666666653473"/>
        <n v="96.70000000001164"/>
        <n v="38.01666666660458"/>
        <n v="54.416666666802485"/>
        <n v="25.400000000023283"/>
        <n v="137.06666666659294"/>
        <n v="102.31666666682577"/>
        <n v="142.35000000003492"/>
        <n v="41.93333333329065"/>
        <n v="60.783333333267365"/>
        <n v="61.06666666682577"/>
        <n v="52.8833333333605"/>
        <n v="87.733333333279"/>
        <n v="57.84999999997672"/>
        <n v="130.1166666666395"/>
        <n v="73.63333333324408"/>
        <n v="33.93333333323244"/>
        <n v="87.26666666666279"/>
        <n v="68.51666666666279"/>
        <n v="74.73333333333721"/>
        <n v="70.98333333333721"/>
        <n v="64.66666666668607"/>
        <n v="83.21666666655801"/>
        <n v="37.91666666662786"/>
        <n v="75.79999999998836"/>
        <n v="133.13333333318587"/>
        <n v="134.90000000002328"/>
        <n v="141.2499999999418"/>
        <n v="45.53333333332557"/>
        <n v="45.016666666720994"/>
        <n v="24.266666666662786"/>
        <n v="127.1166666666395"/>
        <n v="113.00000000005821"/>
        <n v="87.18333333323244"/>
        <n v="28.66666666668607"/>
        <n v="63.41666666662786"/>
        <n v="119.66666666662786"/>
        <n v="80.4000000001397"/>
        <n v="118.76666666666279"/>
        <n v="26.049999999871943"/>
        <n v="43.066666666651145"/>
        <n v="130.46666666673264"/>
        <n v="143.31666666670935"/>
        <n v="128.15000000002328"/>
        <n v="110.36666666669771"/>
        <n v="72.1500000001397"/>
        <n v="103.45000000001164"/>
        <n v="79.2666666667792"/>
        <n v="57.86666666669771"/>
        <n v="93.28333333320916"/>
        <n v="89.266666666721"/>
        <n v="88.88333333318587"/>
        <n v="143.4999999999418"/>
        <n v="27.9833333332208"/>
        <n v="83.43333333323244"/>
        <n v="90.08333333343035"/>
        <n v="98.81666666659294"/>
        <n v="126.06666666670935"/>
        <n v="139.533333333442"/>
        <n v="40.649999999965075"/>
        <n v="31.283333333325572"/>
        <n v="53.33333333325572"/>
        <n v="40.983333333337214"/>
        <n v="120.98333333339542"/>
        <n v="58.816666666651145"/>
        <n v="37.15000000008149"/>
        <n v="112.64999999996508"/>
        <n v="66.78333333344199"/>
        <n v="35.983333333279006"/>
        <n v="34.28333333332557"/>
        <n v="109.53333333326736"/>
        <n v="74.46666666667443"/>
        <n v="30.70000000001164"/>
        <n v="143.1166666665813"/>
        <n v="69.99999999994179"/>
        <n v="109.63333333324408"/>
        <n v="27.766666666720994"/>
        <n v="79.83333333319752"/>
        <n v="35.733333333337214"/>
        <n v="115.5"/>
        <n v="100.516666666721"/>
        <n v="61.25000000005821"/>
        <n v="71.00000000005821"/>
        <n v="112.8833333333605"/>
        <n v="82.90000000008149"/>
        <n v="129.16666666668607"/>
        <n v="61.483333333279006"/>
        <n v="132.58333333331393"/>
        <n v="24.016666666720994"/>
        <n v="103.91666666680248"/>
        <n v="102.60000000003492"/>
        <n v="46.15000000008149"/>
        <n v="136.18333333334886"/>
        <n v="31.400000000023283"/>
        <n v="55.26666666660458"/>
        <n v="65.25"/>
        <n v="101.45000000012806"/>
        <n v="98.51666666666279"/>
        <n v="41.15000000002328"/>
        <n v="107.36666666669771"/>
        <n v="66.51666666660458"/>
        <n v="119.05000000004657"/>
        <n v="111.38333333318587"/>
        <n v="110.79999999987194"/>
        <n v="96.1333333334187"/>
        <n v="55.983333333337214"/>
        <n v="82.69999999995343"/>
        <n v="85.29999999987194"/>
        <n v="142.7499999999418"/>
        <n v="26.800000000046566"/>
        <n v="98.64999999990687"/>
        <n v="59.916666666569654"/>
        <n v="25.100000000093132"/>
        <n v="77.46666666667443"/>
        <n v="45.28333333338378"/>
        <n v="35.48333333339542"/>
        <n v="37.933333333348855"/>
        <n v="99.94999999995343"/>
        <n v="82.54999999998836"/>
        <n v="37.300000000046566"/>
        <n v="92.68333333334886"/>
        <n v="135.65000000002328"/>
        <n v="113.96666666655801"/>
        <n v="125.28333333326736"/>
        <n v="127.30000000004657"/>
        <n v="38.33333333325572"/>
        <n v="129.96666666667443"/>
        <n v="31.700000000128057"/>
        <n v="117.09999999997672"/>
        <n v="115.24999999988358"/>
        <n v="66.63333333347691"/>
        <n v="46.633333333418705"/>
        <n v="38.216666666732635"/>
        <n v="128.983333333279"/>
        <n v="122.46666666667443"/>
        <n v="40.300000000046566"/>
        <n v="55.183333333348855"/>
        <n v="89.95000000001164"/>
        <n v="118.25000000005821"/>
        <n v="54.68333333329065"/>
        <n v="65.18333333329065"/>
        <n v="44.916666666569654"/>
        <n v="64.01666666666279"/>
        <n v="50.31666666670935"/>
        <n v="143.44999999995343"/>
        <n v="84.31666666665114"/>
        <n v="66.79999999998836"/>
        <n v="93.26666666666279"/>
        <n v="55.93333333317423"/>
        <n v="70.26666666660458"/>
        <n v="90.18333333340706"/>
        <n v="115.81666666665114"/>
        <n v="100.21666666661622"/>
        <n v="133.9833333333372"/>
        <n v="90.03333333326736"/>
        <n v="119.71666666661622"/>
        <n v="62.78333333332557"/>
        <n v="106.59999999997672"/>
        <n v="101.03333333332557"/>
        <n v="98.73333333333721"/>
        <n v="67.93333333334886"/>
        <n v="35.54999999993015"/>
        <n v="115.64999999996508"/>
        <n v="114.04999999998836"/>
        <n v="42.733333333279006"/>
        <n v="67.61666666652309"/>
        <n v="122.18333333329065"/>
        <n v="27.016666666720994"/>
        <n v="113.71666666661622"/>
        <n v="90.71666666655801"/>
        <n v="73.56666666653473"/>
        <n v="25.15000000008149"/>
        <n v="31.26666666660458"/>
        <n v="131.43333333340706"/>
        <n v="69.39999999990687"/>
        <n v="101.49999999994179"/>
        <n v="67.75000000011642"/>
        <n v="124.71666666667443"/>
        <n v="103.61666666669771"/>
        <n v="128.64999999990687"/>
        <n v="109.29999999987194"/>
        <n v="102.65000000002328"/>
        <n v="72.78333333344199"/>
        <n v="89.01666666660458"/>
        <n v="69.65000000002328"/>
        <n v="129.29999999993015"/>
        <n v="39.24999999994179"/>
        <n v="96.14999999996508"/>
        <n v="71.28333333344199"/>
        <n v="105.58333333331393"/>
        <n v="37.78333333338378"/>
        <n v="88.19999999989523"/>
        <n v="130.85000000009313"/>
        <n v="94.81666666665114"/>
        <n v="49.03333333338378"/>
        <n v="48.53333333332557"/>
        <n v="122.53333333338378"/>
        <n v="130.28333333332557"/>
        <n v="51.5166666667792"/>
        <n v="99.83333333343035"/>
        <n v="80.33333333343035"/>
        <n v="106.8666666666395"/>
        <n v="132.13333333324408"/>
        <n v="70.46666666655801"/>
        <n v="52.56666666670935"/>
        <n v="116.33333333325572"/>
        <n v="63.0"/>
        <n v="116.96666666655801"/>
        <n v="59.13333333330229"/>
        <n v="36.41666666662786"/>
        <n v="67.04999999993015"/>
        <n v="126.95000000012806"/>
        <n v="135.60000000003492"/>
        <n v="143.30000000016298"/>
        <n v="25.5"/>
        <n v="80.26666666654637"/>
        <n v="115.56666666653473"/>
        <n v="95.76666666660458"/>
        <n v="64.79999999993015"/>
        <n v="139.516666666721"/>
        <n v="63.91666666668607"/>
        <n v="75.55000000004657"/>
        <n v="52.983333333337214"/>
        <n v="90.98333333339542"/>
        <n v="50.90000000002328"/>
        <n v="38.283333333267365"/>
        <n v="114.78333333344199"/>
        <n v="115.91666666662786"/>
        <n v="28.61666666669771"/>
        <n v="60.41666666662786"/>
        <n v="142.10000000009313"/>
        <n v="90.96666666667443"/>
        <n v="90.44999999989523"/>
        <n v="61.74999999994179"/>
        <n v="135.56666666659294"/>
        <n v="42.68333333329065"/>
        <n v="117.3666666666395"/>
        <n v="137.8666666665813"/>
        <n v="112.43333333329065"/>
        <n v="110.18333333329065"/>
        <n v="121.35000000003492"/>
        <n v="122.91666666674428"/>
        <n v="89.4833333332208"/>
        <n v="26.233333333279006"/>
        <n v="54.71666666655801"/>
        <n v="126.766666666721"/>
        <n v="87.65000000002328"/>
        <n v="81.75"/>
        <n v="131.21666666673264"/>
        <n v="106.5"/>
        <n v="74.68333333317423"/>
        <n v="120.31666666665114"/>
        <n v="72.30000000010477"/>
        <n v="104.16666666656965"/>
        <n v="120.14999999996508"/>
        <n v="134.66666666680248"/>
        <n v="140.18333333329065"/>
        <n v="113.28333333344199"/>
        <n v="118.40000000002328"/>
        <n v="82.04999999993015"/>
        <n v="33.53333333332557"/>
        <n v="116.8666666665813"/>
        <n v="124.483333333279"/>
        <n v="46.68333333340706"/>
        <n v="33.51666666660458"/>
        <n v="76.00000000011642"/>
        <n v="132.14999999996508"/>
        <n v="57.149999999965075"/>
        <n v="32.31666666670935"/>
        <n v="96.53333333332557"/>
        <n v="25.2666666667792"/>
        <n v="85.64999999996508"/>
        <n v="106.53333333344199"/>
        <n v="113.34999999997672"/>
        <n v="118.38333333330229"/>
        <n v="93.03333333326736"/>
        <n v="53.03333333332557"/>
        <n v="28.04999999993015"/>
        <n v="38.13333333330229"/>
        <n v="50.25"/>
        <n v="58.8666666666395"/>
        <n v="99.54999999987194"/>
        <n v="63.99999999994179"/>
        <n v="134.216666666558"/>
        <n v="43.21666666661622"/>
        <n v="111.3833333333605"/>
        <n v="85.84999999991851"/>
        <n v="32.21666666655801"/>
        <n v="40.54999999998836"/>
        <n v="113.80000000004657"/>
        <n v="136.16666666662786"/>
        <n v="77.53333333320916"/>
        <n v="42.04999999998836"/>
        <n v="104.983333333279"/>
        <n v="49.533333333267365"/>
        <n v="97.38333333330229"/>
        <n v="44.850000000034925"/>
        <n v="70.81666666665114"/>
        <n v="55.249999999883585"/>
        <n v="82.81666666665114"/>
        <n v="113.29999999998836"/>
        <n v="57.3666666666395"/>
        <n v="120.6166666665813"/>
        <n v="92.0166666667792"/>
        <n v="98.08333333331393"/>
        <n v="49.41666666674428"/>
        <n v="50.6166666666395"/>
        <n v="93.01666666654637"/>
        <n v="35.43333333340706"/>
        <n v="137.20000000001164"/>
        <n v="116.6166666666395"/>
        <n v="142.40000000002328"/>
        <n v="67.08333333337214"/>
        <n v="127.46666666673264"/>
        <n v="69.3833333333605"/>
        <n v="48.51666666660458"/>
        <n v="115.56666666670935"/>
        <n v="31.233333333337214"/>
        <n v="64.8666666666395"/>
        <n v="67.73333333339542"/>
        <n v="73.95000000006985"/>
        <n v="133.43333333329065"/>
        <n v="36.250000000116415"/>
        <n v="82.8833333333605"/>
        <n v="48.75"/>
        <n v="123.53333333332557"/>
        <n v="60.81666666653473"/>
        <n v="123.65000000002328"/>
        <n v="126.1333333334187"/>
        <n v="31.54999999998836"/>
        <n v="107.8666666665813"/>
        <n v="106.85000000009313"/>
        <n v="63.266666666662786"/>
        <n v="32.7666666667792"/>
        <n v="50.83333333331393"/>
        <n v="95.7666666667792"/>
        <n v="93.34999999991851"/>
        <n v="111.49999999988358"/>
        <n v="46.61666666669771"/>
        <n v="74.83333333331393"/>
        <n v="62.75000000005821"/>
        <n v="101.36666666669771"/>
        <n v="35.800000000046566"/>
        <n v="94.1166666666395"/>
        <n v="56.48333333339542"/>
        <n v="70.73333333339542"/>
        <n v="133.56666666653473"/>
        <n v="82.03333333338378"/>
        <n v="81.6166666665813"/>
        <n v="105.94999999995343"/>
        <n v="52.583333333430346"/>
        <n v="133.21666666661622"/>
        <n v="134.43333333340706"/>
        <n v="131.3833333334187"/>
        <n v="29.750000000058208"/>
        <n v="93.88333333324408"/>
        <n v="48.86666666669771"/>
        <n v="65.75000000005821"/>
        <n v="38.449999999953434"/>
        <n v="103.84999999991851"/>
        <n v="34.01666666683741"/>
        <n v="60.733333333279006"/>
        <n v="96.98333333339542"/>
        <n v="51.93333333323244"/>
        <n v="75.11666666669771"/>
        <n v="62.26666666654637"/>
        <n v="35.13333333330229"/>
        <n v="70.91666666680248"/>
        <n v="48.91666666668607"/>
        <n v="58.61666666669771"/>
        <n v="111.41666666662786"/>
        <n v="143.983333333279"/>
        <n v="143.3833333334187"/>
        <n v="119.10000000003492"/>
        <n v="103.83333333337214"/>
        <n v="136.81666666665114"/>
        <n v="110.6333333333605"/>
        <n v="70.93333333334886"/>
        <n v="56.28333333344199"/>
        <n v="104.20000000001164"/>
        <n v="120.44999999989523"/>
        <n v="100.96666666661622"/>
        <n v="39.583333333488554"/>
        <n v="85.05000000010477"/>
        <n v="45.06666666670935"/>
        <n v="96.39999999990687"/>
        <n v="113.81666666676756"/>
        <n v="28.783333333209157"/>
        <n v="37.68333333323244"/>
        <n v="82.56666666670935"/>
        <n v="76.68333333340706"/>
        <n v="128.80000000004657"/>
        <n v="39.550000000046566"/>
        <n v="40.74999999994179"/>
        <n v="38.78333333332557"/>
        <n v="116.43333333323244"/>
        <n v="59.45000000012806"/>
        <n v="70.35000000003492"/>
        <n v="47.15000000002328"/>
        <n v="68.64999999990687"/>
        <n v="116.28333333326736"/>
        <n v="65.28333333326736"/>
        <n v="39.03333333344199"/>
        <n v="28.26666666660458"/>
        <n v="139.71666666667443"/>
        <n v="139.33333333331393"/>
        <n v="90.31666666665114"/>
        <n v="127.73333333339542"/>
        <n v="112.66666666668607"/>
        <n v="56.53333333338378"/>
        <n v="63.433333333348855"/>
        <n v="126.16666666668607"/>
        <n v="108.41666666662786"/>
        <n v="125.41666666668607"/>
        <n v="64.96666666679084"/>
        <n v="105.0"/>
        <n v="49.40000000002328"/>
        <n v="112.59999999997672"/>
        <n v="124.41666666656965"/>
        <n v="121.84999999991851"/>
        <n v="81.56666666659294"/>
        <n v="85.46666666673264"/>
        <n v="61.233333333337214"/>
        <n v="52.716666666499805"/>
        <n v="111.41666666680248"/>
        <n v="30.23333333339542"/>
        <n v="137.50000000011642"/>
        <n v="94.53333333344199"/>
        <n v="34.516666666720994"/>
        <n v="33.04999999998836"/>
        <n v="102.39999999990687"/>
        <n v="68.41666666668607"/>
        <n v="117.01666666654637"/>
        <n v="104.43333333340706"/>
        <n v="28.716666666674428"/>
        <n v="88.59999999997672"/>
        <n v="46.26666666660458"/>
        <n v="84.34999999991851"/>
        <n v="86.06666666676756"/>
        <n v="105.26666666666279"/>
        <n v="122.68333333334886"/>
        <n v="37.949999999895226"/>
        <n v="98.06666666676756"/>
        <m/>
      </sharedItems>
    </cacheField>
    <cacheField name="CPU Status" numFmtId="0">
      <sharedItems containsBlank="1">
        <s v="High"/>
        <s v="Normal"/>
        <s v="Underutilized"/>
        <m/>
      </sharedItems>
    </cacheField>
    <cacheField name="Memory Status" numFmtId="0">
      <sharedItems containsBlank="1">
        <s v="Normal"/>
        <s v="High"/>
        <s v="Underutilized"/>
        <m/>
      </sharedItems>
    </cacheField>
    <cacheField name="Network Total (GB)" numFmtId="0">
      <sharedItems containsString="0" containsBlank="1" containsNumber="1">
        <n v="148.80948590114713"/>
        <n v="18.24539860524237"/>
        <n v="43.59474778454751"/>
        <n v="106.34267727099359"/>
        <n v="23.242693880572915"/>
        <n v="128.78541174903512"/>
        <n v="51.38999967649579"/>
        <n v="137.49296503793448"/>
        <n v="33.115246552973986"/>
        <n v="135.48435825761408"/>
        <n v="118.3682681741193"/>
        <n v="178.51172118168324"/>
        <n v="31.963748332113028"/>
        <n v="95.96251096390188"/>
        <n v="129.61850500758737"/>
        <n v="35.027708603069186"/>
        <n v="118.75261708255857"/>
        <n v="135.63336271699518"/>
        <n v="50.94098440930247"/>
        <n v="95.24434246402234"/>
        <n v="58.355826701037586"/>
        <n v="60.07120500598103"/>
        <n v="71.70325419865549"/>
        <n v="184.56707130279392"/>
        <n v="65.27086642384529"/>
        <n v="145.16378740407526"/>
        <n v="164.4670120952651"/>
        <n v="170.7041787104681"/>
        <n v="109.24233684968203"/>
        <n v="74.1439153952524"/>
        <n v="167.61794009432197"/>
        <n v="182.29559741541743"/>
        <n v="47.28246991895139"/>
        <n v="27.684520634822547"/>
        <n v="190.35572942718863"/>
        <n v="73.52916849311441"/>
        <n v="91.72648317366838"/>
        <n v="113.34261943679303"/>
        <n v="156.2987474706024"/>
        <n v="77.18912260513753"/>
        <n v="92.96350508462638"/>
        <n v="132.39616294950247"/>
        <n v="68.52251823246479"/>
        <n v="167.27786935307086"/>
        <n v="76.88209216855466"/>
        <n v="137.80029215291142"/>
        <n v="173.93400031793863"/>
        <n v="172.8587303739041"/>
        <n v="99.60578037425876"/>
        <n v="68.47041661757976"/>
        <n v="86.96595224831253"/>
        <n v="43.32184346020222"/>
        <n v="98.22241902537644"/>
        <n v="69.85111545864493"/>
        <n v="147.84045279119164"/>
        <n v="79.61776235699654"/>
        <n v="26.6066284365952"/>
        <n v="155.25473099015653"/>
        <n v="178.9406693605706"/>
        <n v="170.12520305253565"/>
        <n v="131.64475614391267"/>
        <n v="187.15372327901423"/>
        <n v="85.47461579740047"/>
        <n v="68.23822155408561"/>
        <n v="186.52363070473075"/>
        <n v="125.34993583336473"/>
        <n v="102.52886554412544"/>
        <n v="159.1369951730594"/>
        <n v="12.68336856085807"/>
        <n v="174.35858251340687"/>
        <n v="132.4072094867006"/>
        <n v="17.67309480998665"/>
        <n v="166.20687621459365"/>
        <n v="150.52812693361193"/>
        <n v="120.17322413623333"/>
        <n v="25.292910002171993"/>
        <n v="41.915416929870844"/>
        <n v="183.74487776961178"/>
        <n v="81.89955041185021"/>
        <n v="133.60735102649778"/>
        <n v="14.473339575342834"/>
        <n v="90.54152932297438"/>
        <n v="112.66615029424429"/>
        <n v="174.03492154553533"/>
        <n v="36.982788293622434"/>
        <n v="36.64746377430856"/>
        <n v="44.31616345234215"/>
        <n v="37.1445197770372"/>
        <n v="15.341748284175992"/>
        <n v="165.43794372491539"/>
        <n v="60.62971227336675"/>
        <n v="83.32535244803876"/>
        <n v="32.07217702828348"/>
        <n v="125.43731611408293"/>
        <n v="26.65177614428103"/>
        <n v="79.2139318715781"/>
        <n v="60.05016506463289"/>
        <n v="64.95477249659598"/>
        <n v="31.785572106949985"/>
        <n v="46.61062255036086"/>
        <n v="150.60402232967317"/>
        <n v="92.03931256663054"/>
        <n v="164.0045891040936"/>
        <n v="174.3129334775731"/>
        <n v="187.84916815254837"/>
        <n v="82.73029750399292"/>
        <n v="88.36005316488445"/>
        <n v="40.178717534057796"/>
        <n v="22.011635966598988"/>
        <n v="44.36555986944586"/>
        <n v="130.49638725537807"/>
        <n v="26.145093041472137"/>
        <n v="124.45342749729753"/>
        <n v="19.373098770156503"/>
        <n v="80.66149090602994"/>
        <n v="79.5714748268947"/>
        <n v="181.68634732626379"/>
        <n v="139.94320903159678"/>
        <n v="146.95122172962874"/>
        <n v="141.3164067659527"/>
        <n v="28.512331360951066"/>
        <n v="22.61949472501874"/>
        <n v="78.26605229917914"/>
        <n v="21.95456963777542"/>
        <n v="111.10412631183863"/>
        <n v="20.627808446995914"/>
        <n v="163.42295596003532"/>
        <n v="55.032367723062634"/>
        <n v="43.32720224093646"/>
        <n v="52.851709708571434"/>
        <n v="12.076199478469789"/>
        <n v="27.56272281613201"/>
        <n v="75.61110356636345"/>
        <n v="170.84563010465354"/>
        <n v="28.491277602501214"/>
        <n v="10.284713207744062"/>
        <n v="71.41793540399522"/>
        <n v="89.2622619047761"/>
        <n v="79.03216604795307"/>
        <n v="160.33275766763836"/>
        <n v="9.282864701934159"/>
        <n v="30.903744622133672"/>
        <n v="189.0221742009744"/>
        <n v="52.205326293595135"/>
        <n v="55.99814522173256"/>
        <n v="28.865888429805636"/>
        <n v="112.75731854978949"/>
        <n v="151.9189635263756"/>
        <n v="29.332443656399846"/>
        <n v="13.157491418533027"/>
        <n v="46.27664387226105"/>
        <n v="170.81237991899252"/>
        <n v="76.98947781231254"/>
        <n v="77.07788585685194"/>
        <n v="98.90695383399725"/>
        <n v="125.55911657679826"/>
        <n v="130.46566262468696"/>
        <n v="113.77336367312819"/>
        <n v="50.48577811475843"/>
        <n v="166.09706101566553"/>
        <n v="76.17978030070662"/>
        <n v="117.53623200207949"/>
        <n v="80.66788781248033"/>
        <n v="132.4682554928586"/>
        <n v="18.910189882852137"/>
        <n v="149.5883465791121"/>
        <n v="56.050554676912725"/>
        <n v="108.0409624800086"/>
        <n v="127.42952616140246"/>
        <n v="105.49182360619307"/>
        <n v="122.57787455897778"/>
        <n v="183.71096444875002"/>
        <n v="159.9494559103623"/>
        <n v="15.513780677691102"/>
        <n v="13.076739259064198"/>
        <n v="4.176677445881069"/>
        <n v="126.09329547639936"/>
        <n v="186.15708178374916"/>
        <n v="151.06600059382617"/>
        <n v="114.93933857511729"/>
        <n v="21.869377128779888"/>
        <n v="134.05060337483883"/>
        <n v="104.392434024252"/>
        <n v="60.788242870010436"/>
        <n v="98.678077256307"/>
        <n v="46.87050398811698"/>
        <n v="133.9019276322797"/>
        <n v="194.15507571119815"/>
        <n v="134.4364561289549"/>
        <n v="51.2928396333009"/>
        <n v="34.16288826242089"/>
        <n v="49.83239269815385"/>
        <n v="173.23754872195423"/>
        <n v="31.1079436019063"/>
        <n v="186.01318213157356"/>
        <n v="103.40317183919251"/>
        <n v="116.247569616884"/>
        <n v="106.93590117339045"/>
        <n v="29.83020884077996"/>
        <n v="131.09503258299083"/>
        <n v="166.1114092580974"/>
        <n v="30.221528694964945"/>
        <n v="188.6108543528244"/>
        <n v="153.5179577851668"/>
        <n v="164.7671377034858"/>
        <n v="112.09749322291464"/>
        <n v="38.622601623646915"/>
        <n v="152.81827887147665"/>
        <n v="59.593225185759366"/>
        <n v="86.1309044919908"/>
        <n v="66.62032887060195"/>
        <n v="109.55598993971944"/>
        <n v="124.94051354099065"/>
        <n v="128.0771258957684"/>
        <n v="105.20990678761154"/>
        <n v="67.7271572323516"/>
        <n v="181.65453959908336"/>
        <n v="173.61273716576397"/>
        <n v="27.16122269630432"/>
        <n v="92.90214569214731"/>
        <n v="42.96684327814728"/>
        <n v="162.21862412709743"/>
        <n v="83.48272094503045"/>
        <n v="91.1359781967476"/>
        <n v="183.5378724457696"/>
        <n v="143.12490233965218"/>
        <n v="43.21490614116192"/>
        <n v="97.78570163995028"/>
        <n v="118.95151393581182"/>
        <n v="40.367885985411704"/>
        <n v="124.56859381496906"/>
        <n v="32.03092004545033"/>
        <n v="191.58450319431722"/>
        <n v="133.37714560888708"/>
        <n v="13.178545219823718"/>
        <n v="165.56891672313213"/>
        <n v="127.35461871232837"/>
        <n v="24.49526523333043"/>
        <n v="113.26822042558342"/>
        <n v="77.39631428103894"/>
        <n v="133.3292103977874"/>
        <n v="138.3707358026877"/>
        <n v="110.16397338639945"/>
        <n v="126.9340379210189"/>
        <n v="13.908738322556019"/>
        <n v="114.31839055381715"/>
        <n v="104.9080751631409"/>
        <n v="145.55157373752445"/>
        <n v="82.60495027899742"/>
        <n v="33.288731656968594"/>
        <n v="68.10651590581983"/>
        <n v="32.26163375657052"/>
        <n v="149.09767675213516"/>
        <n v="107.78903895709664"/>
        <n v="90.09302147012204"/>
        <n v="10.815178863704205"/>
        <n v="115.65011897590011"/>
        <n v="180.47267566155642"/>
        <n v="92.8550114678219"/>
        <n v="102.95117662567645"/>
        <n v="9.191382941789925"/>
        <n v="55.42354625556618"/>
        <n v="24.42383398860693"/>
        <n v="11.311679476872087"/>
        <n v="41.16507960110903"/>
        <n v="156.37210374418646"/>
        <n v="26.68440257292241"/>
        <n v="152.95883259084076"/>
        <n v="25.335500963963568"/>
        <n v="187.4861409040168"/>
        <n v="70.5739097846672"/>
        <n v="157.15624312497675"/>
        <n v="48.94657557550818"/>
        <n v="15.55804003868252"/>
        <n v="18.657964741811156"/>
        <n v="107.83484797738492"/>
        <n v="93.91865482088178"/>
        <n v="48.97619379684329"/>
        <n v="26.704202248714864"/>
        <n v="117.95552778616548"/>
        <n v="108.2979540610686"/>
        <n v="135.3036143090576"/>
        <n v="73.85366328526288"/>
        <n v="134.80765787046403"/>
        <n v="33.33046664297581"/>
        <n v="137.8455736450851"/>
        <n v="13.748356451280415"/>
        <n v="79.82947317976505"/>
        <n v="114.83871183265"/>
        <n v="172.52769091632217"/>
        <n v="3.5878515196964145"/>
        <n v="172.6991020468995"/>
        <n v="133.65941316634417"/>
        <n v="158.83648052159697"/>
        <n v="57.46186433453113"/>
        <n v="12.33611668087542"/>
        <n v="107.0967559851706"/>
        <n v="63.90896044764668"/>
        <n v="156.62075085937977"/>
        <n v="145.38364363275468"/>
        <n v="151.06037109531462"/>
        <n v="155.29769411031157"/>
        <n v="169.6649992177263"/>
        <n v="10.409250973723829"/>
        <n v="191.7606205418706"/>
        <n v="60.52940740343183"/>
        <n v="140.3282754411921"/>
        <n v="53.64407609216869"/>
        <n v="9.769758876413107"/>
        <n v="139.9527854155749"/>
        <n v="75.83103252016008"/>
        <n v="73.02815796155483"/>
        <n v="145.22111418657005"/>
        <n v="106.98153338301927"/>
        <n v="78.58321656659245"/>
        <n v="98.89531242474914"/>
        <n v="157.0416808873415"/>
        <n v="56.3847514661029"/>
        <n v="71.68640228267759"/>
        <n v="163.06273143924773"/>
        <n v="83.14325876906514"/>
        <n v="100.46809651702642"/>
        <n v="173.807477732189"/>
        <n v="9.759041795507073"/>
        <n v="137.104472046718"/>
        <n v="137.60442540235817"/>
        <n v="80.33758898451924"/>
        <n v="165.71850410290062"/>
        <n v="115.36626244802028"/>
        <n v="159.74215725716203"/>
        <n v="104.09711353015155"/>
        <n v="119.4849954713136"/>
        <n v="103.15591240301728"/>
        <n v="180.8164496337995"/>
        <n v="102.09111632406712"/>
        <n v="17.582399788312614"/>
        <n v="181.12610118463635"/>
        <n v="160.88475660420954"/>
        <n v="134.85567603074014"/>
        <n v="162.19916887395084"/>
        <n v="16.166555730625987"/>
        <n v="7.49393008928746"/>
        <n v="108.07712197769433"/>
        <n v="160.96466243639588"/>
        <n v="169.70470210257918"/>
        <n v="83.30662453919649"/>
        <n v="92.27479770686477"/>
        <n v="118.20142429415137"/>
        <n v="117.78436429798603"/>
        <n v="40.08368948753923"/>
        <n v="98.56502193026245"/>
        <n v="65.3739110045135"/>
        <n v="105.13273611292243"/>
        <n v="120.88604524545372"/>
        <n v="130.1636071037501"/>
        <n v="129.37899397034198"/>
        <n v="175.77783020492643"/>
        <n v="34.42370865959674"/>
        <n v="135.8937257407233"/>
        <n v="59.329251307062805"/>
        <n v="188.6208401080221"/>
        <n v="161.85455658007413"/>
        <n v="107.98433847445995"/>
        <n v="186.1365077989176"/>
        <n v="108.97898649424314"/>
        <n v="76.52305159252137"/>
        <n v="65.57471523247659"/>
        <n v="62.73863387107849"/>
        <n v="104.03013668395579"/>
        <n v="165.33166010305285"/>
        <n v="5.1442073388025165"/>
        <n v="92.39657705556601"/>
        <n v="170.48068563546985"/>
        <n v="88.00257081724703"/>
        <n v="107.33632668107748"/>
        <n v="144.87212647497654"/>
        <n v="167.75265736319125"/>
        <n v="148.54879387374967"/>
        <n v="105.18262582924217"/>
        <n v="75.4424364482984"/>
        <n v="8.171797599643469"/>
        <n v="175.06641790643334"/>
        <n v="101.35792631562799"/>
        <n v="123.72135022934526"/>
        <n v="186.60707597713917"/>
        <n v="97.94373767450452"/>
        <n v="149.64753802586347"/>
        <n v="112.82328981906176"/>
        <n v="35.88904717285186"/>
        <n v="65.63892687112093"/>
        <n v="86.5507861059159"/>
        <n v="172.72544042486697"/>
        <n v="88.78421580698341"/>
        <n v="103.32419616822153"/>
        <n v="152.80622038431466"/>
        <n v="182.23153252899647"/>
        <n v="98.98217947874218"/>
        <n v="63.54321336187422"/>
        <n v="119.78897111583501"/>
        <n v="8.865874085575342"/>
        <n v="124.73289518710226"/>
        <n v="123.27482292149216"/>
        <n v="75.833490553312"/>
        <n v="27.390839750878513"/>
        <n v="146.17523001041263"/>
        <n v="53.63550051022321"/>
        <n v="72.09213494788855"/>
        <n v="89.79030101094395"/>
        <n v="107.04662170354277"/>
        <n v="2.7873885314911604"/>
        <n v="2.968789679929614"/>
        <n v="54.01859435159713"/>
        <n v="102.88884458877146"/>
        <n v="124.75193688180298"/>
        <n v="158.26724978815764"/>
        <n v="78.92431702185422"/>
        <n v="65.09518431778997"/>
        <n v="88.59753091540188"/>
        <n v="104.44274418707937"/>
        <n v="39.88645678572357"/>
        <n v="144.64899304974824"/>
        <n v="111.1526242904365"/>
        <n v="109.98180497158319"/>
        <n v="48.56103546265513"/>
        <n v="115.32614207267761"/>
        <n v="105.74422523099929"/>
        <n v="58.08847098983824"/>
        <n v="165.03907156083733"/>
        <n v="63.91432484332472"/>
        <n v="131.4180118991062"/>
        <n v="144.39167937729508"/>
        <n v="78.13979047443718"/>
        <n v="173.05598631408066"/>
        <n v="165.09206210821867"/>
        <n v="31.666296581737697"/>
        <n v="88.10129010491073"/>
        <n v="16.962896964512765"/>
        <n v="40.76115049235523"/>
        <n v="102.9139451412484"/>
        <n v="65.11566593777388"/>
        <n v="128.3719805618748"/>
        <n v="127.36652911361307"/>
        <n v="152.38752171304077"/>
        <n v="19.54793362505734"/>
        <n v="99.1298125339672"/>
        <n v="179.68170752935112"/>
        <n v="135.80723427329212"/>
        <n v="133.64790738467127"/>
        <n v="106.03741721063852"/>
        <n v="147.27350610960275"/>
        <n v="70.53632438834757"/>
        <n v="102.39996629860252"/>
        <n v="153.84292500838637"/>
        <n v="29.437489366158843"/>
        <n v="160.89701695833355"/>
        <n v="148.24244252312928"/>
        <n v="57.91726773325354"/>
        <n v="23.31813434511423"/>
        <n v="134.33474324829876"/>
        <n v="157.27384717576206"/>
        <n v="63.50947622116655"/>
        <n v="119.6597678149119"/>
        <n v="100.24172682873905"/>
        <n v="137.15336305368692"/>
        <n v="28.12490892969072"/>
        <n v="78.98839598149061"/>
        <n v="78.33960612118244"/>
        <n v="76.62807045597583"/>
        <n v="137.6462551727891"/>
        <n v="96.44424550142139"/>
        <n v="137.92133524734527"/>
        <n v="170.04666295833886"/>
        <n v="88.02255295589566"/>
        <n v="174.20097365882248"/>
        <n v="60.4709895150736"/>
        <n v="58.804853533394635"/>
        <n v="128.63397451676428"/>
        <n v="172.25512326601893"/>
        <n v="147.31889117974788"/>
        <n v="188.6509686121717"/>
        <n v="142.44001027289778"/>
        <n v="165.74749217368662"/>
        <n v="54.18522167298943"/>
        <n v="33.31667977478355"/>
        <n v="31.00638119596988"/>
        <n v="163.0270334435627"/>
        <n v="174.8040206776932"/>
        <n v="128.92423016298562"/>
        <n v="92.6990513280034"/>
        <n v="22.006311386823654"/>
        <n v="136.03753185644746"/>
        <n v="127.00884977728128"/>
        <n v="34.09550825692713"/>
        <n v="114.826964343898"/>
        <n v="102.6170138400048"/>
        <n v="24.94374968111515"/>
        <n v="86.42171651963145"/>
        <n v="93.67366809863597"/>
        <n v="19.887337191030383"/>
        <n v="89.04123336076736"/>
        <n v="81.65204191673547"/>
        <n v="128.67987041641027"/>
        <n v="82.14096946734935"/>
        <n v="166.88988613151014"/>
        <n v="62.48200806602836"/>
        <n v="85.62307369243354"/>
        <n v="157.70539948809892"/>
        <n v="162.74283157847822"/>
        <n v="138.48006327915937"/>
        <n v="177.48034375719726"/>
        <n v="90.41763848531991"/>
        <n v="47.842501564882696"/>
        <n v="18.563710439950228"/>
        <n v="181.39189053233713"/>
        <n v="52.66069412138313"/>
        <n v="104.97101966291666"/>
        <n v="22.554068288765848"/>
        <n v="173.09939558804035"/>
        <n v="58.421208277344704"/>
        <n v="181.4009461775422"/>
        <n v="185.60542461369187"/>
        <n v="101.40819355193526"/>
        <n v="169.9912221422419"/>
        <n v="152.90733502805233"/>
        <n v="116.63338723313063"/>
        <n v="160.29995041992515"/>
        <n v="154.6908689122647"/>
        <n v="159.00843239482492"/>
        <n v="94.08463780675083"/>
        <n v="188.25551179423928"/>
        <n v="135.71233129035681"/>
        <n v="58.85696985106915"/>
        <n v="83.24992697872221"/>
        <n v="35.65488216187805"/>
        <n v="27.511058822274208"/>
        <n v="171.85773567389697"/>
        <n v="78.70570861455053"/>
        <n v="20.436170148663223"/>
        <n v="99.90138372965157"/>
        <n v="125.36993748880923"/>
        <n v="82.59604011196643"/>
        <n v="50.13720156531781"/>
        <n v="35.98337712697685"/>
        <n v="90.02309503592551"/>
        <n v="95.25487500801682"/>
        <n v="67.4149374300614"/>
        <n v="9.587214406579733"/>
        <n v="74.90858872886747"/>
        <n v="112.90746847167611"/>
        <n v="79.32204075995833"/>
        <n v="131.8003511596471"/>
        <n v="186.40578241460025"/>
        <n v="41.73374982737005"/>
        <n v="91.32311409432441"/>
        <n v="144.20186046604067"/>
        <n v="178.0649441126734"/>
        <n v="139.36266581062227"/>
        <n v="44.98746055550873"/>
        <n v="39.52914613112807"/>
        <n v="135.09084081090987"/>
        <n v="135.66505438648164"/>
        <n v="131.9156071022153"/>
        <n v="29.210109889507294"/>
        <n v="127.93337301537395"/>
        <n v="176.1328751342371"/>
        <n v="153.19543874356896"/>
        <n v="111.72156789712608"/>
        <n v="131.88481068704277"/>
        <n v="144.65657743997872"/>
        <n v="31.585249945521355"/>
        <n v="165.59293591603637"/>
        <n v="15.37095298524946"/>
        <n v="169.49175586365163"/>
        <n v="53.56274952366948"/>
        <n v="42.72135022934526"/>
        <n v="169.3374378979206"/>
        <n v="170.12439174298197"/>
        <n v="23.123679439537227"/>
        <n v="87.15405646711588"/>
        <n v="119.97579452954233"/>
        <n v="182.39185585081577"/>
        <n v="181.4858995359391"/>
        <n v="173.18426957726479"/>
        <n v="15.980150352232158"/>
        <n v="152.33350295946002"/>
        <n v="179.01264519616961"/>
        <n v="73.64374054037035"/>
        <n v="116.84686568193138"/>
        <n v="89.24794383533299"/>
        <n v="130.3653743006289"/>
        <n v="142.10531305987388"/>
        <n v="106.17935074400157"/>
        <n v="60.57660557702184"/>
        <n v="10.72211349196732"/>
        <n v="27.293961700983346"/>
        <n v="93.20308004785329"/>
        <n v="78.62900371477008"/>
        <n v="155.516751492396"/>
        <n v="156.52791562210768"/>
        <n v="109.43159655760974"/>
        <n v="102.21977141872048"/>
        <n v="179.35874055791646"/>
        <n v="104.9795090155676"/>
        <n v="53.74103539995849"/>
        <n v="171.3718632897362"/>
        <n v="149.9432144165039"/>
        <n v="163.65894446708262"/>
        <n v="120.65563354454935"/>
        <n v="156.52241381071508"/>
        <n v="149.86167453974485"/>
        <n v="56.416834068484604"/>
        <n v="102.08736110012978"/>
        <n v="78.34788522869349"/>
        <n v="114.34449219331145"/>
        <n v="73.74712785799056"/>
        <n v="144.61739780101925"/>
        <n v="28.424567877314985"/>
        <n v="29.349236301146448"/>
        <n v="119.71171167492867"/>
        <n v="120.26268510706723"/>
        <n v="81.68066026922315"/>
        <n v="67.80857238080353"/>
        <n v="171.35346404276788"/>
        <n v="173.42438944336027"/>
        <n v="14.339581354521215"/>
        <n v="98.09792237915099"/>
        <n v="21.723607980646193"/>
        <n v="158.2486585834995"/>
        <n v="99.92982036527246"/>
        <n v="31.962454237043858"/>
        <n v="148.8698854362592"/>
        <n v="127.24684817250818"/>
        <n v="152.1748819090426"/>
        <n v="25.500532274134457"/>
        <n v="56.310629995539784"/>
        <n v="11.591355317272246"/>
        <n v="52.180525596253574"/>
        <n v="53.8554804334417"/>
        <n v="166.5524475928396"/>
        <n v="45.33512815088034"/>
        <n v="181.76963967550546"/>
        <n v="35.747674128971994"/>
        <n v="186.065991316922"/>
        <n v="162.6062720315531"/>
        <n v="190.37165880668908"/>
        <n v="178.17105499375612"/>
        <n v="144.20165035501122"/>
        <n v="176.21265857014805"/>
        <n v="78.45620439015329"/>
        <n v="53.581513402983546"/>
        <n v="43.6441007880494"/>
        <n v="97.99714124575257"/>
        <n v="175.48714310582727"/>
        <n v="108.73806878458709"/>
        <n v="130.75575558748096"/>
        <n v="184.07886592578143"/>
        <n v="93.52199723757803"/>
        <n v="65.49027414713055"/>
        <n v="46.93896892853081"/>
        <n v="58.917256937362254"/>
        <n v="61.15825160127133"/>
        <n v="121.56261040177196"/>
        <n v="28.557482851669192"/>
        <n v="9.891660295426846"/>
        <n v="93.79177243355662"/>
        <n v="136.52129301521927"/>
        <n v="22.98215237352997"/>
        <n v="44.19984242878854"/>
        <n v="121.28073113877326"/>
        <n v="35.96222243178636"/>
        <n v="178.38429797720164"/>
        <n v="165.7354769492522"/>
        <n v="31.29612409695983"/>
        <n v="24.131323388777673"/>
        <n v="173.4905406748876"/>
        <n v="150.31524463836104"/>
        <n v="94.60988919902593"/>
        <n v="147.8715095585212"/>
        <n v="156.20993984211236"/>
        <n v="89.69909464474767"/>
        <n v="96.07745475135744"/>
        <n v="84.65993522386998"/>
        <n v="175.18996201641858"/>
        <n v="94.4676066255197"/>
        <n v="85.26015121303499"/>
        <n v="113.87624316755682"/>
        <n v="172.7894848641008"/>
        <n v="64.01964385062456"/>
        <n v="84.9799715615809"/>
        <n v="163.886318041943"/>
        <n v="170.70701110735536"/>
        <n v="65.86105187889189"/>
        <n v="173.13919699005783"/>
        <n v="122.97182112839073"/>
        <n v="37.33777024783194"/>
        <n v="127.19511251337826"/>
        <n v="144.90784398838878"/>
        <n v="169.28601392172277"/>
        <n v="187.4780530454591"/>
        <n v="69.0557224843651"/>
        <n v="148.1158239217475"/>
        <n v="168.67839181330055"/>
        <n v="138.04157331306487"/>
        <n v="14.518548419699073"/>
        <n v="94.22727360390127"/>
        <n v="136.59058582317084"/>
        <n v="6.531833086162806"/>
        <n v="161.59229258820415"/>
        <n v="142.83900172729045"/>
        <n v="68.42921385727823"/>
        <n v="78.08396631199867"/>
        <n v="153.6867803512141"/>
        <n v="64.80163133423775"/>
        <n v="152.14465656224638"/>
        <n v="181.82845098059624"/>
        <n v="115.1532513462007"/>
        <n v="116.75650320295244"/>
        <n v="163.1852092295885"/>
        <n v="37.917624302208424"/>
        <n v="159.19942817278206"/>
        <n v="31.576214381493628"/>
        <n v="169.77220315486193"/>
        <n v="100.67637664731592"/>
        <n v="17.88250928465277"/>
        <n v="49.943200666457415"/>
        <n v="120.38751035835594"/>
        <n v="178.1146857449785"/>
        <n v="165.60368973296136"/>
        <n v="159.97591744270176"/>
        <n v="37.539490105584264"/>
        <n v="7.516275921836495"/>
        <n v="7.096110590733588"/>
        <n v="71.37629137281328"/>
        <n v="143.50671103224158"/>
        <n v="19.966892852447927"/>
        <n v="57.361424717120826"/>
        <n v="91.01116793043911"/>
        <n v="165.84534539096057"/>
        <n v="64.6272684270516"/>
        <n v="124.48322909325361"/>
        <n v="20.54001203738153"/>
        <n v="117.5704049449414"/>
        <n v="13.454631551168859"/>
        <n v="17.63208283483982"/>
        <n v="87.21904844790697"/>
        <n v="144.77124411985278"/>
        <n v="192.88615167606622"/>
        <n v="110.89344925433397"/>
        <n v="92.71645687427372"/>
        <n v="128.83329493924975"/>
        <n v="33.21204672008753"/>
        <n v="176.85475649591535"/>
        <n v="121.24531500786543"/>
        <n v="166.9204176152125"/>
        <n v="84.96723377797753"/>
        <n v="60.05620162561536"/>
        <n v="181.499862132594"/>
        <n v="168.56142006255686"/>
        <n v="131.5905402712524"/>
        <n v="87.00105318054557"/>
        <n v="11.545767181552947"/>
        <n v="24.53380556590855"/>
        <n v="26.89003186393529"/>
        <n v="151.68743895180523"/>
        <n v="59.94240343943238"/>
        <n v="174.54078657738864"/>
        <n v="67.07916752342135"/>
        <n v="118.71571861207485"/>
        <n v="184.62396701332182"/>
        <n v="43.04261744953692"/>
        <n v="98.33613760769367"/>
        <n v="126.54115293733776"/>
        <n v="157.29216526355594"/>
        <n v="30.328310914337635"/>
        <n v="92.21654626261443"/>
        <n v="64.5645299050957"/>
        <n v="44.9420918347314"/>
        <n v="93.93593649473041"/>
        <n v="111.83768106810749"/>
        <n v="180.23516675271094"/>
        <n v="156.1167689934373"/>
        <n v="38.530216191895306"/>
        <n v="74.30817328114063"/>
        <n v="166.23752329312265"/>
        <n v="147.55712769180536"/>
        <n v="149.1419416256249"/>
        <n v="39.54541835002601"/>
        <n v="141.50347708538175"/>
        <n v="46.34107571281493"/>
        <n v="135.57342648040503"/>
        <n v="142.01217030920088"/>
        <n v="163.92620989866555"/>
        <n v="77.55136027373374"/>
        <n v="69.61271001957357"/>
        <n v="22.55015989486128"/>
        <n v="159.70530957356095"/>
        <n v="172.5105018755421"/>
        <n v="58.17248496506363"/>
        <n v="102.58978180307895"/>
        <n v="23.582916958257556"/>
        <n v="88.89249371178448"/>
        <n v="31.173883211798966"/>
        <n v="153.05325305834413"/>
        <n v="59.25117299333215"/>
        <n v="8.196229789406061"/>
        <n v="90.99762178957462"/>
        <n v="83.78750174958259"/>
        <n v="169.16096014343202"/>
        <n v="2.0923097264021635"/>
        <n v="89.2740584500134"/>
        <n v="26.829646902158856"/>
        <n v="92.38408019766212"/>
        <n v="78.19662659894675"/>
        <n v="180.95679446030408"/>
        <n v="66.79102552309632"/>
        <n v="110.38914646022022"/>
        <n v="139.32196608930826"/>
        <n v="145.89511335641146"/>
        <n v="44.12094632163644"/>
        <n v="70.2204895094037"/>
        <n v="43.050175226293504"/>
        <n v="141.99107389897108"/>
        <n v="36.796540836803615"/>
        <n v="70.63795476593077"/>
        <n v="170.5569667564705"/>
        <n v="33.9108895258978"/>
        <n v="59.34370133560151"/>
        <n v="40.334169743582606"/>
        <n v="22.541610631160438"/>
        <n v="115.05317395180464"/>
        <n v="80.9027095688507"/>
        <n v="85.16761611867696"/>
        <n v="38.93611052725464"/>
        <n v="171.0431000571698"/>
        <n v="188.30303308088332"/>
        <n v="141.0259565776214"/>
        <n v="103.4004965191707"/>
        <n v="108.40077389031649"/>
        <n v="185.52592421788722"/>
        <n v="106.19387799222022"/>
        <n v="131.82821736950427"/>
        <n v="54.38514605630189"/>
        <n v="108.70794711727649"/>
        <n v="6.577627236954868"/>
        <n v="154.27148450538516"/>
        <n v="174.11927181947976"/>
        <n v="105.64958075247705"/>
        <n v="85.7360461447388"/>
        <n v="52.072117457166314"/>
        <n v="38.61777153611183"/>
        <n v="118.90245157293975"/>
        <n v="183.06935382820666"/>
        <n v="66.25528088584542"/>
        <n v="64.28964680619538"/>
        <n v="180.85026356298476"/>
        <n v="122.90128915570676"/>
        <n v="133.5229519288987"/>
        <n v="120.19827653095126"/>
        <n v="135.34257120918483"/>
        <n v="125.45413079392165"/>
        <n v="136.76463306043297"/>
        <n v="167.10758527554572"/>
        <n v="71.62720358930528"/>
        <n v="25.323745175264776"/>
        <n v="147.45177287049592"/>
        <n v="147.8413801928982"/>
        <n v="68.35001932643354"/>
        <n v="55.70607678871602"/>
        <n v="152.66954524908215"/>
        <n v="26.782697268761694"/>
        <n v="122.24463287647814"/>
        <n v="149.2637114590034"/>
        <n v="22.25300030503422"/>
        <n v="45.77027007564902"/>
        <n v="31.955738798715174"/>
        <n v="72.79419175814837"/>
        <n v="45.461120835505426"/>
        <n v="176.52237447630614"/>
        <n v="62.90336279477924"/>
        <n v="49.80196206551045"/>
        <n v="129.94724131654948"/>
        <n v="163.65042364690453"/>
        <n v="148.45938210282475"/>
        <n v="52.66255787201226"/>
        <n v="90.88235830236226"/>
        <n v="60.98323477245867"/>
        <n v="90.60122336540371"/>
        <n v="132.48966548684984"/>
        <n v="134.33938364963979"/>
        <n v="109.87684464734048"/>
        <n v="81.67838774714619"/>
        <n v="25.146706298924983"/>
        <n v="96.6651718635112"/>
        <n v="123.89150170981884"/>
        <n v="163.4420630754903"/>
        <n v="30.547903012484312"/>
        <n v="140.44545876886696"/>
        <n v="132.3895357325673"/>
        <n v="142.01703966315836"/>
        <n v="132.18804794177413"/>
        <n v="74.64905137568712"/>
        <n v="134.99009210430086"/>
        <n v="125.01698830816895"/>
        <n v="112.14633157476783"/>
        <n v="60.81543604750186"/>
        <n v="148.84210888389498"/>
        <n v="58.13064708188176"/>
        <n v="176.19434622954577"/>
        <n v="94.37679481785744"/>
        <n v="26.656359365209937"/>
        <n v="85.36008199118078"/>
        <n v="164.84093873761594"/>
        <n v="67.38946895767003"/>
        <n v="85.34601319115609"/>
        <n v="48.84651244059205"/>
        <n v="120.76965747959912"/>
        <n v="161.45633513759822"/>
        <n v="13.434277765452862"/>
        <n v="144.40673103928566"/>
        <n v="147.17407422792166"/>
        <n v="121.8523022774607"/>
        <n v="153.86636610049754"/>
        <n v="21.106011103838682"/>
        <n v="126.59339779336005"/>
        <n v="131.23637857753783"/>
        <n v="120.26776853669435"/>
        <n v="42.84143916051835"/>
        <n v="84.30995718203485"/>
        <n v="65.90594294853508"/>
        <n v="78.8647889662534"/>
        <n v="171.7050875434652"/>
        <n v="109.38257813081145"/>
        <n v="85.90304870996624"/>
        <n v="29.307104696519673"/>
        <n v="69.98316158726811"/>
        <n v="48.798842657357454"/>
        <n v="168.76514735911041"/>
        <n v="110.96624609082937"/>
        <n v="105.18861895147711"/>
        <n v="77.07444157451391"/>
        <n v="103.68200231622905"/>
        <n v="144.88533517997712"/>
        <n v="12.434218443930149"/>
        <n v="81.38343488611281"/>
        <n v="149.83169776108116"/>
        <n v="23.52317786309868"/>
        <n v="52.07234644051641"/>
        <n v="62.28379620984197"/>
        <n v="19.021721239201725"/>
        <n v="186.07094762660563"/>
        <n v="184.87719585187733"/>
        <n v="43.83384590782225"/>
        <n v="72.05404990818352"/>
        <n v="33.15704414434731"/>
        <n v="34.26492841076106"/>
        <n v="134.83605204708874"/>
        <n v="141.69047424104065"/>
        <n v="86.02676837239414"/>
        <n v="38.561162650585175"/>
        <n v="13.351846906356514"/>
        <n v="37.84444518573582"/>
        <n v="130.98641914315522"/>
        <n v="64.31333981081843"/>
        <n v="111.4712850060314"/>
        <n v="91.55502614751458"/>
        <n v="172.8005211763084"/>
        <n v="62.350592692382634"/>
        <n v="16.445590033195913"/>
        <n v="99.89396380353719"/>
        <n v="151.39382544439286"/>
        <n v="40.45679770037532"/>
        <n v="102.0082476194948"/>
        <n v="36.691863330081105"/>
        <n v="100.61011078953743"/>
        <n v="66.87846598215401"/>
        <n v="170.4795259833336"/>
        <n v="119.86173843219876"/>
        <n v="177.02273292746395"/>
        <n v="149.45218433905393"/>
        <n v="129.366929220967"/>
        <n v="116.20018700230867"/>
        <n v="65.86563176382333"/>
        <n v="21.600685951299965"/>
        <n v="33.63793355599046"/>
        <n v="91.58440775051713"/>
        <n v="154.31008244585246"/>
        <n v="10.695116732269526"/>
        <n v="173.09658042155206"/>
        <n v="118.83784316852689"/>
        <n v="120.43862107209861"/>
        <n v="182.47852509189397"/>
        <n v="164.30920748785138"/>
        <n v="48.65954257454723"/>
        <n v="17.414146062918007"/>
        <n v="92.60250870324671"/>
        <n v="125.37977667152882"/>
        <n v="22.01940199546516"/>
        <n v="130.99095797818154"/>
        <n v="88.82661082502455"/>
        <n v="185.76511929091066"/>
        <m/>
      </sharedItems>
    </cacheField>
    <cacheField name="Cost Tier" numFmtId="0">
      <sharedItems containsBlank="1">
        <s v="High Cost"/>
        <s v="Normal Cost"/>
        <m/>
      </sharedItems>
    </cacheField>
    <cacheField name="Efficiency Score" numFmtId="0">
      <sharedItems containsString="0" containsBlank="1" containsNumber="1">
        <n v="0.019639709918811938"/>
        <n v="0.010817793466861075"/>
        <n v="0.10148065571896124"/>
        <n v="0.06093859521510851"/>
        <n v="0.03077706721313406"/>
        <n v="0.17184172933344116"/>
        <n v="0.023044951881447766"/>
        <n v="0.16378012048192772"/>
        <n v="0.03642918129209752"/>
        <n v="0.033064756258527284"/>
        <n v="0.14839618213112188"/>
        <n v="0.013795180722891567"/>
        <n v="0.03476299802921636"/>
        <n v="0.14943709263282637"/>
        <n v="0.021232425062029193"/>
        <n v="0.1060526691747226"/>
        <n v="0.015905395466343886"/>
        <n v="0.030146577646808496"/>
        <n v="0.08970915509170439"/>
        <n v="0.06829654383959195"/>
        <n v="0.016502305056147526"/>
        <n v="0.07353515728118434"/>
        <n v="0.06388273497010713"/>
        <n v="0.10733990702462723"/>
        <n v="0.020307457299677263"/>
        <n v="0.010668204733828934"/>
        <n v="0.05906561026715557"/>
        <n v="0.01853192535373467"/>
        <n v="0.17346308310163733"/>
        <n v="0.23332276474318328"/>
        <n v="0.10249488520118208"/>
        <n v="0.012719442226000383"/>
        <n v="0.03434946366820114"/>
        <n v="0.029804990713843516"/>
        <n v="0.02660200357154393"/>
        <n v="0.6607016300496102"/>
        <n v="0.01488863617736251"/>
        <n v="0.05192121970140747"/>
        <n v="0.054388984509466436"/>
        <n v="0.06849871395695141"/>
        <n v="0.2763680420004039"/>
        <n v="0.34954451954158094"/>
        <n v="0.12054174143382039"/>
        <n v="0.015532850452960842"/>
        <n v="0.013520794678377262"/>
        <n v="0.06062616362430182"/>
        <n v="0.08420348058902276"/>
        <n v="0.521373630113675"/>
        <n v="0.010184434668786184"/>
        <n v="0.00840443842238254"/>
        <n v="0.015883572095565627"/>
        <n v="0.01014828544949027"/>
        <n v="0.11649356044869132"/>
        <n v="0.09812059297096218"/>
        <n v="0.547431832593532"/>
        <n v="0.04775492949240571"/>
        <n v="0.004606996716198759"/>
        <n v="0.03182000830001252"/>
        <n v="0.03786970769795687"/>
        <n v="0.06217145002775329"/>
        <n v="0.4346792575708238"/>
        <n v="0.28901612280023886"/>
        <n v="0.06297345068898347"/>
        <n v="0.01266982559329735"/>
        <n v="0.00573340590287227"/>
        <n v="0.6337530573421506"/>
        <n v="0.016847646527609526"/>
        <n v="0.43712825987494286"/>
        <n v="0.028063273502171956"/>
        <n v="0.20029127499007018"/>
        <n v="0.013212538567121455"/>
        <n v="0.11350351902660147"/>
        <n v="0.005792070959292774"/>
        <n v="0.15134200167004655"/>
        <n v="0.05187318187706839"/>
        <n v="0.09423817719859029"/>
        <n v="0.49616322432587495"/>
        <n v="0.011333653806415407"/>
        <n v="0.02629052796552062"/>
        <n v="0.016510254281103608"/>
        <n v="0.007580822041282338"/>
        <n v="0.009839548035521298"/>
        <n v="0.01587744754389683"/>
        <n v="0.033860211488154456"/>
        <n v="0.021949764549571125"/>
        <n v="0.034395647104547226"/>
        <n v="0.018998679509883206"/>
        <n v="0.00893201812308255"/>
        <n v="0.007842891943951356"/>
        <n v="0.1963921258805715"/>
        <n v="0.002960996528486829"/>
        <n v="0.014597148283054702"/>
        <n v="0.01966314562424649"/>
        <n v="0.033262743807996493"/>
        <n v="0.03694973129231904"/>
        <n v="0.00596828731821017"/>
        <n v="0.030947771567272922"/>
        <n v="0.4020756940806705"/>
        <n v="0.1767591538793611"/>
        <n v="0.009144791924985454"/>
        <n v="0.12800501069699358"/>
        <n v="0.019892351847674752"/>
        <n v="0.029295910757239946"/>
        <n v="0.07709659599095071"/>
        <n v="0.019448756489562766"/>
        <n v="0.0349389632506247"/>
        <n v="0.02899166238236806"/>
        <n v="0.21439775723392182"/>
        <n v="0.04683333188558125"/>
        <n v="0.007211611256516191"/>
        <n v="0.12900066523763767"/>
        <n v="0.11239217991045965"/>
        <n v="0.05770995530031674"/>
        <n v="0.06200426079944152"/>
        <n v="0.002271925914591552"/>
        <n v="0.01734877297207262"/>
        <n v="0.14982178101157687"/>
        <n v="0.18587910965897486"/>
        <n v="0.0295654476038309"/>
        <n v="0.031205122976602124"/>
        <n v="0.011345022307476778"/>
        <n v="0.06455636209434008"/>
        <n v="0.011618426416632693"/>
        <n v="0.0905701457515455"/>
        <n v="0.05965594662113019"/>
        <n v="0.09915736565895485"/>
        <n v="0.021470197560428048"/>
        <n v="0.010347068258700454"/>
        <n v="0.12320106112523489"/>
        <n v="0.04050204843518945"/>
        <n v="0.13379192445457508"/>
        <n v="0.013107345814776362"/>
        <n v="0.09704230455657216"/>
        <n v="0.021607271964633613"/>
        <n v="0.026546553185217935"/>
        <n v="0.02033112347540793"/>
        <n v="0.010771970716654082"/>
        <n v="0.013534067009419705"/>
        <n v="1.9652538726333908"/>
        <n v="0.013652087673260985"/>
        <n v="0.007319255700841748"/>
        <n v="0.18310943454328496"/>
        <n v="0.043185268709325146"/>
        <n v="0.06816687404529959"/>
        <n v="0.3006543942266528"/>
        <n v="0.10519059332257509"/>
        <n v="0.030765087806346823"/>
        <n v="0.06856938580303572"/>
        <n v="0.4044221579053645"/>
        <n v="0.19548289621508544"/>
        <n v="0.24320269584083462"/>
        <n v="0.05143326113442534"/>
        <n v="0.002086178894936769"/>
        <n v="0.11242701763293043"/>
        <n v="0.02540389190430329"/>
        <n v="0.017243068151495806"/>
        <n v="0.15339820821748534"/>
        <n v="0.4395080321285141"/>
        <n v="0.013470282911684884"/>
        <n v="0.011719410500097964"/>
        <n v="0.08610720253275878"/>
        <n v="0.19337212796765293"/>
        <n v="0.05093821614140176"/>
        <n v="0.6498051027639972"/>
        <n v="0.21570825890312037"/>
        <n v="0.006394633702851991"/>
        <n v="0.47950654291808387"/>
        <n v="0.020866249809364038"/>
        <n v="0.011849091280375739"/>
        <n v="0.0817753773715552"/>
        <n v="0.09297418807800761"/>
        <n v="0.1781514836902721"/>
        <n v="0.06410092667489747"/>
        <n v="0.009098035979534576"/>
        <n v="0.012894475851992753"/>
        <n v="1.3064431639601886"/>
        <n v="0.2006743789316558"/>
        <n v="0.016248326639892906"/>
        <n v="0.02868389296454498"/>
        <n v="0.043587626738216256"/>
        <n v="0.1159277448298129"/>
        <n v="0.12630592299267"/>
        <n v="0.3354470513633481"/>
        <n v="0.03226848412416422"/>
        <n v="0.050799114826653544"/>
        <n v="0.0029254397782824586"/>
        <n v="0.15195165520124662"/>
        <n v="0.016377228127262174"/>
        <n v="0.2923323729701414"/>
        <n v="0.0047139229563995895"/>
        <n v="0.7581755593803786"/>
        <n v="0.22749264775637984"/>
        <n v="1.1469407039924404"/>
        <n v="0.07093962121125111"/>
        <n v="0.05422514232755197"/>
        <n v="0.033223896597512396"/>
        <n v="0.01770073715916297"/>
        <n v="0.0049240348744691255"/>
        <n v="0.054426460048950014"/>
        <n v="0.08044629881393277"/>
        <n v="0.10990473521994958"/>
        <n v="0.022631406127655275"/>
        <n v="0.04992085544446217"/>
        <n v="0.1018932874354561"/>
        <n v="0.3432209852066494"/>
        <n v="0.02592536813922356"/>
        <n v="0.061524284105259563"/>
        <n v="0.030230424530090155"/>
        <n v="0.008698547741325802"/>
        <n v="0.03887407039037953"/>
        <n v="0.01456770751063612"/>
        <n v="0.23217140406285333"/>
        <n v="0.007870726404435709"/>
        <n v="0.16755668964065873"/>
        <n v="0.019941522807196185"/>
        <n v="0.035735500140095265"/>
        <n v="0.15672038804568925"/>
        <n v="0.3133492436198468"/>
        <n v="0.03318548568274162"/>
        <n v="0.004154458810284668"/>
        <n v="0.2532573733849425"/>
        <n v="0.01116729294449576"/>
        <n v="0.007264695561228353"/>
        <n v="0.053061426031996844"/>
        <n v="0.019330931975323973"/>
        <n v="0.042321753381237955"/>
        <n v="0.1124523703006649"/>
        <n v="0.005507417878326378"/>
        <n v="0.07525438541731694"/>
        <n v="0.2477878318252262"/>
        <n v="0.11268438238937056"/>
        <n v="0.10473044250735662"/>
        <n v="0.2857142857142857"/>
        <n v="0.024588221778652157"/>
        <n v="0.08516899456232009"/>
        <n v="0.012654756958869964"/>
        <n v="0.03141548921212682"/>
        <n v="0.04515951128457492"/>
        <n v="0.06500536306717554"/>
        <n v="0.011763937960861271"/>
        <n v="0.004638956596225272"/>
        <n v="0.009691129217014326"/>
        <n v="0.09963303348163544"/>
        <n v="0.009292985897076677"/>
        <n v="0.03021140188178328"/>
        <n v="0.4814162309615822"/>
        <n v="0.17683295998062606"/>
        <n v="0.005115347204191485"/>
        <n v="0.12599882543467816"/>
        <n v="0.0752514645738919"/>
        <n v="0.19205393000573723"/>
        <n v="0.01295926862600336"/>
        <n v="0.1262277748407023"/>
        <n v="0.02319277108433735"/>
        <n v="0.15111615651049867"/>
        <n v="0.11528488722980978"/>
        <n v="0.03341085079537864"/>
        <n v="0.021631008017836472"/>
        <n v="0.8629253857535405"/>
        <n v="0.010618348881908959"/>
        <n v="0.00842104911750076"/>
        <n v="0.03860003054244998"/>
        <n v="0.015358980000606962"/>
        <n v="0.1734321902996602"/>
        <n v="0.03173847807587226"/>
        <n v="0.01882466431839566"/>
        <n v="0.047472498690413825"/>
        <n v="0.04448400088364743"/>
        <n v="0.007721095331789352"/>
        <n v="0.0498962140697622"/>
        <n v="0.023416025053676685"/>
        <n v="0.6215519974635383"/>
        <n v="0.005387895070587057"/>
        <n v="0.05813488328313253"/>
        <n v="0.0155736582694414"/>
        <n v="0.015980947620414798"/>
        <n v="0.042218563695776895"/>
        <n v="0.2547609794014769"/>
        <n v="0.16117216117216115"/>
        <n v="0.07770727881941969"/>
        <n v="0.04878477191704181"/>
        <n v="0.1111934649593137"/>
        <n v="0.06057461739838232"/>
        <n v="0.012095941937014229"/>
        <n v="0.05031006378454997"/>
        <n v="0.05054336100291837"/>
        <n v="0.013197416485390308"/>
        <n v="0.028810655465900295"/>
        <n v="0.005890842594471812"/>
        <n v="0.01462575209411396"/>
        <n v="0.39300320548248036"/>
        <n v="0.02451430085825536"/>
        <n v="0.21355552078443646"/>
        <n v="0.017870850777715473"/>
        <n v="0.9774997425599835"/>
        <n v="0.041353574976438524"/>
        <n v="0.10186837199045767"/>
        <n v="0.14905074844833882"/>
        <n v="0.031448721716132826"/>
        <n v="0.027839464614086033"/>
        <n v="0.12665078057145404"/>
        <n v="0.011359700357235028"/>
        <n v="0.010696897177752105"/>
        <n v="0.035537288668625905"/>
        <n v="0.17664680460974333"/>
        <n v="0.396601330695918"/>
        <n v="0.05595738491016522"/>
        <n v="0.005845563313685396"/>
        <n v="0.21989480765702404"/>
        <n v="0.16800333865582814"/>
        <n v="0.019529096779273957"/>
        <n v="0.008237567268022774"/>
        <n v="0.285849782107152"/>
        <n v="0.08316316111905248"/>
        <n v="0.026735626198309936"/>
        <n v="0.005603700120497762"/>
        <n v="0.1277258827264676"/>
        <n v="0.15856976292265837"/>
        <n v="1.0606764407025693"/>
        <n v="0.21825655563430194"/>
        <n v="0.033475417472282505"/>
        <n v="0.13699401924243737"/>
        <n v="0.03936865474319639"/>
        <n v="0.08350935297994222"/>
        <n v="0.01121868133488667"/>
        <n v="0.03075390485498938"/>
        <n v="0.014882223931185738"/>
        <n v="0.008816105220329976"/>
        <n v="0.028407260544365112"/>
        <n v="0.0413070329198932"/>
        <n v="0.17225606789030112"/>
        <n v="0.728413654618474"/>
        <n v="0.09561650858754164"/>
        <n v="0.1444878952960058"/>
        <n v="0.07474002473773421"/>
        <n v="0.38755870941392695"/>
        <n v="0.07329744509954712"/>
        <n v="0.026128635839014227"/>
        <n v="0.016227688834556893"/>
        <n v="0.06395747338278525"/>
        <n v="0.024316481079935438"/>
        <n v="0.025296786166671574"/>
        <n v="0.0033264501304185816"/>
        <n v="0.10569990806599894"/>
        <n v="0.08327367193732485"/>
        <n v="0.02300088650446238"/>
        <n v="0.14840020459195272"/>
        <n v="0.08048277024180639"/>
        <n v="0.13462095805904029"/>
        <n v="0.04524991236000663"/>
        <n v="0.02324350289686002"/>
        <n v="0.41547216534120673"/>
        <n v="0.0606828859840908"/>
        <n v="0.15995503754147022"/>
        <n v="0.007275535345011694"/>
        <n v="0.06262311603829766"/>
        <n v="0.03187599796777471"/>
        <n v="0.9912985274431056"/>
        <n v="0.017384698027779907"/>
        <n v="0.018017865479182344"/>
        <n v="0.34770066180213816"/>
        <n v="0.01914489352759877"/>
        <n v="0.10293953592146361"/>
        <n v="0.019548888270667038"/>
        <n v="0.06088182517303256"/>
        <n v="1.275174773166741"/>
        <n v="0.01051931283387109"/>
        <n v="0.05874240271293299"/>
        <n v="0.02736693394136117"/>
        <n v="0.03488359771539986"/>
        <n v="0.008266186075024167"/>
        <n v="0.02108433734939759"/>
        <n v="0.8019205535011332"/>
        <n v="0.5590239746866253"/>
        <n v="0.017401491823372896"/>
        <n v="0.2639248091843815"/>
        <n v="0.024460174372001826"/>
        <n v="0.04163003504253395"/>
        <n v="0.0032509940368874723"/>
        <n v="0.4094343475597305"/>
        <n v="0.01856397705619956"/>
        <n v="0.029428475692370448"/>
        <n v="0.10542999966748318"/>
        <n v="0.04381255592317456"/>
        <n v="0.10206274536347637"/>
        <n v="0.0588768296325799"/>
        <n v="0.01553076067754839"/>
        <n v="0.013843251795059023"/>
        <n v="0.8013482501434309"/>
        <n v="0.10665081852071966"/>
        <n v="0.014389703490477449"/>
        <n v="0.00719336975230113"/>
        <n v="0.01595534935703164"/>
        <n v="0.3103600844054183"/>
        <n v="0.010929826174928723"/>
        <n v="0.0048238150341478915"/>
        <n v="0.02493626309910555"/>
        <n v="0.029321282372771585"/>
        <n v="0.39576487769258856"/>
        <n v="0.47740112994350287"/>
        <n v="0.018696626749668037"/>
        <n v="0.006557225052411442"/>
        <n v="0.03257720045367973"/>
        <n v="0.017920378628551753"/>
        <n v="0.028482780680243094"/>
        <n v="0.030470568518277123"/>
        <n v="0.009446878422782037"/>
        <n v="0.011809585530385601"/>
        <n v="0.012859186872762472"/>
        <n v="0.6735850966892781"/>
        <n v="0.3051267570281124"/>
        <n v="0.04369838906186544"/>
        <n v="0.014549399945824352"/>
        <n v="0.5673281360737066"/>
        <n v="0.13563155849203265"/>
        <n v="0.18217732266750525"/>
        <n v="0.017069356173344947"/>
        <n v="0.012029198530722452"/>
        <n v="0.0680918848531587"/>
        <n v="0.04239655992390615"/>
        <n v="0.01808482847260682"/>
        <n v="3.1288009179575442"/>
        <n v="0.02273881239242685"/>
        <n v="0.06358456540196898"/>
        <n v="0.034336766232402983"/>
        <n v="0.036172816265060234"/>
        <n v="0.0510145846544071"/>
        <n v="0.14630087393191504"/>
        <n v="0.25765808331364676"/>
        <n v="0.07587473729806042"/>
        <n v="0.12985841671771833"/>
        <n v="0.03559053047732629"/>
        <n v="0.008249576463322698"/>
        <n v="0.019231531388712742"/>
        <n v="0.05758488499452356"/>
        <n v="0.21436581648790867"/>
        <n v="0.01376741512454135"/>
        <n v="0.015392492211159283"/>
        <n v="0.0068885650906876615"/>
        <n v="0.0634690661379696"/>
        <n v="0.10115559514321878"/>
        <n v="0.04965956692000164"/>
        <n v="0.07012144003449185"/>
        <n v="0.035961824827399486"/>
        <n v="0.00631811149117071"/>
        <n v="0.1171823444010785"/>
        <n v="0.06043733292792621"/>
        <n v="0.032265478097360537"/>
        <n v="0.026005110130379018"/>
        <n v="0.02308339776653323"/>
        <n v="0.03599730374247342"/>
        <n v="0.010011730397151057"/>
        <n v="0.09203028329534353"/>
        <n v="0.012508047457003587"/>
        <n v="0.020434795416384367"/>
        <n v="0.1392891152237817"/>
        <n v="0.0198019243249344"/>
        <n v="0.2692261583648025"/>
        <n v="0.04442067334759599"/>
        <n v="0.11654150849975242"/>
        <n v="0.14258391801501422"/>
        <n v="0.06915097576234587"/>
        <n v="0.039472042369708984"/>
        <n v="0.08981380065717415"/>
        <n v="0.0987092902861446"/>
        <n v="0.088683340534783"/>
        <n v="0.07582969916475718"/>
        <n v="0.018152631042250563"/>
        <n v="0.03341801061315714"/>
        <n v="0.01765475262217974"/>
        <n v="0.11687127057124395"/>
        <n v="0.0034715390235457587"/>
        <n v="0.019140945439934817"/>
        <n v="0.41104648478973366"/>
        <n v="0.19887414827850727"/>
        <n v="0.027154419203531684"/>
        <n v="0.005413139684328485"/>
        <n v="0.026061728516683248"/>
        <n v="0.06954303701291654"/>
        <n v="0.029030449716146715"/>
        <n v="0.19346906341945325"/>
        <n v="0.3343502766430529"/>
        <n v="0.08350768342832408"/>
        <n v="0.0044004263302563585"/>
        <n v="0.26520861772212"/>
        <n v="0.052429530838979374"/>
        <n v="0.052857736364175914"/>
        <n v="0.09705158244032398"/>
        <n v="0.02522014664161232"/>
        <n v="0.03656003323639385"/>
        <n v="0.0471003894180668"/>
        <n v="0.02764531811456352"/>
        <n v="0.8426730176520034"/>
        <n v="0.008726767535257309"/>
        <n v="0.05084050677262918"/>
        <n v="0.0769643925245053"/>
        <n v="0.06873557685501111"/>
        <n v="0.026765964846979712"/>
        <n v="0.12343714480563765"/>
        <n v="0.012468976141345177"/>
        <n v="0.0688954163762488"/>
        <n v="0.025748502994011976"/>
        <n v="0.274802179013082"/>
        <n v="0.9875844842785777"/>
        <n v="0.31062277278126593"/>
        <n v="0.16221309820286736"/>
        <n v="0.019924158535161857"/>
        <n v="0.01995438467992787"/>
        <n v="0.05234672098665869"/>
        <n v="0.00929735655714781"/>
        <n v="0.010009508641907675"/>
        <n v="0.09215073058190208"/>
        <n v="0.03500390450691655"/>
        <n v="0.2914080564682974"/>
        <n v="0.0966413599603895"/>
        <n v="0.06374499814138589"/>
        <n v="0.04593170744366805"/>
        <n v="0.21991044259172213"/>
        <n v="0.00569405584423"/>
        <n v="0.009788811366511437"/>
        <n v="0.01822774083316596"/>
        <n v="0.12851166855292753"/>
        <n v="0.011083650842686987"/>
        <n v="0.05406459963075049"/>
        <n v="0.16211014737286122"/>
        <n v="0.010189317147315892"/>
        <n v="0.12231425702811245"/>
        <n v="0.011318086949141427"/>
        <n v="0.03115955887040224"/>
        <n v="0.13543263964950714"/>
        <n v="0.02750854162920338"/>
        <n v="0.0324106342726277"/>
        <n v="0.023315073114861806"/>
        <n v="0.05859520556452613"/>
        <n v="0.011422577830582733"/>
        <n v="0.015828945008722305"/>
        <n v="0.04917908409456465"/>
        <n v="0.22938770005394715"/>
        <n v="0.017208115196398605"/>
        <n v="0.027366451605781807"/>
        <n v="0.12903109443763078"/>
        <n v="0.07605638693100934"/>
        <n v="0.010119138679213602"/>
        <n v="0.265692604672835"/>
        <n v="0.02800294048765255"/>
        <n v="0.010332899293134532"/>
        <n v="0.02439534814194744"/>
        <n v="0.297867942357666"/>
        <n v="0.004855211039564497"/>
        <n v="0.11062712388013593"/>
        <n v="0.016763819763629385"/>
        <n v="0.1449495163753606"/>
        <n v="0.022140569927895138"/>
        <n v="0.06323615806150261"/>
        <n v="0.06580551059961239"/>
        <n v="0.24400431916344623"/>
        <n v="0.0031017687772366058"/>
        <n v="0.1028610930842809"/>
        <n v="0.03735911387485426"/>
        <n v="0.009962268207792129"/>
        <n v="0.1992254733218589"/>
        <n v="0.6758853596202994"/>
        <n v="0.02120224670925696"/>
        <n v="0.005141979304547782"/>
        <n v="0.03826012712266388"/>
        <n v="0.20901788974078134"/>
        <n v="0.042487924046416076"/>
        <n v="0.29911482665355293"/>
        <n v="0.05869245005098766"/>
        <n v="0.01028033929853976"/>
        <n v="0.018031809584090792"/>
        <n v="0.016332912452945967"/>
        <n v="0.1263890513510352"/>
        <n v="0.02836595202181171"/>
        <n v="0.19641893801217664"/>
        <n v="0.02132740895863363"/>
        <n v="0.01571991988959014"/>
        <n v="0.031869656347542866"/>
        <n v="0.0517033289954242"/>
        <n v="0.24342153891640186"/>
        <n v="0.5654112513044304"/>
        <n v="0.008809373899495234"/>
        <n v="0.021481475553492616"/>
        <n v="0.007476596746827381"/>
        <n v="0.02203380686926812"/>
        <n v="0.03147846239326237"/>
        <n v="0.17899522618776995"/>
        <n v="0.11883247274813541"/>
        <n v="0.3389804706189379"/>
        <n v="0.0148836069186989"/>
        <n v="0.2438846294267981"/>
        <n v="0.0028478662484886052"/>
        <n v="0.4171564306004506"/>
        <n v="0.19266180367729424"/>
        <n v="0.0035051344300858"/>
        <n v="0.47695601683843813"/>
        <n v="0.14667230566100015"/>
        <n v="0.026837415499598987"/>
        <n v="0.10095372734370055"/>
        <n v="0.07251980896559211"/>
        <n v="0.014070948776141226"/>
        <n v="0.30479059093516925"/>
        <n v="0.060549243955688524"/>
        <n v="0.29303352021949186"/>
        <n v="0.3376122672508215"/>
        <n v="0.0740666651425436"/>
        <n v="0.317570281124498"/>
        <n v="0.13750194211782651"/>
        <n v="0.02282356633480376"/>
        <n v="0.026624759909202024"/>
        <n v="0.008234492995907073"/>
        <n v="0.006107825596460458"/>
        <n v="0.03024294205751858"/>
        <n v="0.07081429164935604"/>
        <n v="0.05675434858404679"/>
        <n v="0.02372950448410182"/>
        <n v="0.15261044176706826"/>
        <n v="0.041246689866485504"/>
        <n v="0.22308827145315957"/>
        <n v="0.04622335495829472"/>
        <n v="0.02673795693848648"/>
        <n v="0.08595738887754407"/>
        <n v="0.06007362784471218"/>
        <n v="0.008609979486290487"/>
        <n v="0.001316150678664023"/>
        <n v="0.5341225040020221"/>
        <n v="0.12131159368010966"/>
        <n v="0.050905012520427256"/>
        <n v="0.007756721917154718"/>
        <n v="0.06600108298361987"/>
        <n v="0.04349909039705301"/>
        <n v="0.018147905429248375"/>
        <n v="0.047140270250835135"/>
        <n v="0.0134654012927707"/>
        <n v="0.024301622895366956"/>
        <n v="0.07381300349326299"/>
        <n v="0.09488359943840403"/>
        <n v="0.009763953774280796"/>
        <n v="0.06420213227008753"/>
        <n v="0.01185393594220966"/>
        <n v="0.012096231817221038"/>
        <n v="0.0038852806013633698"/>
        <n v="0.01176915709944784"/>
        <n v="0.05527159141616973"/>
        <n v="0.0255228270943305"/>
        <n v="0.05814767449687016"/>
        <n v="0.02636814762672127"/>
        <n v="0.12976229241289483"/>
        <n v="0.1068025684399489"/>
        <n v="0.028597119721442337"/>
        <n v="0.045808923768468374"/>
        <n v="0.027270109851169386"/>
        <n v="0.1878386910085758"/>
        <n v="0.026962882798961623"/>
        <n v="0.006212168955157891"/>
        <n v="0.10343045823461208"/>
        <n v="0.0687324945538612"/>
        <n v="0.1156506367349741"/>
        <n v="0.23821671049016915"/>
        <n v="0.04504006363618726"/>
        <n v="0.005984395438152193"/>
        <n v="0.05025412452465263"/>
        <n v="0.04374718123832228"/>
        <n v="0.01080991497784546"/>
        <n v="0.04853231799903859"/>
        <n v="0.009852696242780817"/>
        <n v="0.2291707546799576"/>
        <n v="0.40937081659973223"/>
        <n v="0.012771441497214151"/>
        <n v="0.03166541401902506"/>
        <n v="0.008376615613501415"/>
        <n v="0.05457310667994191"/>
        <n v="0.014984794670009518"/>
        <n v="0.0066858398788935056"/>
        <n v="0.05253747305449259"/>
        <n v="0.0827186512118019"/>
        <n v="0.045123411192338064"/>
        <n v="0.04970865996738045"/>
        <n v="0.015519247345493621"/>
        <n v="0.038344996753480985"/>
        <n v="0.1229939520929568"/>
        <n v="0.11046098268672777"/>
        <n v="0.14618616816018523"/>
        <n v="0.027937284427161462"/>
        <n v="0.02463177264687453"/>
        <n v="0.0716254849908107"/>
        <n v="0.33140482722971093"/>
        <n v="0.06151244321548489"/>
        <n v="0.004715942701820333"/>
        <n v="0.07629141048375068"/>
        <n v="0.1178493132717495"/>
        <n v="0.12763226820324777"/>
        <n v="0.018826747635952955"/>
        <n v="0.010781055255504777"/>
        <n v="0.010336227460176275"/>
        <n v="0.04640910008750084"/>
        <n v="0.021791010194624656"/>
        <n v="0.050245274111779314"/>
        <n v="0.2379835129993659"/>
        <n v="0.014287088920317227"/>
        <n v="3.07386066003143"/>
        <n v="0.021910747683876297"/>
        <n v="0.3509135881273438"/>
        <n v="0.030938907143726418"/>
        <n v="0.02368153817076335"/>
        <n v="0.046832698204960416"/>
        <n v="0.1997711516456889"/>
        <n v="0.014345508493467314"/>
        <n v="0.014423096341113701"/>
        <n v="0.020996148796817212"/>
        <n v="0.14199655765920827"/>
        <n v="0.1721385542168675"/>
        <n v="0.18093940243001605"/>
        <n v="0.04212637913741224"/>
        <n v="0.26515867391133163"/>
        <n v="0.126417434443657"/>
        <n v="0.007635085797736399"/>
        <n v="0.07810332238043081"/>
        <n v="0.04991861857367358"/>
        <n v="0.01447626284093602"/>
        <n v="0.01963990299787223"/>
        <n v="0.027945623293522064"/>
        <n v="0.0080802129259026"/>
        <n v="0.006756623346878172"/>
        <n v="0.05710570742500026"/>
        <n v="0.047658729134955245"/>
        <n v="0.023303358360980155"/>
        <n v="0.007124566845567312"/>
        <n v="0.06464736702320302"/>
        <n v="0.01059378903789967"/>
        <n v="0.017765904452056305"/>
        <n v="0.20952302360125433"/>
        <n v="0.011581805133416534"/>
        <n v="0.012757865996359538"/>
        <n v="0.004921338967707208"/>
        <n v="0.017877899480701863"/>
        <n v="0.053203468077919154"/>
        <n v="0.04685672713427072"/>
        <n v="0.0978384124734231"/>
        <n v="0.028423454190813515"/>
        <n v="0.007351339897940566"/>
        <n v="0.01768943694091092"/>
        <n v="0.019385922812127632"/>
        <n v="6.629518072289157"/>
        <n v="0.007877048655341981"/>
        <n v="0.024836033740176205"/>
        <n v="0.012847158248543695"/>
        <n v="0.3072289156626506"/>
        <n v="1.1950126085738304"/>
        <n v="0.038220910854301564"/>
        <n v="0.05447699890470975"/>
        <n v="0.008481538658929776"/>
        <n v="0.05647653692988945"/>
        <n v="0.48603504928806135"/>
        <n v="0.17027214288463757"/>
        <n v="0.8333891120035698"/>
        <n v="0.04024923222300969"/>
        <n v="0.01088886606107744"/>
        <n v="0.06846214374035582"/>
        <n v="0.012973600666163572"/>
        <n v="0.12804833793003337"/>
        <n v="0.014858483198133937"/>
        <n v="0.0054827151744231825"/>
        <n v="0.013522360777903737"/>
        <n v="0.011530284032055825"/>
        <n v="0.008458453270394616"/>
        <n v="0.018090152581127433"/>
        <n v="0.29319371727748694"/>
        <n v="0.058757378330147936"/>
        <n v="0.052206926565577905"/>
        <n v="0.6284033772886823"/>
        <n v="0.16411592315206772"/>
        <n v="0.031518504296068735"/>
        <n v="0.02437173118107254"/>
        <n v="0.06913183279742766"/>
        <n v="0.020710072432587493"/>
        <n v="0.025921040941986894"/>
        <n v="0.536144578313253"/>
        <n v="0.09575142675967024"/>
        <n v="0.7494711671111929"/>
        <n v="0.02160645273791227"/>
        <n v="0.027043640640886768"/>
        <n v="0.17369285202229262"/>
        <n v="0.00972640562248996"/>
        <n v="0.7710843373493976"/>
        <n v="0.031200704144852657"/>
        <n v="0.014722553879180386"/>
        <n v="0.009399036999409839"/>
        <n v="0.4448781039651565"/>
        <n v="0.06532079701875397"/>
        <n v="0.06563816240572043"/>
        <n v="0.01679359578783361"/>
        <n v="0.019522191329420246"/>
        <n v="0.006952337652496779"/>
        <n v="0.015880900235272596"/>
        <n v="0.04237568832029147"/>
        <n v="0.12857925207322796"/>
        <n v="0.01186107271251576"/>
        <n v="0.015649263721552877"/>
        <n v="0.035314141004418036"/>
        <n v="0.020969128444635474"/>
        <n v="0.007019916400295058"/>
        <n v="0.3566320074819827"/>
        <n v="0.011867360585339874"/>
        <n v="0.2933563908631371"/>
        <n v="0.04391796879394328"/>
        <n v="0.010107664701358626"/>
        <n v="0.03730056703239758"/>
        <n v="0.15976257973068747"/>
        <n v="0.30521366039698367"/>
        <n v="0.005129650727261377"/>
        <n v="0.3492506611813106"/>
        <n v="0.19294275547787001"/>
        <n v="0.09979843327683358"/>
        <n v="1.6013143483023"/>
        <n v="0.022624204683904154"/>
        <n v="0.1869847812301839"/>
        <n v="0.12951807228915663"/>
        <n v="0.013291772990083658"/>
        <n v="0.009846121093983886"/>
        <n v="0.17876634744104625"/>
        <n v="0.05691467312089646"/>
        <n v="0.01458920789541143"/>
        <n v="0.042778545522964236"/>
        <n v="0.015634892664107114"/>
        <n v="0.0361119494905825"/>
        <n v="0.021352156494430834"/>
        <n v="0.12808681534649236"/>
        <n v="0.012910404784137903"/>
        <n v="0.5634847080630213"/>
        <n v="0.010385832297625255"/>
        <n v="0.12285505658999635"/>
        <n v="0.012772672237549871"/>
        <n v="0.029034523745205036"/>
        <n v="0.09345103185017298"/>
        <n v="0.011110190913084496"/>
        <n v="0.03954980762209678"/>
        <n v="0.07018871947968866"/>
        <n v="0.013502906654241276"/>
        <n v="0.0651355421686747"/>
        <n v="0.06619898240126869"/>
        <n v="0.004805117249786064"/>
        <n v="0.010179602377623869"/>
        <n v="0.010533873098804835"/>
        <n v="0.025324984147114777"/>
        <n v="0.0429129307929392"/>
        <n v="0.2553104726598703"/>
        <n v="0.2896200185356812"/>
        <n v="0.026546813053702368"/>
        <n v="0.08169262415515721"/>
        <n v="0.011472600499718745"/>
        <n v="0.08527688736597767"/>
        <n v="0.08569088310813165"/>
        <n v="0.010331541755746035"/>
        <n v="0.07982969942051944"/>
        <n v="0.5189706193193827"/>
        <n v="0.5176904802307823"/>
        <n v="0.009110101118760757"/>
        <n v="0.03082162378731076"/>
        <n v="0.0013014210297996312"/>
        <n v="0.03536302176136473"/>
        <n v="0.009006554833085656"/>
        <n v="0.013105255576877506"/>
        <n v="0.004963971176941553"/>
        <n v="0.014613513578122012"/>
        <n v="0.03034982125537897"/>
        <n v="0.03496088343701286"/>
        <n v="0.024110427724885555"/>
        <n v="0.13846370456785406"/>
        <n v="0.25183207055024215"/>
        <n v="0.05564480142793397"/>
        <n v="0.25067374762206723"/>
        <n v="0.03647613315242341"/>
        <n v="0.2375638919313618"/>
        <n v="0.2454090555771473"/>
        <n v="0.010005989025515406"/>
        <n v="0.03851700237242406"/>
        <n v="0.18223815507428487"/>
        <n v="0.7234128822984245"/>
        <n v="0.12366530341549685"/>
        <n v="0.1215446053878435"/>
        <n v="0.01081267746143811"/>
        <n v="0.0371101293367371"/>
        <n v="0.3093260413668325"/>
        <n v="0.06367654022202346"/>
        <n v="0.027139046686081487"/>
        <n v="0.10104096385542169"/>
        <n v="0.0011968754137428835"/>
        <n v="0.019124522878500836"/>
        <n v="0.021404964118770162"/>
        <n v="0.027325256150810787"/>
        <n v="0.020082303547853803"/>
        <n v="0.10125419711633418"/>
        <n v="0.15715451447223155"/>
        <n v="0.16372420374567578"/>
        <n v="0.019506312100993614"/>
        <n v="0.024912052261856762"/>
        <n v="0.06797610610509264"/>
        <n v="0.023627844712182062"/>
        <n v="0.00575714497069967"/>
        <n v="0.06364588789942378"/>
        <n v="0.016311886939928036"/>
        <n v="0.04867631059354475"/>
        <n v="0.037620074894171275"/>
        <n v="0.009783556928300286"/>
        <n v="0.015878926374422328"/>
        <n v="0.022463178280974806"/>
        <n v="0.3146529781096216"/>
        <n v="0.5745991484735935"/>
        <n v="0.010693023914347934"/>
        <n v="0.03062418250209198"/>
        <n v="0.2570414106758159"/>
        <n v="0.00275879906028407"/>
        <n v="0.0790946943631253"/>
        <n v="0.004278477546549836"/>
        <n v="0.037497434238761965"/>
        <n v="0.017180909323949566"/>
        <n v="0.024069444145095587"/>
        <n v="0.13630360367645075"/>
        <n v="0.026566265060240964"/>
        <n v="0.20015990736400985"/>
        <n v="0.06263724850139474"/>
        <n v="0.042722395127260226"/>
        <n v="0.020340397735520394"/>
        <n v="0.008517115930815404"/>
        <n v="0.028377298161470825"/>
        <n v="0.045456437147553944"/>
        <n v="0.19996419243407196"/>
        <n v="1.342682204226743"/>
        <n v="0.2215909090909091"/>
        <n v="0.020433113670150216"/>
        <n v="0.006781855214554493"/>
        <n v="0.014036748351310186"/>
        <n v="0.2674198276786672"/>
        <n v="0.008690180996834633"/>
        <n v="0.02057664230557658"/>
        <n v="0.012436844150796735"/>
        <n v="0.019747421890953645"/>
        <n v="0.21478467059728276"/>
        <n v="0.13327669652970855"/>
        <n v="0.16752725186460127"/>
        <n v="0.07303287222965939"/>
        <n v="0.5953486075449338"/>
        <n v="0.14978151600111134"/>
        <n v="0.020158901072295527"/>
        <n v="0.07315121669196065"/>
        <n v="0.16610923188020218"/>
        <n v="0.11144578313253012"/>
        <n v="0.025870472179982062"/>
        <n v="0.017794046139715813"/>
        <n v="0.21532445571760728"/>
        <n v="0.010400760152478523"/>
        <n v="0.18289744343226563"/>
        <n v="0.7966265060240965"/>
        <n v="0.32607258301498676"/>
        <n v="0.06696716937680793"/>
        <n v="0.008560558021559925"/>
        <n v="0.022790534642849778"/>
        <n v="0.05411236022155537"/>
        <n v="0.01935452653989452"/>
        <n v="0.003868281216428129"/>
        <n v="0.024670109007458408"/>
        <n v="0.5640275387263339"/>
        <n v="0.016303141885611133"/>
        <n v="0.0657428475511955"/>
        <n v="0.5935131253490785"/>
        <n v="0.04141221163296633"/>
        <n v="0.022177230322066477"/>
        <n v="0.15328772717990607"/>
        <n v="0.04698795180722891"/>
        <n v="0.24475986136326125"/>
        <n v="0.02702656467655612"/>
        <n v="0.18983075157773951"/>
        <n v="0.05616930261763667"/>
        <n v="0.011275850191899453"/>
        <n v="0.0059535663314414684"/>
        <n v="0.03477834784112527"/>
        <n v="0.04536588978866284"/>
        <n v="0.22686199342825852"/>
        <n v="1.011675568252391"/>
        <n v="0.010888058752701681"/>
        <n v="0.009272817669774632"/>
        <n v="0.01991085537501417"/>
        <n v="0.5464903090623363"/>
        <n v="0.22474817301994862"/>
        <n v="0.007076907299709546"/>
        <n v="0.2025937081659973"/>
        <n v="0.19077433328820903"/>
        <n v="0.10932505532333416"/>
        <n v="0.015389810362526337"/>
        <n v="1.1353539156626506"/>
        <n v="0.1822447685478757"/>
        <n v="0.014728992697131234"/>
        <n v="0.027064826005158173"/>
        <n v="0.4048682037795854"/>
        <n v="0.1374141253659326"/>
        <n v="0.013035265722662014"/>
        <n v="0.047206868711961246"/>
        <n v="0.018772184172374144"/>
        <n v="0.05141238768242956"/>
        <m/>
      </sharedItems>
    </cacheField>
    <cacheField name=" " numFmtId="0">
      <sharedItems containsString="0" containsBlank="1">
        <m/>
      </sharedItems>
    </cacheField>
    <cacheField name=" 2" numFmtId="0">
      <sharedItems containsString="0" containsBlank="1">
        <m/>
      </sharedItems>
    </cacheField>
    <cacheField name=" 3" numFmtId="0">
      <sharedItems containsString="0" containsBlank="1">
        <m/>
      </sharedItems>
    </cacheField>
    <cacheField name=" 4" numFmtId="0">
      <sharedItems containsString="0" containsBlank="1">
        <m/>
      </sharedItems>
    </cacheField>
    <cacheField name=" 5" numFmtId="0">
      <sharedItems containsString="0" containsBlank="1"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U1501" sheet="Cleaned_Data"/>
  </cacheSource>
  <cacheFields>
    <cacheField name="Resource ID" numFmtId="0">
      <sharedItems containsBlank="1">
        <s v="res-ST6BAJ2N"/>
        <s v="res-TYGNR0RV"/>
        <s v="res-S3I9C869"/>
        <s v="res-1RY9BZ6G"/>
        <s v="res-S3HQYIZ2"/>
        <s v="res-MWGCR6VT"/>
        <s v="res-FSWKHTQW"/>
        <s v="res-S7I6Z6JD"/>
        <s v="res-U3CCWT2L"/>
        <s v="res-4DX4UZEY"/>
        <s v="res-JAL9EY6P"/>
        <s v="res-B4GZM2Q6"/>
        <s v="res-012HZFAA"/>
        <s v="res-ELZMGAPV"/>
        <s v="res-XACLYR7O"/>
        <s v="res-O0Y1GSUY"/>
        <s v="res-S3LT44XO"/>
        <s v="res-4FELBDAQ"/>
        <s v="res-8DBLI7MV"/>
        <s v="res-KI6SEH8K"/>
        <s v="res-QTQQHAC7"/>
        <s v="res-4F4ZI2VT"/>
        <s v="res-EJ3TCI72"/>
        <s v="res-27V25S4F"/>
        <s v="res-T91EICVM"/>
        <s v="res-251A50KH"/>
        <s v="res-3JSZVG7Z"/>
        <s v="res-5O0LZKYC"/>
        <s v="res-PGHLRRI4"/>
        <s v="res-E5DZLWUA"/>
        <s v="res-A6LFJNRY"/>
        <s v="res-CWFW5Z7I"/>
        <s v="res-UEL2KJBD"/>
        <s v="res-2NWIUO2C"/>
        <s v="res-TDYG7ESV"/>
        <s v="res-66L7XN4J"/>
        <s v="res-SG6WQFX8"/>
        <s v="res-6EL50YPV"/>
        <s v="res-ALHVTEHO"/>
        <s v="res-Y3DP4TQK"/>
        <s v="res-XGSQU6G9"/>
        <s v="res-JYW9QXTH"/>
        <s v="res-M0XOPAGW"/>
        <s v="res-HLWAGRJX"/>
        <s v="res-TH2HV714"/>
        <s v="res-NGNWFF0O"/>
        <s v="res-UB3MG63E"/>
        <s v="res-P0IB37XB"/>
        <s v="res-8DMDOAEB"/>
        <s v="res-ZWIM5IQO"/>
        <s v="res-ND973JKK"/>
        <s v="res-RMU6GKFR"/>
        <s v="res-4DS5ZYPH"/>
        <s v="res-5K3QHZV3"/>
        <s v="res-N3JA77XL"/>
        <s v="res-SSBP7G7A"/>
        <s v="res-8EKE64Y9"/>
        <s v="res-5JQE0V7N"/>
        <s v="res-IGDCS3TU"/>
        <s v="res-UPEK7TGF"/>
        <s v="res-Q31L0E0M"/>
        <s v="res-3DE1XB74"/>
        <s v="res-WRHTSLS8"/>
        <s v="res-YAJ9RWIJ"/>
        <s v="res-J1A4NFH8"/>
        <s v="res-EALEFOKP"/>
        <s v="res-WN4BM9FD"/>
        <s v="res-TATL6NKT"/>
        <s v="res-OJK06WNM"/>
        <s v="res-ASTO68FD"/>
        <s v="res-F3P3S9SJ"/>
        <s v="res-R96K0UAA"/>
        <s v="res-UF72S2ZA"/>
        <s v="res-SPITPRK0"/>
        <s v="res-KENC5DI4"/>
        <s v="res-N4DACW72"/>
        <s v="res-UMDNFSOR"/>
        <s v="res-PAQEKYLT"/>
        <s v="res-7WNF8X7W"/>
        <s v="res-183YWOLN"/>
        <s v="res-QZSVFSSA"/>
        <s v="res-ACEAM0OK"/>
        <s v="res-S463U44F"/>
        <s v="res-1MJM7FDN"/>
        <s v="res-5ZMFEUSN"/>
        <s v="res-0XZC95XI"/>
        <s v="res-UYX9HR56"/>
        <s v="res-DJA0J2HT"/>
        <s v="res-YFTXHZ6V"/>
        <s v="res-IF612JJD"/>
        <s v="res-P48QXSH3"/>
        <s v="res-DMQNKYQI"/>
        <s v="res-W17TJLS5"/>
        <s v="res-Y743O1KJ"/>
        <s v="res-UOBIS97Y"/>
        <s v="res-IPSRXLS0"/>
        <s v="res-028HLTIJ"/>
        <s v="res-NOJL21YR"/>
        <s v="res-IPXAPWCU"/>
        <s v="res-3MIS5OW4"/>
        <s v="res-4AA89AW0"/>
        <s v="res-50ENK9SD"/>
        <s v="res-EL6QGI8H"/>
        <s v="res-I30ERORH"/>
        <s v="res-WZAXU5QI"/>
        <s v="res-BPP2I4JY"/>
        <s v="res-SXTAFMSQ"/>
        <s v="res-6QQFCS6P"/>
        <s v="res-3XQFDWRL"/>
        <s v="res-332C4VUK"/>
        <s v="res-9BI125KP"/>
        <s v="res-WSIQKZD2"/>
        <s v="res-S9RSLPXV"/>
        <s v="res-LHYKHUU8"/>
        <s v="res-M8RGW39R"/>
        <s v="res-LXFL51RN"/>
        <s v="res-QW1X0I92"/>
        <s v="res-ZRV6SYR0"/>
        <s v="res-DYNXWF06"/>
        <s v="res-4GSM5UB0"/>
        <s v="res-5YOKEQSZ"/>
        <s v="res-FJ60VPX8"/>
        <s v="res-IE6CLT4T"/>
        <s v="res-42IIGA5O"/>
        <s v="res-R88AAWSC"/>
        <s v="res-3INHYCC5"/>
        <s v="res-CX98PG3J"/>
        <s v="res-JI5I18V9"/>
        <s v="res-BVU9L5PE"/>
        <s v="res-BI1A8DVI"/>
        <s v="res-A6QRE83W"/>
        <s v="res-IVCT1BUF"/>
        <s v="res-BX65RY02"/>
        <s v="res-FNMVRLU5"/>
        <s v="res-K3BCF3R1"/>
        <s v="res-5DH5XK7R"/>
        <s v="res-OIFGN9S6"/>
        <s v="res-QFCBS0OP"/>
        <s v="res-HH25CATI"/>
        <s v="res-R75ZLOMH"/>
        <s v="res-D8Z8BVYA"/>
        <s v="res-NIS6F5IW"/>
        <s v="res-9DJ03H48"/>
        <s v="res-3SQHP1DE"/>
        <s v="res-07FYPZ25"/>
        <s v="res-51VG0KX4"/>
        <s v="res-EBIEIX2P"/>
        <s v="res-6ACV3TGJ"/>
        <s v="res-6TMZ7XGI"/>
        <s v="res-ND8F0M4A"/>
        <s v="res-KEQ8NILK"/>
        <s v="res-XQ207VHQ"/>
        <s v="res-SJ11891I"/>
        <s v="res-H19C9MGQ"/>
        <s v="res-XIM3O9P0"/>
        <s v="res-05LVI8W6"/>
        <s v="res-X8HLQJGR"/>
        <s v="res-NG4EDZQN"/>
        <s v="res-AK01OOOD"/>
        <s v="res-X0MRQ1EA"/>
        <s v="res-QC42LBFL"/>
        <s v="res-VK89NCIB"/>
        <s v="res-KH6Q1KUH"/>
        <s v="res-R4MY6SNT"/>
        <s v="res-ZOGT34FS"/>
        <s v="res-F9SA2UW2"/>
        <s v="res-PEEXNBZM"/>
        <s v="res-GTEJU4UK"/>
        <s v="res-WFOF16UH"/>
        <s v="res-2SCCW6WM"/>
        <s v="res-QD3IBKRP"/>
        <s v="res-86KNN8SR"/>
        <s v="res-1055YKL2"/>
        <s v="res-WAAIIIM2"/>
        <s v="res-F1AKU3HS"/>
        <s v="res-GL3BFL4Z"/>
        <s v="res-4ZVRCGH1"/>
        <s v="res-VH7R6G7G"/>
        <s v="res-IO7OE2QW"/>
        <s v="res-HI37MWQ9"/>
        <s v="res-XXMU8Z57"/>
        <s v="res-G8DQRSLB"/>
        <s v="res-YB8GRSNJ"/>
        <s v="res-Q18AS5C1"/>
        <s v="res-NNEGV70F"/>
        <s v="res-OGI8DBG9"/>
        <s v="res-B4TR1ASK"/>
        <s v="res-3UA97I0E"/>
        <s v="res-VTW7EGMW"/>
        <s v="res-2RR6XXID"/>
        <s v="res-3JI3YHI8"/>
        <s v="res-BZ5W9M5K"/>
        <s v="res-F3AE7OUB"/>
        <s v="res-359KKTUA"/>
        <s v="res-1MDPME6E"/>
        <s v="res-EWB6WO2A"/>
        <s v="res-AG72N60A"/>
        <s v="res-GYU2G1O4"/>
        <s v="res-X0KL98G2"/>
        <s v="res-HMB0HL0N"/>
        <s v="res-RL3ZN00U"/>
        <s v="res-U7QQJ58L"/>
        <s v="res-6B2CMM2G"/>
        <s v="res-4TYSS5S3"/>
        <s v="res-Y50DHQFX"/>
        <s v="res-0EVT01ZJ"/>
        <s v="res-BN0T44IH"/>
        <s v="res-BPLHVSWK"/>
        <s v="res-7XIEH2GK"/>
        <s v="res-1J7E15GY"/>
        <s v="res-0N5EXOOX"/>
        <s v="res-BUSP3LSD"/>
        <s v="res-0564S9TF"/>
        <s v="res-43HSMX9Z"/>
        <s v="res-ON0OFWM0"/>
        <s v="res-736OPXF9"/>
        <s v="res-FQYG4I9V"/>
        <s v="res-95M0B8PU"/>
        <s v="res-YQ03U4NW"/>
        <s v="res-3ECMMHD3"/>
        <s v="res-YDYYGRBW"/>
        <s v="res-T4P2WKQB"/>
        <s v="res-KA8S76JP"/>
        <s v="res-HUV1NEIA"/>
        <s v="res-TMUUSOKX"/>
        <s v="res-SF4TOUWB"/>
        <s v="res-M10NG09Z"/>
        <s v="res-LHH3C6YV"/>
        <s v="res-NCB7MZNO"/>
        <s v="res-NPBLNHIG"/>
        <s v="res-82OZQF0P"/>
        <s v="res-YHWPU7BD"/>
        <s v="res-X5BAACYY"/>
        <s v="res-WM0B0C31"/>
        <s v="res-FCXPJQYL"/>
        <s v="res-38ISYK8S"/>
        <s v="res-E8NJ0KAF"/>
        <s v="res-1OOHFVAM"/>
        <s v="res-A9LFGMQ4"/>
        <s v="res-PDEQJ7U4"/>
        <s v="res-LWGX075A"/>
        <s v="res-65HI6BOX"/>
        <s v="res-IOPJEVUT"/>
        <s v="res-AQX7XE3J"/>
        <s v="res-O0TIM29P"/>
        <s v="res-3JKQG3E4"/>
        <s v="res-TDS8CF7O"/>
        <s v="res-KSGEF76B"/>
        <s v="res-7HPPI6FR"/>
        <s v="res-R357HHSJ"/>
        <s v="res-VVSWUAAE"/>
        <s v="res-5YX2EPSC"/>
        <s v="res-URCNWFQT"/>
        <s v="res-BUIL1EJV"/>
        <s v="res-VH870SCG"/>
        <s v="res-QKN93IUQ"/>
        <s v="res-BZBXUZYI"/>
        <s v="res-8OXJAS77"/>
        <s v="res-4IJ5Z6XM"/>
        <s v="res-4RM5Q210"/>
        <s v="res-K36OUS3E"/>
        <s v="res-ZCBXMI9R"/>
        <s v="res-B8DX6CAK"/>
        <s v="res-H2ADSWPM"/>
        <s v="res-Z6YLMLP0"/>
        <s v="res-A1U5Y9Z5"/>
        <s v="res-RD9ZXRO7"/>
        <s v="res-X4V3GS0X"/>
        <s v="res-QZVTIOPY"/>
        <s v="res-V8M6PWQA"/>
        <s v="res-3ZENSZLY"/>
        <s v="res-RN9QSQUX"/>
        <s v="res-HZFHS19U"/>
        <s v="res-RMKORSAL"/>
        <s v="res-SRHDS40W"/>
        <s v="res-4TY3J9IY"/>
        <s v="res-A8ISV5AK"/>
        <s v="res-C2XM3T1J"/>
        <s v="res-YO1RR5X7"/>
        <s v="res-JZACY5C6"/>
        <s v="res-D21R9SB1"/>
        <s v="res-WU10MTCT"/>
        <s v="res-9VSL8AKL"/>
        <s v="res-XQ2SNANY"/>
        <s v="res-DM1O00MA"/>
        <s v="res-1KZU3DQJ"/>
        <s v="res-J34Y24JL"/>
        <s v="res-88VX0F0Q"/>
        <s v="res-0C0LFDHN"/>
        <s v="res-PN87VCFD"/>
        <s v="res-J5Y0L80C"/>
        <s v="res-WYVJMQ5V"/>
        <s v="res-46F0DI7D"/>
        <s v="res-AUBOWRG6"/>
        <s v="res-V6XDWUHS"/>
        <s v="res-A2IYLGCP"/>
        <s v="res-YM61GD4T"/>
        <s v="res-B1KP68K8"/>
        <s v="res-456UVDXI"/>
        <s v="res-N5X9BFE3"/>
        <s v="res-919DA5VW"/>
        <s v="res-DE1PLN2D"/>
        <s v="res-ZVWW1WO8"/>
        <s v="res-OXE22REJ"/>
        <s v="res-ILI945FI"/>
        <s v="res-MDO55NUJ"/>
        <s v="res-XRQLR0TM"/>
        <s v="res-VP7PCV8U"/>
        <s v="res-1JUX8LS9"/>
        <s v="res-PVXWL5C0"/>
        <s v="res-1YJWKW8I"/>
        <s v="res-G71C069R"/>
        <s v="res-39FWQC69"/>
        <s v="res-3PG1IW3C"/>
        <s v="res-PJBYZUOO"/>
        <s v="res-67NUV63U"/>
        <s v="res-5QMXZ068"/>
        <s v="res-DJYS3EO0"/>
        <s v="res-K8RTFPZB"/>
        <s v="res-LMD14FLO"/>
        <s v="res-1L3R61L2"/>
        <s v="res-6P1VN6A6"/>
        <s v="res-8IM8M8TY"/>
        <s v="res-CFVZ9YM8"/>
        <s v="res-RZPR26RG"/>
        <s v="res-0D7YRCPL"/>
        <s v="res-IK64CSKN"/>
        <s v="res-K7ZK8W1L"/>
        <s v="res-78Q0LVMD"/>
        <s v="res-JWK1VY6C"/>
        <s v="res-S7Q4AYVH"/>
        <s v="res-0DCGVMQZ"/>
        <s v="res-67MMOXFA"/>
        <s v="res-8YQ9D8TD"/>
        <s v="res-QMUAHM07"/>
        <s v="res-O6M9SSN4"/>
        <s v="res-LHZFUPDP"/>
        <s v="res-AOZJGYUX"/>
        <s v="res-NFHPGG0Z"/>
        <s v="res-KRBRGY62"/>
        <s v="res-L0UE4NJN"/>
        <s v="res-YDT1D7I0"/>
        <s v="res-LSZORKYT"/>
        <s v="res-TOM757KG"/>
        <s v="res-P3K1XB02"/>
        <s v="res-Q9JMMDUX"/>
        <s v="res-HGKJZW45"/>
        <s v="res-5V6UFGIT"/>
        <s v="res-CDVJC43F"/>
        <s v="res-QMCYY81X"/>
        <s v="res-VUSTFBR7"/>
        <s v="res-4PZ1KJHH"/>
        <s v="res-THEHRU3S"/>
        <s v="res-F13OGCS1"/>
        <s v="res-KGO1KFI6"/>
        <s v="res-00VD7NNT"/>
        <s v="res-GCNCHXF4"/>
        <s v="res-UMMHRIG7"/>
        <s v="res-O249RCT8"/>
        <s v="res-O5HIQONO"/>
        <s v="res-MSIXWNK6"/>
        <s v="res-9L80VK58"/>
        <s v="res-KNQJEPTH"/>
        <s v="res-BHG77DRY"/>
        <s v="res-CGVIM3VM"/>
        <s v="res-4PLMEJQY"/>
        <s v="res-X0NWEN6B"/>
        <s v="res-YA2CNX3Q"/>
        <s v="res-7L8FKGV4"/>
        <s v="res-L83XSLB2"/>
        <s v="res-ORVHD3QJ"/>
        <s v="res-WNYYXOZ8"/>
        <s v="res-OPAHBCNW"/>
        <s v="res-9BXRHYAB"/>
        <s v="res-IFIVJIKO"/>
        <s v="res-N63N1THH"/>
        <s v="res-YBFM0HGL"/>
        <s v="res-0IP8J7AC"/>
        <s v="res-W2V0JO7D"/>
        <s v="res-GGDLBTZY"/>
        <s v="res-P764A8A1"/>
        <s v="res-M3J3HSIX"/>
        <s v="res-0HQNQVI5"/>
        <s v="res-35L3HOZL"/>
        <s v="res-AUEOBCLI"/>
        <s v="res-P7E29M8B"/>
        <s v="res-ZCUUTLGI"/>
        <s v="res-QL123BDS"/>
        <s v="res-L6L55VM8"/>
        <s v="res-2PQ8JLFF"/>
        <s v="res-XUQR0FEN"/>
        <s v="res-0XF3LPGM"/>
        <s v="res-K77K7HI1"/>
        <s v="res-B6UNMR1R"/>
        <s v="res-XCONMZ4R"/>
        <s v="res-F5EMGMM8"/>
        <s v="res-O3VMKAIQ"/>
        <s v="res-WNBNYM8O"/>
        <s v="res-LOBNLX91"/>
        <s v="res-04X4P614"/>
        <s v="res-09NGMZMO"/>
        <s v="res-HPZG31IQ"/>
        <s v="res-6KO0D3WF"/>
        <s v="res-BIUTYIMI"/>
        <s v="res-D1HIUXNT"/>
        <s v="res-AFB773PU"/>
        <s v="res-4N1DTK2I"/>
        <s v="res-SFJXVKKV"/>
        <s v="res-OYTZUKIA"/>
        <s v="res-WLX7A2R1"/>
        <s v="res-HX66EBRY"/>
        <s v="res-7UGY460K"/>
        <s v="res-13MDNGII"/>
        <s v="res-ASCHOJSB"/>
        <s v="res-M3ZBKI2V"/>
        <s v="res-ZVJ578GN"/>
        <s v="res-6EVRQG86"/>
        <s v="res-XE6UW387"/>
        <s v="res-6OMQ4VML"/>
        <s v="res-W2W76LHZ"/>
        <s v="res-XKCDKTD2"/>
        <s v="res-JIXXZX0J"/>
        <s v="res-JS3UWAGV"/>
        <s v="res-ZA5L8Z41"/>
        <s v="res-V7ARIHDE"/>
        <s v="res-J6ZAWPRX"/>
        <s v="res-83N992IF"/>
        <s v="res-WK1ERI38"/>
        <s v="res-6KHDCRDB"/>
        <s v="res-EM2XFZ8L"/>
        <s v="res-G09747ZS"/>
        <s v="res-6BOEVI0R"/>
        <s v="res-NXRJ4YNL"/>
        <s v="res-GZEVM27G"/>
        <s v="res-9N3H6DQ3"/>
        <s v="res-VTF7HJFJ"/>
        <s v="res-MT5KX17K"/>
        <s v="res-MUK4Z2BS"/>
        <s v="res-ZKMC08Q6"/>
        <s v="res-JVK1HOLG"/>
        <s v="res-IFBHPEQV"/>
        <s v="res-H40WACZG"/>
        <s v="res-1WUR8G93"/>
        <s v="res-TZCL1KUV"/>
        <s v="res-C7QGGDW5"/>
        <s v="res-73GWCHWA"/>
        <s v="res-EO8OTO8A"/>
        <s v="res-73ZAL0VC"/>
        <s v="res-YLWPCS4J"/>
        <s v="res-P1D6Y54C"/>
        <s v="res-P7GN3K3R"/>
        <s v="res-MZB1S515"/>
        <s v="res-1T4FT6CF"/>
        <s v="res-90LFZLNG"/>
        <s v="res-8N8FWB7N"/>
        <s v="res-EN9HYT2Z"/>
        <s v="res-5L671N5R"/>
        <s v="res-1M0Q8CHS"/>
        <s v="res-J6HX9Q39"/>
        <s v="res-WXMB7NAK"/>
        <s v="res-170DHBTE"/>
        <s v="res-Z5B8KSYG"/>
        <s v="res-29Q20CVB"/>
        <s v="res-GXCYBT0U"/>
        <s v="res-UGRRL92J"/>
        <s v="res-OT3AHW3P"/>
        <s v="res-302U0L3S"/>
        <s v="res-34QKC3L8"/>
        <s v="res-7KU20OYT"/>
        <s v="res-53MWIOTB"/>
        <s v="res-EYHDF3I5"/>
        <s v="res-DTA164QF"/>
        <s v="res-WBZ9MQQ6"/>
        <s v="res-736606E0"/>
        <s v="res-3SESG8V7"/>
        <s v="res-DFQJABAV"/>
        <s v="res-IP58UFOC"/>
        <s v="res-DXFGDOXR"/>
        <s v="res-B5CBCS7N"/>
        <s v="res-89970DYQ"/>
        <s v="res-2AKD3D5G"/>
        <s v="res-283P4R0H"/>
        <s v="res-4DJD3851"/>
        <s v="res-M9M70ZPZ"/>
        <s v="res-4NROFVST"/>
        <s v="res-7HJ4T115"/>
        <s v="res-3LCAI3LD"/>
        <s v="res-WCPBCXOU"/>
        <s v="res-6J904SEE"/>
        <s v="res-C7XKMCFZ"/>
        <s v="res-4B0XP5WC"/>
        <s v="res-UDEMX028"/>
        <s v="res-91ZZKPJI"/>
        <s v="res-JVDFHO7N"/>
        <s v="res-0218J7D8"/>
        <s v="res-JTYGDNH2"/>
        <s v="res-Y7Q58WZT"/>
        <s v="res-3UMQCQ7L"/>
        <s v="res-18VH12GB"/>
        <s v="res-JN0AHW8I"/>
        <s v="res-Q146W4NW"/>
        <s v="res-RY520DKS"/>
        <s v="res-FIFHP5ZQ"/>
        <s v="res-VIBAAJU5"/>
        <s v="res-1YDLUFQT"/>
        <s v="res-4SLUER38"/>
        <s v="res-QF6RILJO"/>
        <s v="res-DMFUA1DF"/>
        <s v="res-F1XQDNVO"/>
        <s v="res-MOZFAE74"/>
        <s v="res-GVFZ0SMQ"/>
        <s v="res-26V8MDKP"/>
        <s v="res-ZGMEQDGM"/>
        <s v="res-G897SS0M"/>
        <s v="res-SLNI45BI"/>
        <s v="res-K1E7YCCI"/>
        <s v="res-PYSNFSN2"/>
        <s v="res-VIN5D25W"/>
        <s v="res-7XJ95SED"/>
        <s v="res-86BKSPWE"/>
        <s v="res-9QO2FLXN"/>
        <s v="res-RTW0L80S"/>
        <s v="res-W3LTP3WP"/>
        <s v="res-YQQ8HHB8"/>
        <s v="res-IZW2W4XT"/>
        <s v="res-3F8DKCVT"/>
        <s v="res-1LJV1O1D"/>
        <s v="res-2UBLDDOC"/>
        <s v="res-IKZR0V6S"/>
        <s v="res-0GZ8OVBM"/>
        <s v="res-JIIFFF2O"/>
        <s v="res-1C1MLL0U"/>
        <s v="res-MF4NDR22"/>
        <s v="res-4ZQSMUOB"/>
        <s v="res-100J1BTT"/>
        <s v="res-RJ0E47ZX"/>
        <s v="res-YXBRWF8R"/>
        <s v="res-ATPOHCEH"/>
        <s v="res-XVWM45WT"/>
        <s v="res-4ZQ18WTF"/>
        <s v="res-S5U6W344"/>
        <s v="res-VA3KJDZY"/>
        <s v="res-Z35RBDV4"/>
        <s v="res-3VGZRWN0"/>
        <s v="res-MRQ0A8DI"/>
        <s v="res-DXKGGUD7"/>
        <s v="res-F6974M69"/>
        <s v="res-6NNXDHTY"/>
        <s v="res-RUL6UJ2I"/>
        <s v="res-7FJ5OXXK"/>
        <s v="res-5LLLKIJS"/>
        <s v="res-ZUP1NWYK"/>
        <s v="res-Z3DIR5XZ"/>
        <s v="res-G35CH69Y"/>
        <s v="res-UIJBQHY2"/>
        <s v="res-BGUFYUQ7"/>
        <s v="res-YVDZ7Y3W"/>
        <s v="res-7WRJI2RL"/>
        <s v="res-MHVWXAQE"/>
        <s v="res-6SG95JJU"/>
        <s v="res-4PF8L5PT"/>
        <s v="res-0GMDP20S"/>
        <s v="res-URVB26BJ"/>
        <s v="res-9K7LR2E5"/>
        <s v="res-EEVOKLZA"/>
        <s v="res-P3JCTDOS"/>
        <s v="res-EBCDGE0Z"/>
        <s v="res-S8V5CKIR"/>
        <s v="res-L9JQCL5H"/>
        <s v="res-U8V4KCX7"/>
        <s v="res-W85DRFX6"/>
        <s v="res-G0M36ARR"/>
        <s v="res-ZL3PAL15"/>
        <s v="res-LQKRRLX7"/>
        <s v="res-UATET0ZG"/>
        <s v="res-H0FLX264"/>
        <s v="res-6IVQ41GN"/>
        <s v="res-3KCNHXTD"/>
        <s v="res-K495NBU3"/>
        <s v="res-OTHYLWH2"/>
        <s v="res-6801EISE"/>
        <s v="res-M9S9G8PA"/>
        <s v="res-9R1D3HRY"/>
        <s v="res-CRE9O9RH"/>
        <s v="res-T0OGQ1VW"/>
        <s v="res-U0XU6E1T"/>
        <s v="res-IY6FLR1C"/>
        <s v="res-FKAJATB6"/>
        <s v="res-NWYU1CZI"/>
        <s v="res-92H4UOES"/>
        <s v="res-7MPLP0WF"/>
        <s v="res-MJRPXFOX"/>
        <s v="res-MD82YFPZ"/>
        <s v="res-BTTU0WCG"/>
        <s v="res-7LLUZT3G"/>
        <s v="res-P8SSCHN9"/>
        <s v="res-OPE31JB2"/>
        <s v="res-D2NUI8OM"/>
        <s v="res-FUUMP7RH"/>
        <s v="res-2H6QN7WR"/>
        <s v="res-C3AMONZ6"/>
        <s v="res-A7Y0GW1C"/>
        <s v="res-IU418MQO"/>
        <s v="res-X1YXF17C"/>
        <s v="res-ZZQL1YQ2"/>
        <s v="res-WIQEH8YU"/>
        <s v="res-OYKGBR4C"/>
        <s v="res-8ZPK23NO"/>
        <s v="res-UM51L7IM"/>
        <s v="res-3E70ZYHQ"/>
        <s v="res-6SP2IRJE"/>
        <s v="res-GLWSU5H0"/>
        <s v="res-RF559IVM"/>
        <s v="res-ZRWDCB3G"/>
        <s v="res-HD39T851"/>
        <s v="res-5KDNGDZZ"/>
        <s v="res-5RZ6TIFT"/>
        <s v="res-4TBQH6B1"/>
        <s v="res-RNNS13FP"/>
        <s v="res-7GZ4LH6T"/>
        <s v="res-UPQDPFWM"/>
        <s v="res-65KB06P4"/>
        <s v="res-PNEPCKHW"/>
        <s v="res-UWUK1WBC"/>
        <s v="res-LOIOQXNF"/>
        <s v="res-RDEPCFLV"/>
        <s v="res-6XJ1JNZ2"/>
        <s v="res-LBZMB3VM"/>
        <s v="res-O49NSWHT"/>
        <s v="res-20FMK4XS"/>
        <s v="res-17K5MA2I"/>
        <s v="res-GDQLCMX8"/>
        <s v="res-NKCZLRJU"/>
        <s v="res-Q1HJ9CE1"/>
        <s v="res-6LM9YMD7"/>
        <s v="res-12TS2RYR"/>
        <s v="res-O8PDL53S"/>
        <s v="res-3KX732X1"/>
        <s v="res-JVCW6WXY"/>
        <s v="res-SXWYPIJP"/>
        <s v="res-2QQ6HOHO"/>
        <s v="res-PAFNOK2A"/>
        <s v="res-D79LIUCM"/>
        <s v="res-O7TJPBX0"/>
        <s v="res-WGSVDFWN"/>
        <s v="res-4DO2MP7J"/>
        <s v="res-E1TEQ68A"/>
        <s v="res-9EXDL0LJ"/>
        <s v="res-9I0KF8ZE"/>
        <s v="res-1P8GV0VG"/>
        <s v="res-C6M2YMQC"/>
        <s v="res-Y540QPHT"/>
        <s v="res-74241U61"/>
        <s v="res-6F43M9Y6"/>
        <s v="res-VWM05I69"/>
        <s v="res-G5VJ1M4Z"/>
        <s v="res-HS2X631B"/>
        <s v="res-LYGNJ32Z"/>
        <s v="res-Z56ZPSDU"/>
        <s v="res-C6R5KLBL"/>
        <s v="res-5GDKWNDY"/>
        <s v="res-T3Y6SA4H"/>
        <s v="res-1HP4FD4P"/>
        <s v="res-GZ7OSG7F"/>
        <s v="res-JVCSJXZW"/>
        <s v="res-3KHNOERC"/>
        <s v="res-82O1CU5O"/>
        <s v="res-FKBX47G9"/>
        <s v="res-VN7DLO1M"/>
        <s v="res-DN37URKZ"/>
        <s v="res-4E62CARB"/>
        <s v="res-5GP5VC4H"/>
        <s v="res-NSTICBTG"/>
        <s v="res-0WGR132X"/>
        <s v="res-1ET43TWO"/>
        <s v="res-J3K0S8WA"/>
        <s v="res-ZNB547LC"/>
        <s v="res-TJ8PJWH3"/>
        <s v="res-X8Z2TTPB"/>
        <s v="res-ID3TQL0D"/>
        <s v="res-VQUTFC77"/>
        <s v="res-3KUVBA4U"/>
        <s v="res-8TQHCUBR"/>
        <s v="res-G1UKX19E"/>
        <s v="res-5Z4G3E2Q"/>
        <s v="res-389SKH1S"/>
        <s v="res-PMFSLBBH"/>
        <s v="res-PUPHN3NU"/>
        <s v="res-EYL1TUPP"/>
        <s v="res-J19CN3NN"/>
        <s v="res-YJD6C3D4"/>
        <s v="res-CUF8T9GJ"/>
        <s v="res-ZYJ0EG74"/>
        <s v="res-OGSC78DB"/>
        <s v="res-VE7R48S7"/>
        <s v="res-LOLZV3LI"/>
        <s v="res-5X6K6WLT"/>
        <s v="res-0CUDY9AM"/>
        <s v="res-AQ4RAS3L"/>
        <s v="res-646U2LFY"/>
        <s v="res-AL8CY2G4"/>
        <s v="res-I1EQ5CLU"/>
        <s v="res-RX9UX2JI"/>
        <s v="res-XZR73CZX"/>
        <s v="res-0TOZI6GW"/>
        <s v="res-73GJ8ZUQ"/>
        <s v="res-AEERPNRU"/>
        <s v="res-04VZR9YX"/>
        <s v="res-XCM67VGG"/>
        <s v="res-MHUZ0UCB"/>
        <s v="res-6DI4L9KW"/>
        <s v="res-1OTG2ED8"/>
        <s v="res-YC6UWXKN"/>
        <s v="res-EZZPDSGT"/>
        <s v="res-1RO85N0I"/>
        <s v="res-B0V0BXYX"/>
        <s v="res-Q1Z642YW"/>
        <s v="res-7I5BNPH4"/>
        <s v="res-8OS99PYD"/>
        <s v="res-8BZBGC0U"/>
        <s v="res-0PKXQAXF"/>
        <s v="res-16BUMNBK"/>
        <s v="res-MF8DX3V6"/>
        <s v="res-H0DVICQY"/>
        <s v="res-MMDE8EPH"/>
        <s v="res-4S2BRMYT"/>
        <s v="res-XQL2AHQF"/>
        <s v="res-RQBGWF4Z"/>
        <s v="res-6RW65FE5"/>
        <s v="res-BCMWHPZX"/>
        <s v="res-O31OVWGU"/>
        <s v="res-E7UTIGZQ"/>
        <s v="res-09E1SUAC"/>
        <s v="res-7DE9JX1O"/>
        <s v="res-KMJ0ZWLU"/>
        <s v="res-7YHGGLUF"/>
        <s v="res-AVL32DIT"/>
        <s v="res-NDDYJYFK"/>
        <s v="res-VUQ7XBR2"/>
        <s v="res-58DCP6N2"/>
        <s v="res-OZI3Q9ZQ"/>
        <s v="res-BTHVTPVM"/>
        <s v="res-C5CZKKHQ"/>
        <s v="res-VF6FXCMT"/>
        <s v="res-72P7USQ6"/>
        <s v="res-PTRRMRUK"/>
        <s v="res-IJNXZ1NF"/>
        <s v="res-8F9Q0YB6"/>
        <s v="res-ZT4WVZWK"/>
        <s v="res-KSQS8ZME"/>
        <s v="res-LYT5L04L"/>
        <s v="res-Z20WG5ZX"/>
        <s v="res-S0A3I6KB"/>
        <s v="res-EJM2VMLK"/>
        <s v="res-1N1PQBTG"/>
        <s v="res-9DDBUWHQ"/>
        <s v="res-KC83Q99Y"/>
        <s v="res-YD1IOCX0"/>
        <s v="res-US4RKQ3B"/>
        <s v="res-45UOBT4K"/>
        <s v="res-R6V1BSDX"/>
        <s v="res-539OP86H"/>
        <s v="res-R6V5BB2L"/>
        <s v="res-2RV15ZP7"/>
        <s v="res-XK8ZUWJA"/>
        <s v="res-ZYERG9LE"/>
        <s v="res-0JHYJ1B4"/>
        <s v="res-2JRVPSWP"/>
        <s v="res-AP3286AB"/>
        <s v="res-9DNO9QPT"/>
        <s v="res-J4TRG8XL"/>
        <s v="res-S6ZTAF66"/>
        <s v="res-FOA4IPAX"/>
        <s v="res-3C0U1R2L"/>
        <s v="res-TN5WOFB9"/>
        <s v="res-WVOZ77BZ"/>
        <s v="res-C2XCQI33"/>
        <s v="res-2477FO6T"/>
        <s v="res-ORDNJ24E"/>
        <s v="res-FRZUHUVP"/>
        <s v="res-UROCE2L7"/>
        <s v="res-LR7KJKOA"/>
        <s v="res-UGEUXAAR"/>
        <s v="res-W8GT53T9"/>
        <s v="res-ALXOYSRK"/>
        <s v="res-BZNFRDX2"/>
        <s v="res-6C3V0R66"/>
        <s v="res-UOI35WIO"/>
        <s v="res-7SK0IW04"/>
        <s v="res-FHUOQ7BP"/>
        <s v="res-2H5XPJCL"/>
        <s v="res-2XJ967QZ"/>
        <s v="res-4QU0YIQZ"/>
        <s v="res-X5BTK7T1"/>
        <s v="res-ILRQ5BOR"/>
        <s v="res-LZN5MXKZ"/>
        <s v="res-GIS6VY8D"/>
        <s v="res-9PQAWL9B"/>
        <s v="res-A4ULLZJW"/>
        <s v="res-NMOO691Q"/>
        <s v="res-JIHT0WWH"/>
        <s v="res-AFUYJB0H"/>
        <s v="res-JMGZF3QU"/>
        <s v="res-244K42M1"/>
        <s v="res-FSPGUZ6S"/>
        <s v="res-NJ8FT0KB"/>
        <s v="res-P8YZ4FWM"/>
        <s v="res-1GXD61J7"/>
        <s v="res-2QG7Y510"/>
        <s v="res-LN6R2D91"/>
        <s v="res-5YTFENT5"/>
        <s v="res-G5MKIZMW"/>
        <s v="res-602AFQM4"/>
        <s v="res-AHNBC1V6"/>
        <s v="res-L5LC38CL"/>
        <s v="res-ZOOSV7U0"/>
        <s v="res-1J735M7J"/>
        <s v="res-RRTQYB1W"/>
        <s v="res-FGBS0WGH"/>
        <s v="res-PWICWFVI"/>
        <s v="res-7YK3TQE4"/>
        <s v="res-J0V30FRI"/>
        <s v="res-V73RDKOP"/>
        <s v="res-PU0JBV9Y"/>
        <s v="res-1KB82DYG"/>
        <s v="res-X2N9B19G"/>
        <s v="res-20XGKVRF"/>
        <s v="res-RMU6UPAA"/>
        <s v="res-D9YP5JBF"/>
        <s v="res-Q001KRCJ"/>
        <s v="res-88PVHM3A"/>
        <s v="res-G6T28FP4"/>
        <s v="res-SV1O8NCR"/>
        <s v="res-2JNCMS7N"/>
        <s v="res-V74BYSS7"/>
        <s v="res-7HN7RZ4O"/>
        <s v="res-GS1KK7AZ"/>
        <s v="res-D6S0XWDH"/>
        <s v="res-T0HRH0Q7"/>
        <s v="res-S76CVVV0"/>
        <s v="res-XID13Z75"/>
        <s v="res-IAQOWG44"/>
        <s v="res-LWCETABL"/>
        <s v="res-AVUOMRX1"/>
        <s v="res-J8G7NJAD"/>
        <s v="res-VDWB23OS"/>
        <s v="res-FJK6RBWJ"/>
        <s v="res-89Y5XH07"/>
        <s v="res-51S0QIGR"/>
        <s v="res-RQ2DAE5D"/>
        <s v="res-MUPY9G3R"/>
        <s v="res-12ONWGY0"/>
        <s v="res-TIDGZD5D"/>
        <s v="res-OQIQBRJ4"/>
        <s v="res-TOWIZPQ6"/>
        <s v="res-HL2D36SZ"/>
        <s v="res-HXSZTC02"/>
        <s v="res-XVQ1M91N"/>
        <s v="res-79FPROWE"/>
        <s v="res-723DJQ6D"/>
        <s v="res-UUZ2KMR0"/>
        <s v="res-2YI0KXQ4"/>
        <s v="res-BIZLO9XV"/>
        <s v="res-3O5Q6SPM"/>
        <s v="res-LF2TM5UY"/>
        <s v="res-N1V5L3PF"/>
        <s v="res-K27AH0K9"/>
        <s v="res-FFU623P2"/>
        <s v="res-XWQV2S7H"/>
        <s v="res-9H929X64"/>
        <s v="res-0OKK21UC"/>
        <s v="res-CL1J2OYA"/>
        <s v="res-X4MU63JA"/>
        <s v="res-SEIJTZ7P"/>
        <s v="res-0JDXNFWD"/>
        <s v="res-DFXDPR49"/>
        <s v="res-39CXL3S6"/>
        <s v="res-I8QITTRF"/>
        <s v="res-7G3IAMPQ"/>
        <s v="res-MSQ1NK26"/>
        <s v="res-3R9TGT07"/>
        <s v="res-SQ9YX98C"/>
        <s v="res-2W7UN71I"/>
        <s v="res-P3ZI6VO8"/>
        <s v="res-LDEFKZID"/>
        <s v="res-88OPB1KK"/>
        <s v="res-GN2VQM09"/>
        <s v="res-AJJX91AK"/>
        <s v="res-7DBWLHZC"/>
        <s v="res-3B55JMP3"/>
        <s v="res-ESKAT58I"/>
        <s v="res-BNWFJDUX"/>
        <s v="res-Y2LPJK5N"/>
        <s v="res-UCRJNM18"/>
        <s v="res-ZGO426P7"/>
        <s v="res-RJHBOG4O"/>
        <s v="res-BJRQUXE2"/>
        <s v="res-B56DIFV0"/>
        <s v="res-0ICXG4ZW"/>
        <s v="res-BI34UWGA"/>
        <s v="res-TUPZVVKE"/>
        <s v="res-GEV1Y8HI"/>
        <s v="res-PAL051U9"/>
        <s v="res-8J3C2M2T"/>
        <s v="res-WSPS7X5M"/>
        <s v="res-0IY5CRHC"/>
        <s v="res-VYZLUG57"/>
        <s v="res-OORW7Y1Q"/>
        <s v="res-A5ZSG12K"/>
        <s v="res-MAVKE4GL"/>
        <s v="res-0YFKNFF9"/>
        <s v="res-9MSA5DVB"/>
        <s v="res-0NU1STIM"/>
        <s v="res-QGS9F0Q3"/>
        <s v="res-55NYF6H9"/>
        <s v="res-THH37V0A"/>
        <s v="res-TFPMPEIG"/>
        <s v="res-6N22OLZ8"/>
        <s v="res-U03PSDGO"/>
        <s v="res-C2BO9C9A"/>
        <s v="res-GTVL3MN7"/>
        <s v="res-OZF4OSTM"/>
        <s v="res-8VF7SQNS"/>
        <s v="res-TXE03SK4"/>
        <s v="res-IKCJY3HZ"/>
        <s v="res-TIBV15AR"/>
        <s v="res-5YAYM33B"/>
        <s v="res-TH1L34PP"/>
        <s v="res-TX87IQKK"/>
        <s v="res-SGGDE383"/>
        <s v="res-GHLDEZ5Z"/>
        <s v="res-UKLS5GOC"/>
        <s v="res-02OHKV13"/>
        <s v="res-9NKCFDV5"/>
        <s v="res-3L534J8F"/>
        <s v="res-8URTNW3D"/>
        <s v="res-JANIO4Q7"/>
        <s v="res-D898I2VF"/>
        <s v="res-MHZNFQHE"/>
        <s v="res-DH7HJH9O"/>
        <s v="res-A1PJKUSI"/>
        <s v="res-B7JMXF5F"/>
        <s v="res-ETVN9GGT"/>
        <s v="res-AVLT0649"/>
        <s v="res-6LDJHEG0"/>
        <s v="res-KMJQB3LC"/>
        <s v="res-39V2TT63"/>
        <s v="res-JNJGGP0G"/>
        <s v="res-Q845DRSP"/>
        <s v="res-VWLOQR77"/>
        <s v="res-DVVN7T9Q"/>
        <s v="res-2YXBZC6D"/>
        <s v="res-0N5NMWZL"/>
        <s v="res-YGMO3Z8T"/>
        <s v="res-8RTLG18B"/>
        <s v="res-G02OJ5GU"/>
        <s v="res-0OBWMFY3"/>
        <s v="res-O6D0SC42"/>
        <s v="res-7G8BZR6E"/>
        <s v="res-AGO278CW"/>
        <s v="res-Q4HVSTFI"/>
        <s v="res-LDUWFQNE"/>
        <s v="res-C9KNE491"/>
        <s v="res-XQMIIKI9"/>
        <s v="res-60OEWXWF"/>
        <s v="res-DUKFU5I4"/>
        <s v="res-G1ZCLA7N"/>
        <s v="res-XNWD3FA7"/>
        <s v="res-CKK4HJG9"/>
        <s v="res-D58ANTC0"/>
        <s v="res-W1QVUAUY"/>
        <s v="res-YECWTX82"/>
        <s v="res-5ON05WRC"/>
        <s v="res-JEOTOEFV"/>
        <s v="res-B9MWAZE5"/>
        <s v="res-5O2320IK"/>
        <s v="res-2J6KURCC"/>
        <s v="res-2E4RS9BK"/>
        <s v="res-2B6KCTWB"/>
        <s v="res-AKIHTJ34"/>
        <s v="res-DV9JRPGE"/>
        <s v="res-366EBDKF"/>
        <s v="res-RILN0892"/>
        <s v="res-UGI64PSX"/>
        <s v="res-L7CEPN9U"/>
        <s v="res-X1LNU5KK"/>
        <s v="res-IUHELOPE"/>
        <s v="res-1J9NB1YD"/>
        <s v="res-J4Q4WQCN"/>
        <s v="res-L8NU3JXW"/>
        <s v="res-9ZHF4QCE"/>
        <s v="res-C7Q1K5Q8"/>
        <s v="res-EVJ09YOW"/>
        <s v="res-DCKJEF1X"/>
        <s v="res-4NZZD9YJ"/>
        <s v="res-E84XFGZ8"/>
        <s v="res-I66UDVD3"/>
        <s v="res-DYPURO0P"/>
        <s v="res-N1Q1Z73E"/>
        <s v="res-LWK6DJPU"/>
        <m/>
      </sharedItems>
    </cacheField>
    <cacheField name="Service Name" numFmtId="0">
      <sharedItems containsBlank="1">
        <s v="Cloud Dataproc"/>
        <s v="Pub/Sub"/>
        <s v="BigQuery"/>
        <s v="Cloud Endpoints"/>
        <s v="Cloud Spanner"/>
        <s v="Cloud Run"/>
        <s v="Cloud CDN"/>
        <s v="Cloud VPN"/>
        <s v="Firestore"/>
        <s v="Compute Engine"/>
        <s v="AI Platform"/>
        <s v="Cloud Interconnect"/>
        <s v="Cloud Build"/>
        <s v="Cloud Armor"/>
        <s v="Cloud Load Balancing"/>
        <s v="Dataflow"/>
        <s v="Cloud VPC"/>
        <s v="Cloud NAT"/>
        <s v="Kubernetes Engine"/>
        <s v="Cloud Functions"/>
        <s v="Cloud SQL"/>
        <s v="Cloud Memorystore"/>
        <s v="Container Registry"/>
        <s v="Cloud Storage"/>
        <s v="Cloud Data Fusion"/>
        <m/>
      </sharedItems>
    </cacheField>
    <cacheField name="Usage Quantity" numFmtId="0">
      <sharedItems containsString="0" containsBlank="1" containsNumber="1">
        <n v="954.9843"/>
        <n v="479.6348"/>
        <n v="114.4129"/>
        <n v="413.193"/>
        <n v="335.9892"/>
        <n v="50.8"/>
        <n v="333.6126"/>
        <n v="49.5833"/>
        <n v="384.7979"/>
        <n v="533.6245"/>
        <n v="78.7"/>
        <n v="86.6333"/>
        <n v="290.0492"/>
        <n v="96.9514"/>
        <n v="657.3878"/>
        <n v="98.3833"/>
        <n v="713.5354"/>
        <n v="609.9901"/>
        <n v="61.3889"/>
        <n v="194.6074"/>
        <n v="590.1037"/>
        <n v="152.1866"/>
        <n v="90.7333"/>
        <n v="389.9843"/>
        <n v="389.6408"/>
        <n v="902.3603"/>
        <n v="355.828"/>
        <n v="477.7508"/>
        <n v="31.5518"/>
        <n v="24.5167"/>
        <n v="85.0167"/>
        <n v="832.1664"/>
        <n v="298.0653"/>
        <n v="868.8778"/>
        <n v="306.7861"/>
        <n v="31.9333"/>
        <n v="715.0198"/>
        <n v="749.8858"/>
        <n v="110.3167"/>
        <n v="55.5667"/>
        <n v="37.85"/>
        <n v="25.1167"/>
        <n v="222.3365"/>
        <n v="565.1884"/>
        <n v="668.343"/>
        <n v="502.7493"/>
        <n v="144.2559"/>
        <n v="67.2368"/>
        <n v="992.0661"/>
        <n v="992.7546"/>
        <n v="760.0749"/>
        <n v="657.0231"/>
        <n v="32.4667"/>
        <n v="65.3167"/>
        <n v="90.6"/>
        <n v="742.5462"/>
        <n v="961.1396"/>
        <n v="227.7202"/>
        <n v="960.8627"/>
        <n v="339.41"/>
        <n v="132.8637"/>
        <n v="102.9044"/>
        <n v="271.0462"/>
        <n v="940.1312"/>
        <n v="789.3788"/>
        <n v="64.1167"/>
        <n v="804.4451"/>
        <n v="16.8701"/>
        <n v="86.0206"/>
        <n v="107.9329"/>
        <n v="410.0347"/>
        <n v="58.0667"/>
        <n v="868.3373"/>
        <n v="103.5667"/>
        <n v="511.4297"/>
        <n v="536.385"/>
        <n v="50.7833"/>
        <n v="755.6246"/>
        <n v="500.0325"/>
        <n v="647.2573"/>
        <n v="325.0195"/>
        <n v="876.9623"/>
        <n v="324.1135"/>
        <n v="269.1385"/>
        <n v="955.6515"/>
        <n v="251.7631"/>
        <n v="474.1196"/>
        <n v="992.5085"/>
        <n v="531.6863"/>
        <n v="26.6167"/>
        <n v="555.9826"/>
        <n v="335.4807"/>
        <n v="906.43"/>
        <n v="385.5739"/>
        <n v="127.3833"/>
        <n v="587.1242"/>
        <n v="385.5698"/>
        <n v="85.8"/>
        <n v="135.0333"/>
        <n v="597.679"/>
        <n v="359.8386"/>
        <n v="419.7798"/>
        <n v="491.2257"/>
        <n v="91.8667"/>
        <n v="450.6231"/>
        <n v="531.0639"/>
        <n v="478.0201"/>
        <n v="129.2667"/>
        <n v="527.3959"/>
        <n v="868.9443"/>
        <n v="74.9833"/>
        <n v="152.2884"/>
        <n v="323.1606"/>
        <n v="130.15"/>
        <n v="376.4622"/>
        <n v="824.8213"/>
        <n v="54.4"/>
        <n v="96.0667"/>
        <n v="272.1443"/>
        <n v="467.4799"/>
        <n v="473.736"/>
        <n v="229.216"/>
        <n v="737.7243"/>
        <n v="480.9411"/>
        <n v="188.1078"/>
        <n v="131.4516"/>
        <n v="334.1195"/>
        <n v="934.7773"/>
        <n v="132.65"/>
        <n v="955.8838"/>
        <n v="84.4333"/>
        <n v="945.9349"/>
        <n v="78.7333"/>
        <n v="747.5286"/>
        <n v="597.1564"/>
        <n v="458.406"/>
        <n v="624.6729"/>
        <n v="748.3421"/>
        <n v="11.5256"/>
        <n v="289.7888"/>
        <n v="957.1176"/>
        <n v="130.2"/>
        <n v="193.7868"/>
        <n v="165.5867"/>
        <n v="32.85"/>
        <n v="98.6"/>
        <n v="513.8208"/>
        <n v="151.9106"/>
        <n v="33.5644"/>
        <n v="81.9667"/>
        <n v="91.2833"/>
        <n v="285.4157"/>
        <n v="920.1814"/>
        <n v="172.8983"/>
        <n v="797.1267"/>
        <n v="969.2377"/>
        <n v="41.0"/>
        <n v="29.4333"/>
        <n v="527.2681"/>
        <n v="479.0396"/>
        <n v="380.5532"/>
        <n v="85.9833"/>
        <n v="229.8575"/>
        <n v="40.5167"/>
        <n v="83.7833"/>
        <n v="951.3968"/>
        <n v="70.2611"/>
        <n v="238.7864"/>
        <n v="922.9486"/>
        <n v="725.2437"/>
        <n v="105.8667"/>
        <n v="104.3167"/>
        <n v="93.7206"/>
        <n v="856.1696"/>
        <n v="698.9762"/>
        <n v="30.4465"/>
        <n v="71.3667"/>
        <n v="699.0504"/>
        <n v="511.0128"/>
        <n v="169.8362"/>
        <n v="77.6"/>
        <n v="142.6833"/>
        <n v="110.75"/>
        <n v="116.6333"/>
        <n v="401.5322"/>
        <n v="845.8993"/>
        <n v="257.9384"/>
        <n v="233.7572"/>
        <n v="58.6417"/>
        <n v="843.6341"/>
        <n v="18.7376"/>
        <n v="42.3"/>
        <n v="22.134"/>
        <n v="586.1986"/>
        <n v="296.0929"/>
        <n v="233.0245"/>
        <n v="365.1951"/>
        <n v="743.4157"/>
        <n v="338.8579"/>
        <n v="118.4167"/>
        <n v="61.0941"/>
        <n v="698.7765"/>
        <n v="328.5871"/>
        <n v="478.2343"/>
        <n v="92.4167"/>
        <n v="679.2041"/>
        <n v="280.1796"/>
        <n v="416.5054"/>
        <n v="810.033"/>
        <n v="115.0667"/>
        <n v="991.6019"/>
        <n v="41.45"/>
        <n v="613.0738"/>
        <n v="195.6873"/>
        <n v="994.9911"/>
        <n v="110.5"/>
        <n v="93.0837"/>
        <n v="77.9"/>
        <n v="702.8504"/>
        <n v="882.3972"/>
        <n v="95.6382"/>
        <n v="494.502"/>
        <n v="922.602"/>
        <n v="250.9953"/>
        <n v="289.8287"/>
        <n v="265.6305"/>
        <n v="135.35"/>
        <n v="799.878"/>
        <n v="137.0785"/>
        <n v="130.9667"/>
        <n v="60.418"/>
        <n v="571.2061"/>
        <n v="62.0833"/>
        <n v="453.6261"/>
        <n v="274.034"/>
        <n v="676.4654"/>
        <n v="547.5155"/>
        <n v="401.4413"/>
        <n v="427.4798"/>
        <n v="615.3185"/>
        <n v="923.9322"/>
        <n v="523.1705"/>
        <n v="38.4"/>
        <n v="577.191"/>
        <n v="320.712"/>
        <n v="25.9515"/>
        <n v="216.1408"/>
        <n v="405.8485"/>
        <n v="82.8667"/>
        <n v="108.1187"/>
        <n v="371.4837"/>
        <n v="940.2852"/>
        <n v="134.4698"/>
        <n v="267.6789"/>
        <n v="138.2667"/>
        <n v="112.55"/>
        <n v="381.5112"/>
        <n v="896.8482"/>
        <n v="45.4336"/>
        <n v="483.5996"/>
        <n v="833.4644"/>
        <n v="336.8194"/>
        <n v="645.5661"/>
        <n v="184.1868"/>
        <n v="118.8667"/>
        <n v="466.6962"/>
        <n v="129.45"/>
        <n v="479.1793"/>
        <n v="982.2498"/>
        <n v="194.8714"/>
        <n v="995.4"/>
        <n v="83.0"/>
        <n v="616.4254"/>
        <n v="136.75"/>
        <n v="45.1096"/>
        <n v="948.5312"/>
        <n v="457.1743"/>
        <n v="40.4833"/>
        <n v="89.5833"/>
        <n v="203.1992"/>
        <n v="407.7949"/>
        <n v="210.4333"/>
        <n v="687.6223"/>
        <n v="479.8823"/>
        <n v="109.9833"/>
        <n v="277.6608"/>
        <n v="941.414"/>
        <n v="381.8599"/>
        <n v="747.7278"/>
        <n v="515.3703"/>
        <n v="71.4"/>
        <n v="177.7278"/>
        <n v="70.9"/>
        <n v="417.5436"/>
        <n v="64.1684"/>
        <n v="119.3159"/>
        <n v="62.4667"/>
        <n v="60.7"/>
        <n v="331.7406"/>
        <n v="125.55"/>
        <n v="163.075"/>
        <n v="724.7898"/>
        <n v="589.1842"/>
        <n v="295.4871"/>
        <n v="93.4167"/>
        <n v="46.3667"/>
        <n v="406.9697"/>
        <n v="778.2469"/>
        <n v="118.1"/>
        <n v="86.9833"/>
        <n v="406.7662"/>
        <n v="675.0447"/>
        <n v="152.5828"/>
        <n v="250.3807"/>
        <n v="376.8075"/>
        <n v="881.6954"/>
        <n v="468.1951"/>
        <n v="113.9094"/>
        <n v="23.909"/>
        <n v="79.1905"/>
        <n v="366.9656"/>
        <n v="117.0833"/>
        <n v="105.0167"/>
        <n v="636.7192"/>
        <n v="753.0083"/>
        <n v="460.4479"/>
        <n v="103.3"/>
        <n v="618.0578"/>
        <n v="788.1574"/>
        <n v="217.147"/>
        <n v="116.3833"/>
        <n v="34.35"/>
        <n v="375.6492"/>
        <n v="73.45"/>
        <n v="53.5267"/>
        <n v="64.4"/>
        <n v="335.9038"/>
        <n v="290.508"/>
        <n v="998.0055"/>
        <n v="129.6833"/>
        <n v="352.7508"/>
        <n v="564.102"/>
        <n v="898.8626"/>
        <n v="142.35"/>
        <n v="72.1167"/>
        <n v="342.8746"/>
        <n v="104.4167"/>
        <n v="98.75"/>
        <n v="29.9333"/>
        <n v="247.0655"/>
        <n v="529.6849"/>
        <n v="45.7667"/>
        <n v="123.1474"/>
        <n v="415.0475"/>
        <n v="562.1492"/>
        <n v="411.0275"/>
        <n v="137.2256"/>
        <n v="28.625"/>
        <n v="410.1007"/>
        <n v="930.9815"/>
        <n v="25.5167"/>
        <n v="707.5327"/>
        <n v="87.4167"/>
        <n v="116.0833"/>
        <n v="131.05"/>
        <n v="42.4428"/>
        <n v="577.1848"/>
        <n v="107.8333"/>
        <n v="353.0524"/>
        <n v="515.6089"/>
        <n v="975.6498"/>
        <n v="806.53"/>
        <n v="31.3667"/>
        <n v="56.7674"/>
        <n v="485.5364"/>
        <n v="50.2833"/>
        <n v="887.9699"/>
        <n v="109.15"/>
        <n v="625.8686"/>
        <n v="46.1"/>
        <n v="496.2727"/>
        <n v="299.7279"/>
        <n v="117.8769"/>
        <n v="64.3167"/>
        <n v="109.713"/>
        <n v="546.5469"/>
        <n v="584.1002"/>
        <n v="510.6689"/>
        <n v="32.8167"/>
        <n v="301.1685"/>
        <n v="744.5"/>
        <n v="931.8438"/>
        <n v="769.3033"/>
        <n v="105.55"/>
        <n v="754.5171"/>
        <n v="948.2171"/>
        <n v="446.4162"/>
        <n v="394.3393"/>
        <n v="32.35"/>
        <n v="163.497"/>
        <n v="570.1344"/>
        <n v="548.395"/>
        <n v="793.0592"/>
        <n v="975.0557"/>
        <n v="709.8165"/>
        <n v="867.3309"/>
        <n v="528.3413"/>
        <n v="639.0835"/>
        <n v="645.113"/>
        <n v="40.7426"/>
        <n v="126.35"/>
        <n v="99.439"/>
        <n v="920.6326"/>
        <n v="101.9333"/>
        <n v="717.5885"/>
        <n v="120.0333"/>
        <n v="395.5674"/>
        <n v="587.3453"/>
        <n v="324.2647"/>
        <n v="614.073"/>
        <n v="807.3648"/>
        <n v="16.8857"/>
        <n v="407.0216"/>
        <n v="953.947"/>
        <n v="765.118"/>
        <n v="67.65"/>
        <n v="112.4167"/>
        <n v="134.2333"/>
        <n v="26.9667"/>
        <n v="92.7"/>
        <n v="527.927"/>
        <n v="661.2917"/>
        <n v="553.5392"/>
        <n v="103.15"/>
        <n v="175.9606"/>
        <n v="765.7001"/>
        <n v="526.0473"/>
        <n v="749.8458"/>
        <n v="109.8833"/>
        <n v="450.7195"/>
        <n v="132.7167"/>
        <n v="906.4412"/>
        <n v="138.45"/>
        <n v="994.506"/>
        <n v="79.2424"/>
        <n v="569.517"/>
        <n v="364.2323"/>
        <n v="273.6464"/>
        <n v="845.0349"/>
        <n v="369.9806"/>
        <n v="805.6513"/>
        <n v="128.9667"/>
        <n v="840.7866"/>
        <n v="524.3262"/>
        <n v="146.3289"/>
        <n v="979.532"/>
        <n v="313.9518"/>
        <n v="132.6833"/>
        <n v="143.7667"/>
        <n v="114.5333"/>
        <n v="91.8437"/>
        <n v="283.4613"/>
        <n v="156.8948"/>
        <n v="124.3833"/>
        <n v="337.8574"/>
        <n v="92.6792"/>
        <n v="466.4178"/>
        <n v="263.0482"/>
        <n v="650.7964"/>
        <n v="101.65"/>
        <n v="887.5022"/>
        <n v="496.9294"/>
        <n v="92.5512"/>
        <n v="346.6752"/>
        <n v="562.4955"/>
        <n v="922.2978"/>
        <n v="248.0948"/>
        <n v="169.6846"/>
        <n v="879.1095"/>
        <n v="435.086"/>
        <n v="32.4517"/>
        <n v="345.169"/>
        <n v="435.3222"/>
        <n v="46.4"/>
        <n v="588.0864"/>
        <n v="551.7888"/>
        <n v="122.3167"/>
        <n v="461.6625"/>
        <n v="360.35"/>
        <n v="174.6175"/>
        <n v="386.65"/>
        <n v="26.8333"/>
        <n v="684.6191"/>
        <n v="193.0226"/>
        <n v="107.6333"/>
        <n v="386.6959"/>
        <n v="490.5874"/>
        <n v="107.3667"/>
        <n v="820.0826"/>
        <n v="215.9883"/>
        <n v="255.9859"/>
        <n v="125.4"/>
        <n v="46.5333"/>
        <n v="35.0333"/>
        <n v="57.958"/>
        <n v="419.7062"/>
        <n v="426.0389"/>
        <n v="265.7357"/>
        <n v="988.0913"/>
        <n v="806.0261"/>
        <n v="788.8919"/>
        <n v="406.0277"/>
        <n v="86.45"/>
        <n v="271.4415"/>
        <n v="360.2906"/>
        <n v="344.5259"/>
        <n v="55.7104"/>
        <n v="785.0175"/>
        <n v="776.0638"/>
        <n v="609.1028"/>
        <n v="576.0473"/>
        <n v="190.5469"/>
        <n v="801.5769"/>
        <n v="160.4866"/>
        <n v="948.4506"/>
        <n v="61.5833"/>
        <n v="957.9646"/>
        <n v="964.4348"/>
        <n v="132.0667"/>
        <n v="997.4543"/>
        <n v="98.5522"/>
        <n v="755.9279"/>
        <n v="388.3619"/>
        <n v="568.3773"/>
        <n v="446.7635"/>
        <n v="137.0667"/>
        <n v="102.3167"/>
        <n v="164.0299"/>
        <n v="574.5176"/>
        <n v="60.7833"/>
        <n v="315.848"/>
        <n v="851.9663"/>
        <n v="102.4153"/>
        <n v="530.5378"/>
        <n v="439.1355"/>
        <n v="139.8127"/>
        <n v="33.9333"/>
        <n v="983.2136"/>
        <n v="68.5167"/>
        <n v="668.9061"/>
        <n v="70.9833"/>
        <n v="399.8697"/>
        <n v="661.8909"/>
        <n v="133.9256"/>
        <n v="104.7603"/>
        <n v="952.6501"/>
        <n v="47.7975"/>
        <n v="244.9716"/>
        <n v="908.6697"/>
        <n v="81.0727"/>
        <n v="24.2667"/>
        <n v="184.2222"/>
        <n v="978.7496"/>
        <n v="962.1663"/>
        <n v="28.6667"/>
        <n v="311.0466"/>
        <n v="30.9371"/>
        <n v="80.4"/>
        <n v="734.7722"/>
        <n v="366.9998"/>
        <n v="832.7303"/>
        <n v="350.6873"/>
        <n v="575.093"/>
        <n v="195.4914"/>
        <n v="555.4361"/>
        <n v="779.8708"/>
        <n v="344.424"/>
        <n v="457.5282"/>
        <n v="96.3442"/>
        <n v="95.1226"/>
        <n v="906.1268"/>
        <n v="663.1473"/>
        <n v="929.1694"/>
        <n v="685.0582"/>
        <n v="779.1763"/>
        <n v="83.4333"/>
        <n v="90.0833"/>
        <n v="120.5022"/>
        <n v="802.3156"/>
        <n v="139.5333"/>
        <n v="470.2063"/>
        <n v="31.2833"/>
        <n v="214.9452"/>
        <n v="958.0251"/>
        <n v="56.0054"/>
        <n v="58.8167"/>
        <n v="388.8883"/>
        <n v="278.6818"/>
        <n v="107.7011"/>
        <n v="472.5108"/>
        <n v="34.2833"/>
        <n v="199.0047"/>
        <n v="74.4667"/>
        <n v="30.7"/>
        <n v="402.1611"/>
        <n v="70.0"/>
        <n v="109.6333"/>
        <n v="740.4587"/>
        <n v="422.7299"/>
        <n v="758.306"/>
        <n v="768.0133"/>
        <n v="933.6444"/>
        <n v="579.897"/>
        <n v="75.9818"/>
        <n v="364.5037"/>
        <n v="82.9"/>
        <n v="357.5289"/>
        <n v="61.4833"/>
        <n v="132.5833"/>
        <n v="931.6294"/>
        <n v="103.9167"/>
        <n v="142.5774"/>
        <n v="395.8666"/>
        <n v="691.7493"/>
        <n v="31.4"/>
        <n v="94.6982"/>
        <n v="323.6305"/>
        <n v="773.7328"/>
        <n v="654.2975"/>
        <n v="353.1097"/>
        <n v="733.4302"/>
        <n v="440.8594"/>
        <n v="829.9321"/>
        <n v="987.5483"/>
        <n v="110.8"/>
        <n v="96.1333"/>
        <n v="970.2519"/>
        <n v="205.2521"/>
        <n v="670.2735"/>
        <n v="851.117"/>
        <n v="424.6237"/>
        <n v="839.2951"/>
        <n v="390.8588"/>
        <n v="972.7981"/>
        <n v="94.5509"/>
        <n v="421.893"/>
        <n v="45.2833"/>
        <n v="194.5629"/>
        <n v="296.3158"/>
        <n v="664.4434"/>
        <n v="978.5674"/>
        <n v="99.95"/>
        <n v="553.1158"/>
        <n v="977.6097"/>
        <n v="92.6833"/>
        <n v="135.65"/>
        <n v="113.9667"/>
        <n v="125.2833"/>
        <n v="360.9702"/>
        <n v="480.5511"/>
        <n v="220.6895"/>
        <n v="499.9709"/>
        <n v="402.6602"/>
        <n v="230.4643"/>
        <n v="607.4707"/>
        <n v="46.6333"/>
        <n v="38.2167"/>
        <n v="506.0399"/>
        <n v="532.48"/>
        <n v="663.0369"/>
        <n v="137.6362"/>
        <n v="345.3023"/>
        <n v="825.0126"/>
        <n v="515.2714"/>
        <n v="645.6266"/>
        <n v="153.5011"/>
        <n v="776.2761"/>
        <n v="722.3221"/>
        <n v="335.0037"/>
        <n v="68.5667"/>
        <n v="143.45"/>
        <n v="64.4925"/>
        <n v="488.8016"/>
        <n v="165.4426"/>
        <n v="55.9333"/>
        <n v="70.2667"/>
        <n v="707.5356"/>
        <n v="837.1211"/>
        <n v="100.2167"/>
        <n v="133.9833"/>
        <n v="90.0333"/>
        <n v="967.6514"/>
        <n v="258.9203"/>
        <n v="486.0461"/>
        <n v="101.0333"/>
        <n v="739.8663"/>
        <n v="67.9333"/>
        <n v="14.7407"/>
        <n v="678.9377"/>
        <n v="16.014"/>
        <n v="640.3689"/>
        <n v="67.6167"/>
        <n v="537.9744"/>
        <n v="429.39"/>
        <n v="113.7167"/>
        <n v="68.3914"/>
        <n v="863.095"/>
        <n v="942.5422"/>
        <n v="593.7"/>
        <n v="131.4333"/>
        <n v="69.4"/>
        <n v="101.5"/>
        <n v="67.75"/>
        <n v="107.2042"/>
        <n v="644.9753"/>
        <n v="128.65"/>
        <n v="270.5498"/>
        <n v="849.6378"/>
        <n v="716.3448"/>
        <n v="244.6044"/>
        <n v="766.1013"/>
        <n v="605.434"/>
        <n v="314.7352"/>
        <n v="487.5577"/>
        <n v="594.3292"/>
        <n v="383.5646"/>
        <n v="105.5833"/>
        <n v="477.7968"/>
        <n v="479.4566"/>
        <n v="44.9267"/>
        <n v="766.1311"/>
        <n v="470.6748"/>
        <n v="745.3387"/>
        <n v="377.7123"/>
        <n v="122.5333"/>
        <n v="864.4102"/>
        <n v="51.5167"/>
        <n v="304.946"/>
        <n v="996.0188"/>
        <n v="556.7204"/>
        <n v="496.1508"/>
        <n v="10.5402"/>
        <n v="807.1147"/>
        <n v="421.5073"/>
        <n v="850.1416"/>
        <n v="169.1456"/>
        <n v="47.05"/>
        <n v="365.9219"/>
        <n v="249.2844"/>
        <n v="797.4945"/>
        <n v="226.5132"/>
        <n v="87.8738"/>
        <n v="143.3"/>
        <n v="25.5"/>
        <n v="80.2667"/>
        <n v="417.9798"/>
        <n v="438.1467"/>
        <n v="568.0884"/>
        <n v="139.5167"/>
        <n v="904.0008"/>
        <n v="805.2556"/>
        <n v="428.4611"/>
        <n v="812.9251"/>
        <n v="780.5168"/>
        <n v="652.3815"/>
        <n v="38.2833"/>
        <n v="509.2785"/>
        <n v="140.6604"/>
        <n v="28.6167"/>
        <n v="50.3167"/>
        <n v="305.5855"/>
        <n v="676.7908"/>
        <n v="495.8071"/>
        <n v="510.126"/>
        <n v="195.2324"/>
        <n v="20.3487"/>
        <n v="135.5667"/>
        <n v="42.6833"/>
        <n v="402.5675"/>
        <n v="493.3255"/>
        <n v="112.4333"/>
        <n v="685.6808"/>
        <n v="11.9494"/>
        <n v="763.7549"/>
        <n v="217.4256"/>
        <n v="833.7372"/>
        <n v="56.2214"/>
        <n v="910.6406"/>
        <n v="566.6421"/>
        <n v="809.6094"/>
        <n v="453.4353"/>
        <n v="328.3641"/>
        <n v="659.5464"/>
        <n v="793.7649"/>
        <n v="194.0681"/>
        <n v="630.455"/>
        <n v="340.1787"/>
        <n v="517.1946"/>
        <n v="665.624"/>
        <n v="432.7213"/>
        <n v="25.3189"/>
        <n v="776.2808"/>
        <n v="90.9833"/>
        <n v="357.5233"/>
        <n v="601.8144"/>
        <n v="153.8323"/>
        <n v="46.6833"/>
        <n v="33.5167"/>
        <n v="754.9827"/>
        <n v="132.15"/>
        <n v="57.15"/>
        <n v="388.7474"/>
        <n v="32.3167"/>
        <n v="704.9892"/>
        <n v="96.5333"/>
        <n v="224.6634"/>
        <n v="549.3916"/>
        <n v="791.6701"/>
        <n v="113.35"/>
        <n v="341.9698"/>
        <n v="209.4004"/>
        <n v="587.6768"/>
        <n v="517.2012"/>
        <n v="302.3678"/>
        <n v="727.624"/>
        <n v="58.8667"/>
        <n v="396.9256"/>
        <n v="64.0"/>
        <n v="969.402"/>
        <n v="43.2167"/>
        <n v="429.6128"/>
        <n v="553.815"/>
        <n v="129.8672"/>
        <n v="883.9655"/>
        <n v="650.1731"/>
        <n v="113.8"/>
        <n v="825.9177"/>
        <n v="302.0"/>
        <n v="369.457"/>
        <n v="988.4076"/>
        <n v="635.6509"/>
        <n v="575.5324"/>
        <n v="145.9373"/>
        <n v="70.8167"/>
        <n v="147.5414"/>
        <n v="82.8167"/>
        <n v="411.7334"/>
        <n v="57.3667"/>
        <n v="416.7408"/>
        <n v="109.3975"/>
        <n v="116.0494"/>
        <n v="742.8148"/>
        <n v="375.4176"/>
        <n v="31.2755"/>
        <n v="35.4333"/>
        <n v="777.8178"/>
        <n v="216.1677"/>
        <n v="967.0035"/>
        <n v="614.1449"/>
        <n v="700.1031"/>
        <n v="749.4753"/>
        <n v="647.1712"/>
        <n v="609.1025"/>
        <n v="804.0664"/>
        <n v="187.2887"/>
        <n v="377.6054"/>
        <n v="67.7333"/>
        <n v="73.95"/>
        <n v="568.7916"/>
        <n v="36.25"/>
        <n v="288.1675"/>
        <n v="48.75"/>
        <n v="123.5333"/>
        <n v="603.5435"/>
        <n v="673.8625"/>
        <n v="142.6776"/>
        <n v="30.7914"/>
        <n v="61.75"/>
        <n v="98.7196"/>
        <n v="598.3014"/>
        <n v="305.88"/>
        <n v="32.7667"/>
        <n v="275.9775"/>
        <n v="601.8522"/>
        <n v="93.35"/>
        <n v="746.6981"/>
        <n v="843.7141"/>
        <n v="778.0122"/>
        <n v="742.733"/>
        <n v="101.3667"/>
        <n v="206.065"/>
        <n v="40.9833"/>
        <n v="135.875"/>
        <n v="475.9021"/>
        <n v="366.7652"/>
        <n v="78.1574"/>
        <n v="584.6599"/>
        <n v="769.1603"/>
        <n v="950.8256"/>
        <n v="188.1814"/>
        <n v="133.2167"/>
        <n v="580.6282"/>
        <n v="609.7804"/>
        <n v="446.8464"/>
        <n v="821.4108"/>
        <n v="48.8667"/>
        <n v="65.75"/>
        <n v="710.9828"/>
        <n v="351.7877"/>
        <n v="107.1353"/>
        <n v="856.7478"/>
        <n v="194.1528"/>
        <n v="337.1101"/>
        <n v="364.1758"/>
        <n v="850.293"/>
        <n v="358.3231"/>
        <n v="70.9167"/>
        <n v="359.6147"/>
        <n v="65.8491"/>
        <n v="111.4167"/>
        <n v="77.1615"/>
        <n v="296.8281"/>
        <n v="809.9885"/>
        <n v="175.2578"/>
        <n v="229.21"/>
        <n v="110.6333"/>
        <n v="32.3667"/>
        <n v="202.9644"/>
        <n v="403.475"/>
        <n v="658.4138"/>
        <n v="687.2747"/>
        <n v="141.724"/>
        <n v="806.7405"/>
        <n v="420.3552"/>
        <n v="953.3639"/>
        <n v="203.471"/>
        <n v="178.9791"/>
        <n v="28.7833"/>
        <n v="37.6833"/>
        <n v="82.5667"/>
        <n v="76.6833"/>
        <n v="128.8"/>
        <n v="414.6583"/>
        <n v="630.7125"/>
        <n v="49.8981"/>
        <n v="116.4333"/>
        <n v="502.9505"/>
        <n v="530.888"/>
        <n v="47.15"/>
        <n v="966.1292"/>
        <n v="116.2833"/>
        <n v="65.2833"/>
        <n v="39.0333"/>
        <n v="125.9564"/>
        <n v="277.8297"/>
        <n v="367.5864"/>
        <n v="615.9233"/>
        <n v="127.7333"/>
        <n v="759.7956"/>
        <n v="340.3693"/>
        <n v="28.6273"/>
        <n v="556.4179"/>
        <n v="108.4167"/>
        <n v="40.2558"/>
        <n v="432.8095"/>
        <n v="218.0232"/>
        <n v="93.2833"/>
        <n v="181.0234"/>
        <n v="142.4"/>
        <n v="359.37"/>
        <n v="117.2097"/>
        <n v="757.7714"/>
        <n v="929.0325"/>
        <n v="887.4779"/>
        <n v="845.9607"/>
        <n v="52.7167"/>
        <n v="44.3384"/>
        <n v="28.3886"/>
        <n v="974.8384"/>
        <n v="565.7255"/>
        <n v="521.4659"/>
        <n v="34.5167"/>
        <n v="112.6667"/>
        <n v="996.4919"/>
        <n v="102.4"/>
        <n v="68.4167"/>
        <n v="336.6242"/>
        <n v="561.7267"/>
        <n v="25.7631"/>
        <n v="389.7455"/>
        <n v="942.0782"/>
        <n v="217.5637"/>
        <n v="20.2608"/>
        <n v="105.2667"/>
        <n v="691.4302"/>
        <n v="195.0857"/>
        <n v="646.5474"/>
        <n v="98.0667"/>
        <m/>
      </sharedItems>
    </cacheField>
    <cacheField name="Usage Unit" numFmtId="0">
      <sharedItems containsBlank="1">
        <s v="Requests"/>
        <s v="GB"/>
        <s v="Hours"/>
        <m/>
      </sharedItems>
    </cacheField>
    <cacheField name="Region/Zone" numFmtId="0">
      <sharedItems containsBlank="1">
        <s v="europe-north1"/>
        <s v="europe-west1"/>
        <s v="southamerica-east1"/>
        <s v="us-central1"/>
        <s v="asia-southeast1"/>
        <s v="northamerica-northeast1"/>
        <s v="australia-southeast1"/>
        <s v="asia-east1"/>
        <s v="us-east1"/>
        <s v="europe-west3"/>
        <s v="us-west1"/>
        <s v="asia-northeast1"/>
        <m/>
      </sharedItems>
    </cacheField>
    <cacheField name="CPU Utilization (%)" numFmtId="0">
      <sharedItems containsString="0" containsBlank="1" containsNumber="1">
        <n v="92.72"/>
        <n v="37.78"/>
        <n v="82.54"/>
        <n v="86.68"/>
        <n v="82.95"/>
        <n v="32.36"/>
        <n v="12.21"/>
        <n v="59.18"/>
        <n v="36.67"/>
        <n v="96.4"/>
        <n v="68.28"/>
        <n v="12.91"/>
        <n v="53.93"/>
        <n v="73.72"/>
        <n v="43.57"/>
        <n v="47.61"/>
        <n v="93.56"/>
        <n v="98.66"/>
        <n v="20.25"/>
        <n v="71.48"/>
        <n v="55.53"/>
        <n v="78.9"/>
        <n v="22.41"/>
        <n v="97.47"/>
        <n v="65.57"/>
        <n v="27.7"/>
        <n v="89.39"/>
        <n v="63.32"/>
        <n v="62.15"/>
        <n v="63.68"/>
        <n v="67.5"/>
        <n v="23.65"/>
        <n v="66.82"/>
        <n v="72.08"/>
        <n v="19.59"/>
        <n v="5.7"/>
        <n v="44.97"/>
        <n v="84.06"/>
        <n v="49.67"/>
        <n v="4.03"/>
        <n v="30.13"/>
        <n v="31.07"/>
        <n v="45.3"/>
        <n v="5.46"/>
        <n v="57.12"/>
        <n v="62.01"/>
        <n v="99.71"/>
        <n v="95.28"/>
        <n v="59.72"/>
        <n v="7.86"/>
        <n v="98.05"/>
        <n v="30.7"/>
        <n v="19.26"/>
        <n v="68.32"/>
        <n v="76.61"/>
        <n v="29.67"/>
        <n v="55.96"/>
        <n v="54.59"/>
        <n v="15.27"/>
        <n v="88.22"/>
        <n v="68.3"/>
        <n v="91.67"/>
        <n v="74.75"/>
        <n v="67.13"/>
        <n v="32.32"/>
        <n v="46.3"/>
        <n v="99.56"/>
        <n v="35.67"/>
        <n v="0.17"/>
        <n v="97.14"/>
        <n v="24.22"/>
        <n v="21.65"/>
        <n v="48.26"/>
        <n v="64.54"/>
        <n v="14.87"/>
        <n v="58.59"/>
        <n v="62.22"/>
        <n v="40.49"/>
        <n v="8.38"/>
        <n v="83.58"/>
        <n v="7.74"/>
        <n v="69.75"/>
        <n v="53.21"/>
        <n v="0.15"/>
        <n v="17.81"/>
        <n v="48.02"/>
        <n v="99.31"/>
        <n v="43.51"/>
        <n v="14.82"/>
        <n v="2.24"/>
        <n v="74.51"/>
        <n v="97.03"/>
        <n v="69.4"/>
        <n v="9.36"/>
        <n v="24.73"/>
        <n v="92.06"/>
        <n v="56.82"/>
        <n v="88.6"/>
        <n v="35.52"/>
        <n v="95.36"/>
        <n v="32.05"/>
        <n v="43.21"/>
        <n v="32.28"/>
        <n v="60.91"/>
        <n v="75.38"/>
        <n v="45.44"/>
        <n v="48.49"/>
        <n v="53.57"/>
        <n v="7.93"/>
        <n v="59.0"/>
        <n v="97.7"/>
        <n v="3.71"/>
        <n v="95.19"/>
        <n v="13.08"/>
        <n v="87.46"/>
        <n v="20.38"/>
        <n v="61.98"/>
        <n v="78.11"/>
        <n v="46.41"/>
        <n v="1.34"/>
        <n v="82.75"/>
        <n v="84.02"/>
        <n v="77.93"/>
        <n v="56.02"/>
        <n v="29.46"/>
        <n v="89.13"/>
        <n v="60.89"/>
        <n v="76.25"/>
        <n v="73.05"/>
        <n v="16.18"/>
        <n v="2.21"/>
        <n v="28.89"/>
        <n v="99.27"/>
        <n v="59.22"/>
        <n v="86.76"/>
        <n v="37.12"/>
        <n v="70.54"/>
        <n v="88.75"/>
        <n v="49.21"/>
        <n v="80.93"/>
        <n v="92.54"/>
        <n v="43.96"/>
        <n v="49.06"/>
        <n v="23.43"/>
        <n v="81.13"/>
        <n v="58.21"/>
        <n v="49.47"/>
        <n v="64.51"/>
        <n v="9.11"/>
        <n v="49.39"/>
        <n v="61.17"/>
        <n v="11.67"/>
        <n v="65.78"/>
        <n v="47.26"/>
        <n v="75.63"/>
        <n v="12.48"/>
        <n v="42.37"/>
        <n v="61.56"/>
        <n v="42.92"/>
        <n v="72.64"/>
        <n v="53.92"/>
        <n v="57.46"/>
        <n v="72.28"/>
        <n v="76.93"/>
        <n v="12.4"/>
        <n v="79.35"/>
        <n v="5.93"/>
        <n v="76.92"/>
        <n v="8.5"/>
        <n v="61.54"/>
        <n v="68.9"/>
        <n v="37.37"/>
        <n v="91.24"/>
        <n v="57.55"/>
        <n v="99.65"/>
        <n v="83.66"/>
        <n v="53.13"/>
        <n v="11.45"/>
        <n v="75.4"/>
        <n v="94.98"/>
        <n v="71.19"/>
        <n v="53.2"/>
        <n v="8.0"/>
        <n v="65.74"/>
        <n v="0.45"/>
        <n v="71.17"/>
        <n v="24.38"/>
        <n v="25.09"/>
        <n v="79.92"/>
        <n v="59.91"/>
        <n v="45.38"/>
        <n v="58.98"/>
        <n v="3.02"/>
        <n v="68.7"/>
        <n v="3.78"/>
        <n v="35.5"/>
        <n v="19.14"/>
        <n v="67.77"/>
        <n v="47.88"/>
        <n v="53.88"/>
        <n v="78.62"/>
        <n v="43.45"/>
        <n v="81.9"/>
        <n v="98.92"/>
        <n v="82.61"/>
        <n v="89.32"/>
        <n v="2.97"/>
        <n v="54.32"/>
        <n v="92.88"/>
        <n v="88.97"/>
        <n v="32.38"/>
        <n v="65.79"/>
        <n v="36.04"/>
        <n v="7.33"/>
        <n v="78.83"/>
        <n v="17.79"/>
        <n v="38.05"/>
        <n v="46.47"/>
        <n v="29.77"/>
        <n v="26.96"/>
        <n v="44.11"/>
        <n v="8.77"/>
        <n v="13.61"/>
        <n v="64.56"/>
        <n v="51.03"/>
        <n v="68.78"/>
        <n v="30.4"/>
        <n v="73.04"/>
        <n v="96.9"/>
        <n v="5.5"/>
        <n v="43.49"/>
        <n v="11.9"/>
        <n v="2.68"/>
        <n v="93.59"/>
        <n v="46.83"/>
        <n v="58.13"/>
        <n v="16.34"/>
        <n v="7.35"/>
        <n v="63.29"/>
        <n v="8.55"/>
        <n v="5.13"/>
        <n v="51.38"/>
        <n v="36.35"/>
        <n v="44.68"/>
        <n v="0.06"/>
        <n v="58.16"/>
        <n v="65.62"/>
        <n v="92.77"/>
        <n v="81.75"/>
        <n v="73.31"/>
        <n v="21.38"/>
        <n v="88.59"/>
        <n v="35.7"/>
        <n v="62.25"/>
        <n v="41.92"/>
        <n v="67.64"/>
        <n v="3.75"/>
        <n v="44.35"/>
        <n v="81.41"/>
        <n v="78.94"/>
        <n v="51.91"/>
        <n v="40.42"/>
        <n v="8.92"/>
        <n v="33.56"/>
        <n v="17.08"/>
        <n v="18.2"/>
        <n v="32.11"/>
        <n v="32.51"/>
        <n v="4.02"/>
        <n v="6.62"/>
        <n v="74.25"/>
        <n v="50.29"/>
        <n v="85.18"/>
        <n v="63.73"/>
        <n v="40.52"/>
        <n v="9.69"/>
        <n v="71.14"/>
        <n v="77.45"/>
        <n v="32.21"/>
        <n v="66.09"/>
        <n v="68.48"/>
        <n v="4.46"/>
        <n v="29.11"/>
        <n v="20.74"/>
        <n v="60.35"/>
        <n v="40.15"/>
        <n v="26.2"/>
        <n v="98.89"/>
        <n v="22.8"/>
        <n v="13.03"/>
        <n v="38.88"/>
        <n v="8.42"/>
        <n v="17.84"/>
        <n v="20.21"/>
        <n v="73.18"/>
        <n v="69.14"/>
        <n v="38.52"/>
        <n v="39.06"/>
        <n v="75.97"/>
        <n v="1.26"/>
        <n v="84.66"/>
        <n v="95.91"/>
        <n v="61.25"/>
        <n v="31.52"/>
        <n v="31.48"/>
        <n v="78.41"/>
        <n v="20.6"/>
        <n v="29.61"/>
        <n v="92.1"/>
        <n v="60.01"/>
        <n v="68.87"/>
        <n v="98.14"/>
        <n v="84.63"/>
        <n v="87.35"/>
        <n v="60.48"/>
        <n v="69.63"/>
        <n v="26.45"/>
        <n v="68.88"/>
        <n v="18.42"/>
        <n v="37.03"/>
        <n v="13.67"/>
        <n v="27.43"/>
        <n v="93.19"/>
        <n v="43.47"/>
        <n v="29.57"/>
        <n v="56.31"/>
        <n v="15.56"/>
        <n v="73.65"/>
        <n v="63.9"/>
        <n v="64.4"/>
        <n v="72.52"/>
        <n v="43.54"/>
        <n v="2.34"/>
        <n v="18.88"/>
        <n v="2.58"/>
        <n v="79.34"/>
        <n v="30.82"/>
        <n v="55.67"/>
        <n v="77.76"/>
        <n v="82.78"/>
        <n v="33.42"/>
        <n v="79.69"/>
        <n v="65.42"/>
        <n v="92.04"/>
        <n v="18.99"/>
        <n v="65.15"/>
        <n v="10.79"/>
        <n v="57.33"/>
        <n v="62.81"/>
        <n v="62.21"/>
        <n v="22.24"/>
        <n v="93.73"/>
        <n v="27.55"/>
        <n v="54.99"/>
        <n v="41.38"/>
        <n v="25.8"/>
        <n v="21.13"/>
        <n v="75.12"/>
        <n v="38.24"/>
        <n v="78.6"/>
        <n v="79.54"/>
        <n v="85.75"/>
        <n v="37.68"/>
        <n v="18.97"/>
        <n v="35.2"/>
        <n v="86.36"/>
        <n v="70.34"/>
        <n v="80.52"/>
        <n v="45.55"/>
        <n v="46.61"/>
        <n v="12.86"/>
        <n v="95.23"/>
        <n v="66.17"/>
        <n v="6.36"/>
        <n v="94.48"/>
        <n v="10.75"/>
        <n v="84.67"/>
        <n v="98.75"/>
        <n v="36.26"/>
        <n v="79.13"/>
        <n v="73.99"/>
        <n v="64.93"/>
        <n v="94.09"/>
        <n v="38.82"/>
        <n v="50.16"/>
        <n v="3.37"/>
        <n v="41.13"/>
        <n v="22.26"/>
        <n v="44.43"/>
        <n v="84.72"/>
        <n v="57.31"/>
        <n v="88.64"/>
        <n v="6.2"/>
        <n v="13.18"/>
        <n v="64.73"/>
        <n v="78.98"/>
        <n v="77.27"/>
        <n v="93.94"/>
        <n v="0.05"/>
        <n v="24.8"/>
        <n v="79.78"/>
        <n v="48.74"/>
        <n v="83.1"/>
        <n v="32.08"/>
        <n v="98.57"/>
        <n v="88.82"/>
        <n v="79.24"/>
        <n v="95.69"/>
        <n v="52.88"/>
        <n v="63.44"/>
        <n v="40.23"/>
        <n v="19.8"/>
        <n v="76.75"/>
        <n v="46.66"/>
        <n v="45.75"/>
        <n v="84.53"/>
        <n v="77.63"/>
        <n v="11.6"/>
        <n v="2.99"/>
        <n v="64.78"/>
        <n v="52.87"/>
        <n v="71.61"/>
        <n v="89.11"/>
        <n v="3.09"/>
        <n v="24.84"/>
        <n v="17.41"/>
        <n v="33.3"/>
        <n v="90.66"/>
        <n v="94.51"/>
        <n v="85.96"/>
        <n v="37.77"/>
        <n v="56.67"/>
        <n v="12.98"/>
        <n v="91.43"/>
        <n v="1.0"/>
        <n v="10.4"/>
        <n v="75.84"/>
        <n v="47.53"/>
        <n v="58.32"/>
        <n v="34.12"/>
        <n v="65.25"/>
        <n v="60.36"/>
        <n v="53.72"/>
        <n v="59.04"/>
        <n v="19.53"/>
        <n v="21.04"/>
        <n v="69.53"/>
        <n v="33.65"/>
        <n v="87.12"/>
        <n v="73.41"/>
        <n v="79.32"/>
        <n v="45.37"/>
        <n v="82.22"/>
        <n v="52.3"/>
        <n v="69.06"/>
        <n v="85.58"/>
        <n v="51.25"/>
        <n v="77.26"/>
        <n v="48.44"/>
        <n v="50.55"/>
        <n v="6.12"/>
        <n v="23.88"/>
        <n v="62.45"/>
        <n v="80.96"/>
        <n v="55.44"/>
        <n v="34.33"/>
        <n v="3.98"/>
        <n v="9.72"/>
        <n v="95.51"/>
        <n v="43.53"/>
        <n v="44.23"/>
        <n v="12.19"/>
        <n v="41.26"/>
        <n v="96.27"/>
        <n v="22.38"/>
        <n v="99.3"/>
        <n v="88.4"/>
        <n v="93.46"/>
        <n v="13.63"/>
        <n v="81.79"/>
        <n v="28.62"/>
        <n v="74.98"/>
        <n v="86.33"/>
        <n v="62.27"/>
        <n v="85.69"/>
        <n v="76.03"/>
        <n v="36.0"/>
        <n v="13.91"/>
        <n v="18.18"/>
        <n v="86.87"/>
        <n v="89.58"/>
        <n v="59.3"/>
        <n v="16.01"/>
        <n v="57.85"/>
        <n v="10.48"/>
        <n v="84.58"/>
        <n v="77.86"/>
        <n v="35.96"/>
        <n v="97.77"/>
        <n v="81.44"/>
        <n v="74.59"/>
        <n v="21.34"/>
        <n v="72.9"/>
        <n v="44.12"/>
        <n v="96.17"/>
        <n v="28.47"/>
        <n v="24.03"/>
        <n v="75.94"/>
        <n v="98.94"/>
        <n v="1.21"/>
        <n v="82.52"/>
        <n v="34.35"/>
        <n v="34.32"/>
        <n v="95.33"/>
        <n v="92.23"/>
        <n v="98.21"/>
        <n v="15.36"/>
        <n v="91.96"/>
        <n v="38.11"/>
        <n v="8.79"/>
        <n v="38.45"/>
        <n v="28.29"/>
        <n v="86.34"/>
        <n v="8.67"/>
        <n v="99.22"/>
        <n v="89.95"/>
        <n v="16.04"/>
        <n v="0.69"/>
        <n v="5.63"/>
        <n v="36.36"/>
        <n v="5.08"/>
        <n v="56.01"/>
        <n v="64.24"/>
        <n v="59.38"/>
        <n v="44.3"/>
        <n v="97.45"/>
        <n v="42.83"/>
        <n v="47.39"/>
        <n v="6.97"/>
        <n v="14.61"/>
        <n v="60.59"/>
        <n v="38.37"/>
        <n v="62.74"/>
        <n v="51.72"/>
        <n v="11.3"/>
        <n v="26.6"/>
        <n v="87.07"/>
        <n v="23.39"/>
        <n v="99.52"/>
        <n v="30.09"/>
        <n v="50.28"/>
        <n v="26.61"/>
        <n v="60.38"/>
        <n v="57.94"/>
        <n v="94.96"/>
        <n v="89.16"/>
        <n v="61.71"/>
        <n v="66.59"/>
        <n v="92.21"/>
        <n v="33.13"/>
        <n v="10.52"/>
        <n v="45.14"/>
        <n v="73.95"/>
        <n v="6.46"/>
        <n v="36.9"/>
        <n v="73.09"/>
        <n v="88.19"/>
        <n v="80.81"/>
        <n v="25.2"/>
        <n v="16.92"/>
        <n v="98.35"/>
        <n v="97.07"/>
        <n v="55.83"/>
        <n v="3.96"/>
        <n v="94.2"/>
        <n v="48.81"/>
        <n v="21.58"/>
        <n v="82.09"/>
        <n v="92.84"/>
        <n v="80.23"/>
        <n v="68.82"/>
        <n v="24.41"/>
        <n v="59.68"/>
        <n v="10.03"/>
        <n v="68.2"/>
        <n v="5.07"/>
        <n v="93.43"/>
        <n v="58.6"/>
        <n v="0.19"/>
        <n v="97.05"/>
        <n v="4.53"/>
        <n v="1.72"/>
        <n v="71.11"/>
        <n v="5.33"/>
        <n v="15.28"/>
        <n v="18.79"/>
        <n v="50.11"/>
        <n v="44.88"/>
        <n v="19.36"/>
        <n v="73.77"/>
        <n v="32.95"/>
        <n v="69.47"/>
        <n v="93.48"/>
        <n v="61.06"/>
        <n v="31.76"/>
        <n v="3.07"/>
        <n v="66.21"/>
        <n v="98.0"/>
        <n v="85.01"/>
        <n v="0.72"/>
        <n v="20.92"/>
        <n v="59.44"/>
        <n v="63.21"/>
        <n v="95.97"/>
        <n v="64.58"/>
        <n v="17.24"/>
        <n v="19.84"/>
        <n v="0.88"/>
        <n v="54.75"/>
        <n v="46.23"/>
        <n v="27.67"/>
        <n v="8.65"/>
        <n v="13.28"/>
        <n v="98.64"/>
        <n v="97.98"/>
        <n v="13.6"/>
        <n v="74.52"/>
        <n v="34.31"/>
        <n v="65.68"/>
        <n v="43.62"/>
        <n v="84.34"/>
        <n v="24.37"/>
        <n v="83.18"/>
        <n v="44.1"/>
        <n v="32.34"/>
        <n v="42.96"/>
        <n v="44.81"/>
        <n v="83.34"/>
        <n v="28.85"/>
        <n v="48.3"/>
        <n v="24.66"/>
        <n v="60.44"/>
        <n v="45.68"/>
        <n v="34.9"/>
        <n v="52.02"/>
        <n v="18.05"/>
        <n v="50.19"/>
        <n v="41.18"/>
        <n v="2.5"/>
        <n v="16.08"/>
        <n v="55.5"/>
        <n v="37.54"/>
        <n v="44.96"/>
        <n v="59.39"/>
        <n v="83.99"/>
        <n v="26.65"/>
        <n v="59.36"/>
        <n v="94.84"/>
        <n v="69.96"/>
        <n v="35.79"/>
        <n v="61.69"/>
        <n v="60.79"/>
        <n v="93.75"/>
        <n v="10.47"/>
        <n v="1.43"/>
        <n v="81.57"/>
        <n v="42.57"/>
        <n v="58.63"/>
        <n v="51.68"/>
        <n v="48.01"/>
        <n v="27.91"/>
        <n v="71.99"/>
        <n v="53.95"/>
        <n v="65.04"/>
        <n v="96.28"/>
        <n v="27.66"/>
        <n v="49.9"/>
        <n v="86.77"/>
        <n v="33.89"/>
        <n v="73.97"/>
        <n v="80.8"/>
        <n v="88.89"/>
        <n v="22.19"/>
        <n v="44.24"/>
        <n v="88.72"/>
        <n v="25.5"/>
        <n v="81.15"/>
        <n v="47.99"/>
        <n v="37.57"/>
        <n v="40.24"/>
        <n v="8.12"/>
        <n v="35.24"/>
        <n v="24.7"/>
        <n v="59.54"/>
        <n v="85.67"/>
        <n v="90.6"/>
        <n v="59.37"/>
        <n v="22.52"/>
        <n v="39.3"/>
        <n v="96.89"/>
        <n v="55.72"/>
        <n v="5.05"/>
        <n v="29.94"/>
        <n v="43.56"/>
        <n v="49.46"/>
        <n v="73.8"/>
        <n v="30.35"/>
        <n v="0.67"/>
        <n v="11.58"/>
        <n v="50.22"/>
        <n v="28.98"/>
        <n v="52.27"/>
        <n v="5.71"/>
        <n v="53.64"/>
        <n v="4.19"/>
        <n v="83.25"/>
        <n v="55.0"/>
        <n v="84.79"/>
        <n v="7.5"/>
        <n v="55.6"/>
        <n v="69.25"/>
        <n v="62.75"/>
        <n v="98.37"/>
        <n v="95.56"/>
        <n v="65.91"/>
        <n v="54.61"/>
        <n v="80.47"/>
        <n v="31.15"/>
        <n v="14.52"/>
        <n v="80.25"/>
        <n v="59.15"/>
        <n v="34.64"/>
        <n v="90.33"/>
        <n v="1.32"/>
        <n v="21.6"/>
        <n v="54.66"/>
        <n v="32.98"/>
        <n v="85.02"/>
        <n v="1.31"/>
        <n v="76.47"/>
        <n v="5.09"/>
        <n v="88.9"/>
        <n v="19.67"/>
        <n v="24.27"/>
        <n v="79.25"/>
        <n v="59.62"/>
        <n v="47.74"/>
        <n v="44.2"/>
        <n v="51.86"/>
        <n v="70.13"/>
        <n v="74.65"/>
        <n v="92.08"/>
        <n v="52.52"/>
        <n v="6.07"/>
        <n v="94.02"/>
        <n v="23.07"/>
        <n v="18.53"/>
        <n v="74.93"/>
        <n v="94.49"/>
        <n v="39.04"/>
        <n v="77.41"/>
        <n v="87.85"/>
        <n v="9.78"/>
        <n v="21.95"/>
        <n v="37.34"/>
        <n v="27.33"/>
        <n v="90.24"/>
        <n v="79.56"/>
        <n v="13.58"/>
        <n v="99.97"/>
        <n v="97.85"/>
        <n v="40.56"/>
        <n v="84.51"/>
        <n v="20.99"/>
        <n v="97.4"/>
        <n v="58.89"/>
        <n v="59.89"/>
        <n v="34.89"/>
        <n v="76.81"/>
        <n v="26.95"/>
        <n v="78.93"/>
        <n v="83.95"/>
        <n v="72.75"/>
        <n v="76.49"/>
        <n v="28.27"/>
        <n v="49.33"/>
        <n v="96.43"/>
        <n v="12.45"/>
        <n v="56.26"/>
        <n v="91.64"/>
        <n v="73.3"/>
        <n v="44.05"/>
        <n v="81.61"/>
        <n v="51.35"/>
        <n v="90.78"/>
        <n v="75.76"/>
        <n v="9.57"/>
        <n v="57.06"/>
        <n v="9.87"/>
        <n v="44.87"/>
        <n v="7.57"/>
        <n v="81.55"/>
        <n v="5.83"/>
        <n v="81.56"/>
        <n v="97.68"/>
        <n v="58.0"/>
        <n v="95.54"/>
        <n v="36.32"/>
        <n v="67.88"/>
        <n v="15.15"/>
        <n v="57.93"/>
        <n v="45.97"/>
        <n v="9.59"/>
        <n v="25.47"/>
        <n v="83.68"/>
        <n v="44.99"/>
        <n v="95.1"/>
        <n v="15.52"/>
        <n v="66.47"/>
        <n v="56.03"/>
        <n v="22.99"/>
        <n v="25.89"/>
        <n v="35.39"/>
        <n v="53.52"/>
        <n v="7.96"/>
        <n v="49.41"/>
        <n v="37.22"/>
        <n v="85.61"/>
        <n v="12.38"/>
        <n v="62.06"/>
        <n v="75.7"/>
        <n v="81.86"/>
        <n v="31.21"/>
        <n v="95.83"/>
        <n v="93.44"/>
        <n v="70.05"/>
        <n v="57.77"/>
        <n v="38.26"/>
        <n v="10.17"/>
        <n v="56.0"/>
        <n v="5.96"/>
        <n v="46.98"/>
        <n v="72.5"/>
        <n v="99.67"/>
        <n v="21.01"/>
        <n v="81.91"/>
        <n v="43.99"/>
        <n v="62.24"/>
        <n v="49.86"/>
        <n v="31.71"/>
        <n v="39.94"/>
        <n v="7.34"/>
        <n v="79.14"/>
        <n v="53.62"/>
        <n v="7.16"/>
        <n v="71.06"/>
        <n v="47.14"/>
        <n v="58.92"/>
        <n v="52.04"/>
        <n v="39.2"/>
        <n v="28.77"/>
        <n v="36.6"/>
        <n v="59.17"/>
        <n v="45.59"/>
        <n v="53.45"/>
        <n v="35.25"/>
        <n v="53.22"/>
        <n v="95.03"/>
        <n v="64.12"/>
        <n v="43.12"/>
        <n v="68.52"/>
        <n v="59.21"/>
        <n v="2.61"/>
        <n v="87.72"/>
        <n v="5.54"/>
        <n v="33.72"/>
        <n v="51.19"/>
        <n v="59.61"/>
        <n v="67.07"/>
        <n v="15.22"/>
        <n v="63.27"/>
        <n v="29.83"/>
        <n v="14.81"/>
        <n v="7.52"/>
        <n v="8.17"/>
        <n v="52.18"/>
        <n v="96.41"/>
        <n v="51.62"/>
        <n v="65.39"/>
        <n v="78.52"/>
        <n v="9.38"/>
        <n v="66.96"/>
        <n v="31.41"/>
        <n v="89.81"/>
        <n v="24.74"/>
        <n v="25.97"/>
        <n v="74.45"/>
        <n v="25.53"/>
        <n v="40.96"/>
        <n v="12.74"/>
        <n v="66.18"/>
        <n v="63.58"/>
        <n v="18.21"/>
        <n v="54.68"/>
        <n v="6.38"/>
        <n v="5.17"/>
        <n v="19.48"/>
        <n v="13.75"/>
        <n v="59.27"/>
        <n v="33.43"/>
        <n v="28.36"/>
        <n v="7.24"/>
        <n v="29.26"/>
        <n v="50.46"/>
        <n v="46.44"/>
        <n v="14.64"/>
        <n v="43.68"/>
        <n v="2.54"/>
        <n v="76.01"/>
        <n v="44.75"/>
        <n v="57.84"/>
        <n v="12.13"/>
        <n v="57.86"/>
        <n v="68.85"/>
        <n v="15.91"/>
        <n v="79.09"/>
        <n v="17.02"/>
        <n v="34.57"/>
        <n v="44.48"/>
        <n v="54.45"/>
        <n v="26.77"/>
        <n v="44.62"/>
        <n v="85.23"/>
        <n v="68.13"/>
        <n v="37.1"/>
        <n v="36.59"/>
        <n v="3.69"/>
        <n v="99.25"/>
        <n v="48.72"/>
        <n v="29.65"/>
        <n v="86.74"/>
        <n v="88.78"/>
        <n v="33.15"/>
        <n v="11.97"/>
        <n v="77.29"/>
        <n v="5.84"/>
        <n v="18.89"/>
        <n v="72.41"/>
        <n v="94.81"/>
        <n v="48.47"/>
        <n v="10.28"/>
        <n v="76.58"/>
        <n v="32.91"/>
        <m/>
      </sharedItems>
    </cacheField>
    <cacheField name="Memory Utilization (%)" numFmtId="0">
      <sharedItems containsString="0" containsBlank="1" containsNumber="1">
        <n v="70.42"/>
        <n v="46.8"/>
        <n v="59.47"/>
        <n v="97.63"/>
        <n v="21.58"/>
        <n v="95.15"/>
        <n v="62.31"/>
        <n v="6.07"/>
        <n v="9.41"/>
        <n v="52.4"/>
        <n v="26.56"/>
        <n v="5.41"/>
        <n v="14.51"/>
        <n v="1.94"/>
        <n v="32.42"/>
        <n v="86.01"/>
        <n v="2.89"/>
        <n v="51.52"/>
        <n v="49.89"/>
        <n v="83.84"/>
        <n v="76.7"/>
        <n v="60.38"/>
        <n v="61.79"/>
        <n v="35.99"/>
        <n v="42.91"/>
        <n v="72.18"/>
        <n v="91.02"/>
        <n v="46.75"/>
        <n v="16.46"/>
        <n v="9.91"/>
        <n v="76.78"/>
        <n v="80.19"/>
        <n v="57.94"/>
        <n v="28.06"/>
        <n v="95.71"/>
        <n v="31.59"/>
        <n v="13.16"/>
        <n v="47.12"/>
        <n v="26.17"/>
        <n v="16.21"/>
        <n v="51.99"/>
        <n v="40.3"/>
        <n v="95.77"/>
        <n v="98.89"/>
        <n v="76.38"/>
        <n v="51.31"/>
        <n v="0.93"/>
        <n v="57.91"/>
        <n v="17.93"/>
        <n v="24.27"/>
        <n v="41.43"/>
        <n v="10.91"/>
        <n v="8.78"/>
        <n v="2.37"/>
        <n v="96.05"/>
        <n v="96.85"/>
        <n v="8.8"/>
        <n v="42.02"/>
        <n v="94.05"/>
        <n v="64.11"/>
        <n v="65.19"/>
        <n v="72.89"/>
        <n v="64.91"/>
        <n v="85.12"/>
        <n v="14.03"/>
        <n v="93.62"/>
        <n v="53.42"/>
        <n v="78.98"/>
        <n v="34.07"/>
        <n v="54.14"/>
        <n v="20.83"/>
        <n v="16.41"/>
        <n v="26.13"/>
        <n v="62.33"/>
        <n v="73.22"/>
        <n v="56.39"/>
        <n v="76.15"/>
        <n v="63.72"/>
        <n v="45.3"/>
        <n v="21.8"/>
        <n v="32.63"/>
        <n v="67.91"/>
        <n v="24.7"/>
        <n v="73.37"/>
        <n v="79.33"/>
        <n v="36.94"/>
        <n v="49.17"/>
        <n v="62.0"/>
        <n v="12.52"/>
        <n v="44.84"/>
        <n v="9.65"/>
        <n v="0.51"/>
        <n v="1.48"/>
        <n v="27.67"/>
        <n v="66.82"/>
        <n v="11.63"/>
        <n v="55.33"/>
        <n v="65.99"/>
        <n v="38.97"/>
        <n v="86.53"/>
        <n v="19.1"/>
        <n v="68.35"/>
        <n v="84.95"/>
        <n v="22.03"/>
        <n v="12.43"/>
        <n v="58.32"/>
        <n v="79.99"/>
        <n v="54.26"/>
        <n v="58.75"/>
        <n v="10.81"/>
        <n v="32.34"/>
        <n v="74.27"/>
        <n v="7.84"/>
        <n v="0.58"/>
        <n v="12.53"/>
        <n v="81.34"/>
        <n v="47.25"/>
        <n v="49.2"/>
        <n v="97.44"/>
        <n v="40.77"/>
        <n v="72.53"/>
        <n v="10.6"/>
        <n v="82.64"/>
        <n v="94.9"/>
        <n v="51.03"/>
        <n v="2.68"/>
        <n v="34.97"/>
        <n v="35.21"/>
        <n v="60.61"/>
        <n v="49.56"/>
        <n v="98.03"/>
        <n v="13.96"/>
        <n v="57.33"/>
        <n v="56.06"/>
        <n v="39.16"/>
        <n v="15.38"/>
        <n v="72.19"/>
        <n v="93.94"/>
        <n v="8.33"/>
        <n v="21.64"/>
        <n v="97.74"/>
        <n v="53.32"/>
        <n v="85.71"/>
        <n v="74.89"/>
        <n v="53.15"/>
        <n v="86.88"/>
        <n v="92.47"/>
        <n v="55.66"/>
        <n v="91.81"/>
        <n v="55.98"/>
        <n v="60.41"/>
        <n v="6.75"/>
        <n v="49.37"/>
        <n v="32.4"/>
        <n v="26.47"/>
        <n v="86.83"/>
        <n v="10.16"/>
        <n v="43.96"/>
        <n v="44.41"/>
        <n v="5.69"/>
        <n v="87.64"/>
        <n v="77.24"/>
        <n v="1.07"/>
        <n v="36.58"/>
        <n v="54.56"/>
        <n v="87.01"/>
        <n v="62.48"/>
        <n v="85.55"/>
        <n v="97.79"/>
        <n v="32.76"/>
        <n v="78.67"/>
        <n v="52.97"/>
        <n v="32.24"/>
        <n v="24.88"/>
        <n v="0.11"/>
        <n v="66.91"/>
        <n v="5.13"/>
        <n v="18.5"/>
        <n v="25.97"/>
        <n v="41.46"/>
        <n v="48.74"/>
        <n v="11.98"/>
        <n v="16.9"/>
        <n v="17.79"/>
        <n v="8.79"/>
        <n v="21.32"/>
        <n v="59.62"/>
        <n v="27.26"/>
        <n v="34.61"/>
        <n v="83.97"/>
        <n v="51.72"/>
        <n v="64.55"/>
        <n v="62.51"/>
        <n v="40.39"/>
        <n v="67.68"/>
        <n v="11.41"/>
        <n v="61.36"/>
        <n v="0.87"/>
        <n v="61.95"/>
        <n v="17.8"/>
        <n v="96.73"/>
        <n v="69.03"/>
        <n v="53.13"/>
        <n v="56.01"/>
        <n v="97.65"/>
        <n v="70.16"/>
        <n v="63.12"/>
        <n v="14.47"/>
        <n v="74.97"/>
        <n v="30.12"/>
        <n v="33.94"/>
        <n v="61.6"/>
        <n v="73.63"/>
        <n v="9.18"/>
        <n v="92.83"/>
        <n v="83.98"/>
        <n v="85.61"/>
        <n v="9.48"/>
        <n v="46.44"/>
        <n v="58.97"/>
        <n v="78.62"/>
        <n v="63.35"/>
        <n v="37.92"/>
        <n v="33.39"/>
        <n v="81.23"/>
        <n v="1.84"/>
        <n v="27.66"/>
        <n v="68.73"/>
        <n v="7.02"/>
        <n v="91.73"/>
        <n v="31.02"/>
        <n v="25.0"/>
        <n v="67.98"/>
        <n v="88.7"/>
        <n v="69.43"/>
        <n v="38.33"/>
        <n v="46.11"/>
        <n v="95.4"/>
        <n v="60.67"/>
        <n v="2.7"/>
        <n v="52.81"/>
        <n v="74.47"/>
        <n v="64.92"/>
        <n v="48.36"/>
        <n v="72.15"/>
        <n v="26.34"/>
        <n v="83.44"/>
        <n v="2.46"/>
        <n v="41.13"/>
        <n v="33.75"/>
        <n v="17.42"/>
        <n v="42.53"/>
        <n v="93.78"/>
        <n v="67.45"/>
        <n v="99.81"/>
        <n v="18.62"/>
        <n v="95.66"/>
        <n v="27.96"/>
        <n v="6.1"/>
        <n v="14.64"/>
        <n v="83.01"/>
        <n v="92.69"/>
        <n v="4.78"/>
        <n v="70.83"/>
        <n v="71.15"/>
        <n v="91.07"/>
        <n v="26.03"/>
        <n v="36.38"/>
        <n v="88.53"/>
        <n v="19.15"/>
        <n v="94.8"/>
        <n v="2.48"/>
        <n v="80.49"/>
        <n v="51.26"/>
        <n v="32.81"/>
        <n v="82.35"/>
        <n v="68.48"/>
        <n v="65.3"/>
        <n v="56.96"/>
        <n v="94.07"/>
        <n v="1.08"/>
        <n v="24.58"/>
        <n v="22.93"/>
        <n v="73.0"/>
        <n v="99.8"/>
        <n v="28.36"/>
        <n v="98.76"/>
        <n v="81.87"/>
        <n v="7.95"/>
        <n v="64.13"/>
        <n v="39.45"/>
        <n v="90.96"/>
        <n v="42.14"/>
        <n v="88.6"/>
        <n v="59.1"/>
        <n v="45.09"/>
        <n v="37.57"/>
        <n v="93.53"/>
        <n v="60.63"/>
        <n v="13.82"/>
        <n v="27.02"/>
        <n v="68.85"/>
        <n v="61.26"/>
        <n v="35.59"/>
        <n v="40.65"/>
        <n v="59.16"/>
        <n v="89.27"/>
        <n v="52.83"/>
        <n v="46.67"/>
        <n v="80.03"/>
        <n v="51.91"/>
        <n v="1.99"/>
        <n v="41.17"/>
        <n v="60.77"/>
        <n v="78.71"/>
        <n v="77.27"/>
        <n v="55.84"/>
        <n v="96.47"/>
        <n v="70.7"/>
        <n v="2.65"/>
        <n v="29.21"/>
        <n v="34.41"/>
        <n v="94.74"/>
        <n v="47.91"/>
        <n v="83.33"/>
        <n v="84.27"/>
        <n v="83.81"/>
        <n v="0.06"/>
        <n v="45.03"/>
        <n v="71.53"/>
        <n v="49.7"/>
        <n v="78.18"/>
        <n v="21.88"/>
        <n v="61.47"/>
        <n v="76.42"/>
        <n v="40.44"/>
        <n v="57.32"/>
        <n v="49.82"/>
        <n v="23.13"/>
        <n v="95.42"/>
        <n v="50.6"/>
        <n v="44.48"/>
        <n v="26.69"/>
        <n v="31.85"/>
        <n v="31.61"/>
        <n v="67.46"/>
        <n v="29.42"/>
        <n v="82.45"/>
        <n v="59.28"/>
        <n v="81.42"/>
        <n v="45.08"/>
        <n v="79.37"/>
        <n v="7.46"/>
        <n v="85.89"/>
        <n v="91.03"/>
        <n v="55.25"/>
        <n v="95.39"/>
        <n v="32.47"/>
        <n v="69.35"/>
        <n v="10.74"/>
        <n v="54.87"/>
        <n v="96.34"/>
        <n v="36.55"/>
        <n v="19.79"/>
        <n v="64.97"/>
        <n v="45.93"/>
        <n v="74.51"/>
        <n v="49.91"/>
        <n v="99.25"/>
        <n v="97.38"/>
        <n v="22.79"/>
        <n v="3.16"/>
        <n v="33.79"/>
        <n v="20.63"/>
        <n v="25.07"/>
        <n v="85.23"/>
        <n v="34.04"/>
        <n v="95.76"/>
        <n v="31.36"/>
        <n v="35.96"/>
        <n v="78.64"/>
        <n v="92.8"/>
        <n v="2.77"/>
        <n v="53.51"/>
        <n v="46.58"/>
        <n v="30.39"/>
        <n v="91.46"/>
        <n v="87.82"/>
        <n v="18.29"/>
        <n v="20.26"/>
        <n v="72.55"/>
        <n v="56.53"/>
        <n v="94.45"/>
        <n v="51.63"/>
        <n v="55.19"/>
        <n v="37.74"/>
        <n v="87.5"/>
        <n v="27.19"/>
        <n v="56.3"/>
        <n v="69.69"/>
        <n v="75.85"/>
        <n v="95.47"/>
        <n v="48.02"/>
        <n v="84.32"/>
        <n v="14.15"/>
        <n v="0.2"/>
        <n v="99.09"/>
        <n v="39.26"/>
        <n v="95.25"/>
        <n v="89.69"/>
        <n v="25.92"/>
        <n v="18.89"/>
        <n v="67.49"/>
        <n v="65.78"/>
        <n v="96.32"/>
        <n v="62.41"/>
        <n v="59.94"/>
        <n v="96.7"/>
        <n v="99.01"/>
        <n v="26.83"/>
        <n v="45.28"/>
        <n v="12.57"/>
        <n v="22.98"/>
        <n v="63.51"/>
        <n v="72.71"/>
        <n v="34.47"/>
        <n v="99.05"/>
        <n v="50.82"/>
        <n v="58.44"/>
        <n v="36.74"/>
        <n v="27.08"/>
        <n v="12.91"/>
        <n v="18.24"/>
        <n v="15.17"/>
        <n v="59.81"/>
        <n v="25.67"/>
        <n v="52.13"/>
        <n v="68.25"/>
        <n v="48.46"/>
        <n v="47.88"/>
        <n v="34.34"/>
        <n v="17.38"/>
        <n v="76.26"/>
        <n v="66.74"/>
        <n v="31.97"/>
        <n v="64.79"/>
        <n v="48.33"/>
        <n v="65.04"/>
        <n v="36.53"/>
        <n v="92.54"/>
        <n v="13.38"/>
        <n v="90.15"/>
        <n v="52.29"/>
        <n v="23.16"/>
        <n v="31.66"/>
        <n v="67.42"/>
        <n v="98.73"/>
        <n v="90.93"/>
        <n v="51.34"/>
        <n v="40.23"/>
        <n v="61.01"/>
        <n v="89.83"/>
        <n v="55.38"/>
        <n v="74.75"/>
        <n v="92.34"/>
        <n v="95.33"/>
        <n v="27.23"/>
        <n v="16.97"/>
        <n v="48.93"/>
        <n v="54.35"/>
        <n v="94.15"/>
        <n v="84.66"/>
        <n v="85.79"/>
        <n v="71.52"/>
        <n v="1.93"/>
        <n v="48.11"/>
        <n v="80.32"/>
        <n v="66.68"/>
        <n v="63.9"/>
        <n v="75.88"/>
        <n v="86.06"/>
        <n v="89.42"/>
        <n v="49.0"/>
        <n v="8.24"/>
        <n v="31.18"/>
        <n v="52.71"/>
        <n v="39.77"/>
        <n v="34.83"/>
        <n v="89.77"/>
        <n v="21.71"/>
        <n v="16.45"/>
        <n v="69.12"/>
        <n v="17.51"/>
        <n v="51.35"/>
        <n v="44.85"/>
        <n v="50.53"/>
        <n v="32.19"/>
        <n v="68.46"/>
        <n v="75.61"/>
        <n v="66.01"/>
        <n v="5.25"/>
        <n v="66.36"/>
        <n v="81.97"/>
        <n v="44.07"/>
        <n v="21.19"/>
        <n v="43.71"/>
        <n v="97.47"/>
        <n v="81.61"/>
        <n v="21.39"/>
        <n v="56.56"/>
        <n v="80.47"/>
        <n v="31.08"/>
        <n v="31.1"/>
        <n v="88.63"/>
        <n v="66.1"/>
        <n v="2.13"/>
        <n v="25.12"/>
        <n v="48.43"/>
        <n v="83.56"/>
        <n v="91.61"/>
        <n v="0.95"/>
        <n v="91.41"/>
        <n v="9.27"/>
        <n v="52.74"/>
        <n v="58.64"/>
        <n v="4.12"/>
        <n v="15.71"/>
        <n v="25.58"/>
        <n v="99.12"/>
        <n v="17.36"/>
        <n v="3.39"/>
        <n v="92.44"/>
        <n v="79.14"/>
        <n v="80.46"/>
        <n v="57.08"/>
        <n v="12.6"/>
        <n v="95.79"/>
        <n v="61.74"/>
        <n v="51.42"/>
        <n v="46.71"/>
        <n v="77.29"/>
        <n v="51.81"/>
        <n v="33.87"/>
        <n v="23.04"/>
        <n v="38.48"/>
        <n v="29.33"/>
        <n v="58.3"/>
        <n v="24.0"/>
        <n v="95.07"/>
        <n v="66.9"/>
        <n v="22.33"/>
        <n v="28.26"/>
        <n v="26.62"/>
        <n v="33.92"/>
        <n v="56.76"/>
        <n v="22.92"/>
        <n v="42.9"/>
        <n v="11.88"/>
        <n v="62.42"/>
        <n v="37.62"/>
        <n v="77.92"/>
        <n v="0.73"/>
        <n v="91.21"/>
        <n v="58.88"/>
        <n v="96.64"/>
        <n v="93.68"/>
        <n v="88.01"/>
        <n v="86.59"/>
        <n v="45.25"/>
        <n v="76.09"/>
        <n v="70.47"/>
        <n v="38.66"/>
        <n v="91.42"/>
        <n v="53.54"/>
        <n v="16.22"/>
        <n v="57.52"/>
        <n v="47.44"/>
        <n v="51.05"/>
        <n v="14.6"/>
        <n v="92.23"/>
        <n v="24.91"/>
        <n v="49.34"/>
        <n v="49.35"/>
        <n v="41.57"/>
        <n v="26.87"/>
        <n v="29.04"/>
        <n v="32.7"/>
        <n v="96.22"/>
        <n v="51.61"/>
        <n v="44.06"/>
        <n v="60.69"/>
        <n v="70.99"/>
        <n v="63.07"/>
        <n v="74.01"/>
        <n v="74.52"/>
        <n v="20.31"/>
        <n v="50.11"/>
        <n v="35.54"/>
        <n v="86.99"/>
        <n v="10.51"/>
        <n v="2.28"/>
        <n v="94.96"/>
        <n v="40.14"/>
        <n v="16.96"/>
        <n v="50.84"/>
        <n v="60.8"/>
        <n v="32.8"/>
        <n v="25.1"/>
        <n v="4.0"/>
        <n v="5.56"/>
        <n v="60.58"/>
        <n v="36.52"/>
        <n v="78.84"/>
        <n v="75.7"/>
        <n v="76.59"/>
        <n v="63.19"/>
        <n v="62.96"/>
        <n v="81.01"/>
        <n v="44.27"/>
        <n v="63.3"/>
        <n v="65.59"/>
        <n v="38.28"/>
        <n v="78.54"/>
        <n v="93.39"/>
        <n v="64.83"/>
        <n v="10.1"/>
        <n v="10.66"/>
        <n v="86.26"/>
        <n v="64.86"/>
        <n v="92.04"/>
        <n v="72.79"/>
        <n v="16.13"/>
        <n v="45.39"/>
        <n v="58.07"/>
        <n v="75.96"/>
        <n v="39.99"/>
        <n v="59.63"/>
        <n v="34.63"/>
        <n v="42.97"/>
        <n v="39.11"/>
        <n v="78.87"/>
        <n v="51.43"/>
        <n v="92.55"/>
        <n v="90.99"/>
        <n v="3.98"/>
        <n v="77.79"/>
        <n v="22.22"/>
        <n v="34.24"/>
        <n v="75.19"/>
        <n v="9.28"/>
        <n v="66.6"/>
        <n v="81.14"/>
        <n v="40.41"/>
        <n v="67.34"/>
        <n v="40.82"/>
        <n v="63.99"/>
        <n v="1.19"/>
        <n v="44.96"/>
        <n v="3.49"/>
        <n v="46.32"/>
        <n v="65.76"/>
        <n v="68.23"/>
        <n v="67.52"/>
        <n v="53.28"/>
        <n v="7.4"/>
        <n v="81.69"/>
        <n v="51.64"/>
        <n v="54.69"/>
        <n v="57.09"/>
        <n v="4.35"/>
        <n v="77.78"/>
        <n v="20.82"/>
        <n v="90.71"/>
        <n v="9.73"/>
        <n v="27.86"/>
        <n v="3.91"/>
        <n v="35.39"/>
        <n v="12.92"/>
        <n v="9.87"/>
        <n v="30.59"/>
        <n v="13.99"/>
        <n v="20.89"/>
        <n v="58.96"/>
        <n v="50.81"/>
        <n v="62.7"/>
        <n v="88.33"/>
        <n v="54.12"/>
        <n v="89.97"/>
        <n v="15.88"/>
        <n v="33.15"/>
        <n v="94.08"/>
        <n v="32.15"/>
        <n v="19.38"/>
        <n v="42.07"/>
        <n v="50.33"/>
        <n v="82.03"/>
        <n v="17.43"/>
        <n v="57.03"/>
        <n v="16.05"/>
        <n v="20.17"/>
        <n v="11.7"/>
        <n v="69.62"/>
        <n v="87.84"/>
        <n v="40.37"/>
        <n v="34.96"/>
        <n v="23.61"/>
        <n v="38.53"/>
        <n v="31.14"/>
        <n v="27.76"/>
        <n v="94.56"/>
        <n v="44.74"/>
        <n v="39.91"/>
        <n v="27.72"/>
        <n v="85.56"/>
        <n v="21.9"/>
        <n v="27.09"/>
        <n v="45.77"/>
        <n v="23.02"/>
        <n v="38.71"/>
        <n v="69.28"/>
        <n v="81.05"/>
        <n v="58.23"/>
        <n v="79.97"/>
        <n v="96.88"/>
        <n v="72.23"/>
        <n v="72.32"/>
        <n v="34.28"/>
        <n v="16.06"/>
        <n v="56.86"/>
        <n v="80.05"/>
        <n v="87.4"/>
        <n v="9.74"/>
        <n v="59.68"/>
        <n v="53.74"/>
        <n v="20.62"/>
        <n v="35.93"/>
        <n v="23.82"/>
        <n v="59.95"/>
        <n v="39.95"/>
        <n v="80.7"/>
        <n v="73.1"/>
        <n v="46.63"/>
        <n v="91.65"/>
        <n v="34.82"/>
        <n v="86.08"/>
        <n v="43.58"/>
        <n v="80.79"/>
        <n v="88.04"/>
        <n v="83.14"/>
        <n v="44.67"/>
        <n v="87.87"/>
        <n v="59.73"/>
        <n v="91.37"/>
        <n v="31.91"/>
        <n v="97.7"/>
        <n v="48.18"/>
        <n v="31.52"/>
        <n v="30.3"/>
        <n v="39.42"/>
        <n v="62.81"/>
        <n v="90.32"/>
        <n v="56.61"/>
        <n v="37.18"/>
        <n v="85.01"/>
        <n v="3.74"/>
        <n v="87.67"/>
        <n v="95.49"/>
        <n v="74.11"/>
        <n v="21.86"/>
        <n v="33.18"/>
        <n v="28.88"/>
        <n v="91.44"/>
        <n v="5.12"/>
        <n v="45.14"/>
        <n v="98.45"/>
        <n v="56.97"/>
        <n v="97.27"/>
        <n v="18.97"/>
        <n v="39.97"/>
        <n v="24.26"/>
        <n v="64.04"/>
        <n v="25.64"/>
        <n v="63.69"/>
        <n v="39.68"/>
        <n v="57.96"/>
        <n v="69.71"/>
        <n v="51.95"/>
        <n v="51.92"/>
        <n v="61.62"/>
        <n v="62.14"/>
        <n v="96.95"/>
        <n v="50.26"/>
        <n v="48.91"/>
        <n v="86.3"/>
        <n v="98.84"/>
        <n v="50.39"/>
        <n v="22.3"/>
        <n v="99.57"/>
        <n v="61.09"/>
        <n v="1.51"/>
        <n v="82.52"/>
        <n v="79.67"/>
        <n v="72.51"/>
        <n v="41.86"/>
        <n v="14.98"/>
        <n v="73.66"/>
        <n v="1.83"/>
        <n v="44.99"/>
        <n v="52.34"/>
        <n v="0.46"/>
        <n v="37.46"/>
        <n v="23.87"/>
        <n v="28.75"/>
        <n v="23.54"/>
        <n v="54.06"/>
        <n v="73.76"/>
        <n v="76.72"/>
        <n v="37.1"/>
        <n v="0.16"/>
        <n v="81.04"/>
        <n v="6.02"/>
        <n v="87.62"/>
        <n v="75.22"/>
        <n v="96.14"/>
        <n v="32.36"/>
        <n v="54.18"/>
        <n v="10.82"/>
        <n v="60.54"/>
        <n v="58.66"/>
        <n v="27.21"/>
        <n v="39.08"/>
        <n v="35.75"/>
        <n v="97.66"/>
        <n v="14.13"/>
        <n v="54.64"/>
        <n v="41.85"/>
        <n v="68.76"/>
        <n v="67.12"/>
        <n v="5.48"/>
        <n v="33.25"/>
        <n v="31.13"/>
        <n v="68.94"/>
        <n v="75.43"/>
        <n v="25.22"/>
        <n v="90.87"/>
        <n v="26.46"/>
        <n v="16.55"/>
        <n v="65.92"/>
        <n v="71.17"/>
        <n v="70.24"/>
        <n v="64.89"/>
        <n v="6.22"/>
        <n v="33.53"/>
        <n v="83.42"/>
        <n v="91.94"/>
        <n v="26.61"/>
        <n v="31.47"/>
        <n v="18.34"/>
        <n v="50.88"/>
        <n v="45.49"/>
        <n v="38.37"/>
        <n v="44.59"/>
        <n v="13.0"/>
        <n v="45.32"/>
        <n v="0.74"/>
        <n v="43.02"/>
        <n v="20.49"/>
        <n v="47.74"/>
        <n v="40.17"/>
        <n v="33.02"/>
        <n v="10.05"/>
        <n v="83.74"/>
        <n v="44.13"/>
        <n v="82.26"/>
        <n v="69.65"/>
        <n v="7.63"/>
        <n v="13.21"/>
        <n v="86.85"/>
        <n v="96.26"/>
        <n v="29.73"/>
        <n v="33.29"/>
        <n v="81.93"/>
        <n v="54.6"/>
        <n v="29.94"/>
        <n v="70.95"/>
        <n v="66.7"/>
        <n v="50.76"/>
        <n v="35.2"/>
        <n v="93.46"/>
        <n v="84.34"/>
        <n v="96.46"/>
        <n v="13.57"/>
        <n v="29.91"/>
        <n v="5.11"/>
        <n v="94.6"/>
        <n v="66.93"/>
        <n v="9.69"/>
        <n v="87.26"/>
        <n v="35.92"/>
        <n v="59.61"/>
        <n v="26.24"/>
        <n v="17.44"/>
        <n v="46.18"/>
        <n v="54.39"/>
        <n v="55.02"/>
        <n v="45.07"/>
        <n v="87.03"/>
        <n v="81.03"/>
        <n v="46.39"/>
        <n v="88.12"/>
        <n v="52.16"/>
        <n v="76.22"/>
        <n v="98.81"/>
        <n v="88.14"/>
        <n v="5.84"/>
        <n v="15.86"/>
        <n v="26.05"/>
        <n v="4.57"/>
        <n v="73.14"/>
        <n v="55.07"/>
        <n v="9.62"/>
        <n v="62.09"/>
        <n v="62.87"/>
        <n v="17.83"/>
        <n v="81.28"/>
        <n v="64.82"/>
        <n v="39.55"/>
        <n v="93.57"/>
        <n v="65.66"/>
        <n v="79.93"/>
        <n v="83.85"/>
        <n v="44.05"/>
        <n v="66.21"/>
        <n v="9.98"/>
        <n v="71.37"/>
        <n v="77.67"/>
        <n v="48.34"/>
        <n v="82.86"/>
        <n v="38.04"/>
        <n v="14.54"/>
        <n v="36.85"/>
        <n v="82.37"/>
        <n v="53.5"/>
        <n v="66.41"/>
        <n v="68.0"/>
        <n v="59.99"/>
        <n v="92.01"/>
        <n v="70.78"/>
        <n v="6.03"/>
        <n v="22.82"/>
        <m/>
      </sharedItems>
    </cacheField>
    <cacheField name="Network Inbound Data (Bytes)" numFmtId="0">
      <sharedItems containsString="0" containsBlank="1" containsNumber="1" containsInteger="1">
        <n v="7.7097035547E10"/>
        <n v="8.239357017E9"/>
        <n v="2.3358691883E10"/>
        <n v="5.3404385778E10"/>
        <n v="1.0795270461E10"/>
        <n v="6.7970493743E10"/>
        <n v="2.7515142149E10"/>
        <n v="6.907912595E10"/>
        <n v="1.4639390405E10"/>
        <n v="7.2632018521E10"/>
        <n v="6.0327278928E10"/>
        <n v="9.2616000746E10"/>
        <n v="1.5213923507E10"/>
        <n v="4.7714907583E10"/>
        <n v="6.4719533732E10"/>
        <n v="1.4130706238E10"/>
        <n v="6.105357266E10"/>
        <n v="7.0591459011E10"/>
        <n v="2.4459345122E10"/>
        <n v="5.0023921405E10"/>
        <n v="2.7785646604E10"/>
        <n v="3.1595229818E10"/>
        <n v="3.5788463783E10"/>
        <n v="9.6990383791E10"/>
        <n v="3.1182295135E10"/>
        <n v="7.5263901953E10"/>
        <n v="8.4041157244E10"/>
        <n v="8.8256196324E10"/>
        <n v="5.4485062086E10"/>
        <n v="3.4927527769E10"/>
        <n v="8.7269231137E10"/>
        <n v="9.3395407276E10"/>
        <n v="2.4527235493E10"/>
        <n v="1.3159648227E10"/>
        <n v="9.8160908124E10"/>
        <n v="3.5137713111E10"/>
        <n v="4.7790743712E10"/>
        <n v="5.8205533146E10"/>
        <n v="7.9950895147E10"/>
        <n v="3.9972807265E10"/>
        <n v="4.7432776135E10"/>
        <n v="6.7988066933E10"/>
        <n v="3.2935662005E10"/>
        <n v="8.7565187937E10"/>
        <n v="3.6394756934E10"/>
        <n v="7.0657848518E10"/>
        <n v="9.171731168E10"/>
        <n v="8.9003991655E10"/>
        <n v="4.9573513144E10"/>
        <n v="3.5775812684E10"/>
        <n v="4.6082827894E10"/>
        <n v="1.9271396797E10"/>
        <n v="4.946636304E10"/>
        <n v="3.2960902132E10"/>
        <n v="7.4434872643E10"/>
        <n v="4.0121800532E10"/>
        <n v="1.3441390615E10"/>
        <n v="7.9528411554E10"/>
        <n v="9.3545537622E10"/>
        <n v="9.0527835813E10"/>
        <n v="6.7918645337E10"/>
        <n v="9.5888780202E10"/>
        <n v="4.4584192276E10"/>
        <n v="3.6054564196E10"/>
        <n v="9.7102223452E10"/>
        <n v="6.652379505E10"/>
        <n v="5.0602995142E10"/>
        <n v="8.4728951352E10"/>
        <n v="4.991176366E9"/>
        <n v="9.1345077372E10"/>
        <n v="6.9278146151E10"/>
        <n v="6.419077674E9"/>
        <n v="8.6582029073E10"/>
        <n v="7.6959968688E10"/>
        <n v="6.0637102983E10"/>
        <n v="1.1254718888E10"/>
        <n v="2.0012839291E10"/>
        <n v="9.4863560207E10"/>
        <n v="3.95751099E10"/>
        <n v="6.9192548519E10"/>
        <n v="4.134917123E9"/>
        <n v="4.8325139711E10"/>
        <n v="5.6424730118E10"/>
        <n v="8.9921435525E10"/>
        <n v="1.9838594075E10"/>
        <n v="1.7720150775E10"/>
        <n v="2.3586761723E10"/>
        <n v="1.9452817894E10"/>
        <n v="3.696418486E9"/>
        <n v="8.8644466509E10"/>
        <n v="3.0995393336E10"/>
        <n v="4.3819259319E10"/>
        <n v="1.6632427891E10"/>
        <n v="6.2397005339E10"/>
        <n v="1.1088197445E10"/>
        <n v="3.8218995247E10"/>
        <n v="2.8186130091E10"/>
        <n v="3.3548048805E10"/>
        <n v="1.5437392711E10"/>
        <n v="2.044183245E10"/>
        <n v="7.6642890596E10"/>
        <n v="4.6826161996E10"/>
        <n v="8.6188507705E10"/>
        <n v="9.0325073305E10"/>
        <n v="9.8546508449E10"/>
        <n v="3.9898883632E10"/>
        <n v="4.7088754447E10"/>
        <n v="1.8073950898E10"/>
        <n v="1.0768910855E10"/>
        <n v="2.1532985039E10"/>
        <n v="6.5244828596E10"/>
        <n v="1.2626016997E10"/>
        <n v="6.6009372373E10"/>
        <n v="5.905788046E9"/>
        <n v="4.2831912294E10"/>
        <n v="3.9375271299E10"/>
        <n v="9.4605229974E10"/>
        <n v="7.1692174147E10"/>
        <n v="7.550665529E10"/>
        <n v="7.498329203E10"/>
        <n v="1.240181363E10"/>
        <n v="8.719227748E9"/>
        <n v="4.1209869585E10"/>
        <n v="9.465505252E9"/>
        <n v="5.553336123E10"/>
        <n v="7.043800643E9"/>
        <n v="8.4348089965E10"/>
        <n v="2.8268074454E10"/>
        <n v="2.2472644762E10"/>
        <n v="2.4165580908E10"/>
        <n v="4.338182587E9"/>
        <n v="1.2046826888E10"/>
        <n v="3.6974776658E10"/>
        <n v="8.9313187681E10"/>
        <n v="1.4203586534E10"/>
        <n v="3.871554594E9"/>
        <n v="3.6700200498E10"/>
        <n v="4.7338870319E10"/>
        <n v="4.1389322836E10"/>
        <n v="8.3185498241E10"/>
        <n v="2.577353951E9"/>
        <n v="1.6242121259E10"/>
        <n v="9.8898014103E10"/>
        <n v="2.7863103086E10"/>
        <n v="2.6704872779E10"/>
        <n v="1.2064722865E10"/>
        <n v="5.5706638511E10"/>
        <n v="8.1265407319E10"/>
        <n v="1.4816960426E10"/>
        <n v="2.733413636E9"/>
        <n v="2.2028437577E10"/>
        <n v="9.0250268485E10"/>
        <n v="4.1021653388E10"/>
        <n v="4.0690406858E10"/>
        <n v="4.9133289978E10"/>
        <n v="6.6245831479E10"/>
        <n v="6.7740447477E10"/>
        <n v="5.9618341689E10"/>
        <n v="2.6482469626E10"/>
        <n v="8.5684453033E10"/>
        <n v="3.859269819E10"/>
        <n v="6.2733736295E10"/>
        <n v="3.8855757756E10"/>
        <n v="6.6864225934E10"/>
        <n v="8.648174636E9"/>
        <n v="7.7197161447E10"/>
        <n v="2.5349910366E10"/>
        <n v="5.7070039373E10"/>
        <n v="6.5876897775E10"/>
        <n v="5.381390902E10"/>
        <n v="6.1905026501E10"/>
        <n v="9.7238146056E10"/>
        <n v="8.4776844257E10"/>
        <n v="3.379128365E9"/>
        <n v="4.379117542E9"/>
        <n v="1.65733187E9"/>
        <n v="6.3346149998E10"/>
        <n v="9.9559644545E10"/>
        <n v="8.0653163423E10"/>
        <n v="6.0578679054E10"/>
        <n v="7.315814339E9"/>
        <n v="7.1678352875E10"/>
        <n v="5.3292001133E10"/>
        <n v="3.1692931997E10"/>
        <n v="5.0360694511E10"/>
        <n v="2.4203029756E10"/>
        <n v="7.176355981E10"/>
        <n v="9.9690425133E10"/>
        <n v="6.758821856E10"/>
        <n v="2.689985021E10"/>
        <n v="1.4266501219E10"/>
        <n v="2.3645124707E10"/>
        <n v="9.1843197769E10"/>
        <n v="1.4979783091E10"/>
        <n v="9.643213347E10"/>
        <n v="5.214461831E10"/>
        <n v="5.9688317254E10"/>
        <n v="5.2672910291E10"/>
        <n v="1.2713936435E10"/>
        <n v="6.5766089414E10"/>
        <n v="8.6373536028E10"/>
        <n v="1.5702113681E10"/>
        <n v="9.8551362779E10"/>
        <n v="7.8305234617E10"/>
        <n v="8.7648117518E10"/>
        <n v="5.9160783943E10"/>
        <n v="1.6767803634E10"/>
        <n v="7.8376768286E10"/>
        <n v="3.1889502464E10"/>
        <n v="4.3700610779E10"/>
        <n v="3.2831863634E10"/>
        <n v="5.5443426727E10"/>
        <n v="6.6431832313E10"/>
        <n v="6.601516991E10"/>
        <n v="5.5869074709E10"/>
        <n v="3.2991739742E10"/>
        <n v="9.5481842905E10"/>
        <n v="9.294265963E10"/>
        <n v="1.0655239773E10"/>
        <n v="4.5169397512E10"/>
        <n v="2.1696064512E10"/>
        <n v="8.6182660634E10"/>
        <n v="4.2388780819E10"/>
        <n v="4.6527911504E10"/>
        <n v="9.4296289933E10"/>
        <n v="7.3610364832E10"/>
        <n v="2.2637099957E10"/>
        <n v="4.7731592778E10"/>
        <n v="5.9076497181E10"/>
        <n v="2.0878335863E10"/>
        <n v="6.5950112568E10"/>
        <n v="1.5610460343E10"/>
        <n v="9.801629391E10"/>
        <n v="6.8066971596E10"/>
        <n v="4.382792397E9"/>
        <n v="8.7271684521E10"/>
        <n v="6.5049379625E10"/>
        <n v="1.0445114237E10"/>
        <n v="5.82749435E10"/>
        <n v="3.814191214E10"/>
        <n v="6.920202928E10"/>
        <n v="7.0920563187E10"/>
        <n v="5.884612949E10"/>
        <n v="6.6605578559E10"/>
        <n v="6.365195429E9"/>
        <n v="6.0113044013E10"/>
        <n v="5.4360034912E10"/>
        <n v="7.4333715439E10"/>
        <n v="4.0399318096E10"/>
        <n v="1.6232800047E10"/>
        <n v="3.3496707994E10"/>
        <n v="1.4077225055E10"/>
        <n v="7.8806557651E10"/>
        <n v="5.3588211707E10"/>
        <n v="4.6054613143E10"/>
        <n v="5.111385877E9"/>
        <n v="6.0174329539E10"/>
        <n v="9.2219059947E10"/>
        <n v="4.6536399963E10"/>
        <n v="5.2489355406E10"/>
        <n v="3.437493141E9"/>
        <n v="2.8049316982E10"/>
        <n v="9.185164573E9"/>
        <n v="3.327188954E9"/>
        <n v="1.7654042718E10"/>
        <n v="7.9766617491E10"/>
        <n v="1.1207230058E10"/>
        <n v="8.0918182788E10"/>
        <n v="1.3345361356E10"/>
        <n v="9.7735710909E10"/>
        <n v="3.7777140467E10"/>
        <n v="8.3987459484E10"/>
        <n v="2.5286343338E10"/>
        <n v="6.223155302E9"/>
        <n v="5.96499864E9"/>
        <n v="5.7735263274E10"/>
        <n v="4.7312241597E10"/>
        <n v="2.4102967462E10"/>
        <n v="1.3766036928E10"/>
        <n v="6.3199644696E10"/>
        <n v="5.4268857907E10"/>
        <n v="6.8388437354E10"/>
        <n v="3.8892223577E10"/>
        <n v="7.2020991027E10"/>
        <n v="1.6213958271E10"/>
        <n v="7.3947753429E10"/>
        <n v="4.028608736E9"/>
        <n v="4.1790748625E10"/>
        <n v="5.710974286E10"/>
        <n v="8.8335739819E10"/>
        <n v="1.031886918E9"/>
        <n v="9.2640197584E10"/>
        <n v="6.9458668373E10"/>
        <n v="8.3207228959E10"/>
        <n v="2.8166238801E10"/>
        <n v="2.857084277E9"/>
        <n v="5.6299065995E10"/>
        <n v="3.4279058769E10"/>
        <n v="8.190551982E10"/>
        <n v="7.5269655994E10"/>
        <n v="7.872419289E10"/>
        <n v="7.8477752098E10"/>
        <n v="8.7811828441E10"/>
        <n v="3.592743618E9"/>
        <n v="9.9747398472E10"/>
        <n v="2.865101214E10"/>
        <n v="7.1136873838E10"/>
        <n v="2.4624786354E10"/>
        <n v="4.773068726E9"/>
        <n v="7.0761031842E10"/>
        <n v="3.6836744438E10"/>
        <n v="3.4586931717E10"/>
        <n v="7.4586150767E10"/>
        <n v="5.6910738249E10"/>
        <n v="3.9391998186E10"/>
        <n v="5.2142857257E10"/>
        <n v="8.1939046283E10"/>
        <n v="2.5364257534E10"/>
        <n v="3.730716178E10"/>
        <n v="8.6611985073E10"/>
        <n v="4.0233865968E10"/>
        <n v="5.1699509941E10"/>
        <n v="9.313854289E10"/>
        <n v="3.777085117E9"/>
        <n v="7.2340339037E10"/>
        <n v="7.3702127574E10"/>
        <n v="4.0692757568E10"/>
        <n v="8.8779763311E10"/>
        <n v="5.7395783635E10"/>
        <n v="8.3416670685E10"/>
        <n v="5.3504390791E10"/>
        <n v="6.3239879907E10"/>
        <n v="5.0490854855E10"/>
        <n v="9.3719184439E10"/>
        <n v="5.1211702E10"/>
        <n v="7.858161709E9"/>
        <n v="9.5554380366E10"/>
        <n v="8.2517483439E10"/>
        <n v="7.1141485983E10"/>
        <n v="8.3812667148E10"/>
        <n v="6.503092444E9"/>
        <n v="3.688312366E9"/>
        <n v="5.3035924242E10"/>
        <n v="8.6268017228E10"/>
        <n v="8.9055577237E10"/>
        <n v="4.2891926185E10"/>
        <n v="4.6183519043E10"/>
        <n v="5.8779022555E10"/>
        <n v="6.2393207408E10"/>
        <n v="1.9398010695E10"/>
        <n v="5.1345086472E10"/>
        <n v="3.1573493695E10"/>
        <n v="5.4377988584E10"/>
        <n v="6.1746897051E10"/>
        <n v="6.6518850001E10"/>
        <n v="6.5136667002E10"/>
        <n v="9.263934936E10"/>
        <n v="1.376717326E10"/>
        <n v="7.1907689924E10"/>
        <n v="2.7914653321E10"/>
        <n v="9.9775084902E10"/>
        <n v="8.5654937298E10"/>
        <n v="5.4770195468E10"/>
        <n v="9.5116553397E10"/>
        <n v="5.7269897913E10"/>
        <n v="3.9173049234E10"/>
        <n v="3.0752391797E10"/>
        <n v="3.080550399E10"/>
        <n v="5.2962884609E10"/>
        <n v="8.8341396062E10"/>
        <n v="2.399122689E9"/>
        <n v="4.4920915235E10"/>
        <n v="8.968415056E10"/>
        <n v="4.5663327294E10"/>
        <n v="5.7581322914E10"/>
        <n v="7.4408297866E10"/>
        <n v="8.5612385477E10"/>
        <n v="7.9400349492E10"/>
        <n v="5.4839097396E10"/>
        <n v="3.8955545333E10"/>
        <n v="1.003429085E9"/>
        <n v="9.1124289122E10"/>
        <n v="5.3055192457E10"/>
        <n v="6.4401229845E10"/>
        <n v="9.8622822131E10"/>
        <n v="4.9438110444E10"/>
        <n v="7.6647365947E10"/>
        <n v="6.0470173731E10"/>
        <n v="1.7702733118E10"/>
        <n v="3.3639295727E10"/>
        <n v="4.6437633971E10"/>
        <n v="8.7922833079E10"/>
        <n v="4.5773425452E10"/>
        <n v="5.4964652526E10"/>
        <n v="8.0156463931E10"/>
        <n v="9.7371163399E10"/>
        <n v="4.9120972614E10"/>
        <n v="2.9992475352E10"/>
        <n v="6.1403398421E10"/>
        <n v="1.075058312E9"/>
        <n v="6.3118343231E10"/>
        <n v="6.4482162259E10"/>
        <n v="3.7069716948E10"/>
        <n v="1.3536351212E10"/>
        <n v="7.8065298345E10"/>
        <n v="2.4385888545E10"/>
        <n v="3.730728545E10"/>
        <n v="4.7512963582E10"/>
        <n v="5.4561715828E10"/>
        <n v="1.084525696E9"/>
        <n v="1.147988415E9"/>
        <n v="2.7035224267E10"/>
        <n v="5.4809300779E10"/>
        <n v="6.3709431289E10"/>
        <n v="8.1736099653E10"/>
        <n v="4.1531939962E10"/>
        <n v="3.2232166555E10"/>
        <n v="4.6826151869E10"/>
        <n v="5.5430618756E10"/>
        <n v="2.0383355094E10"/>
        <n v="7.7535591565E10"/>
        <n v="5.8620649414E10"/>
        <n v="5.443310677E10"/>
        <n v="2.5150370134E10"/>
        <n v="6.0151911059E10"/>
        <n v="5.4241583252E10"/>
        <n v="2.7372833458E10"/>
        <n v="8.6766791508E10"/>
        <n v="3.2172473599E10"/>
        <n v="6.8957858292E10"/>
        <n v="7.4236760939E10"/>
        <n v="3.7778937466E10"/>
        <n v="9.1385878855E10"/>
        <n v="8.8206941777E10"/>
        <n v="1.3312165667E10"/>
        <n v="4.706562452E10"/>
        <n v="8.522565438E9"/>
        <n v="2.1758984558E10"/>
        <n v="5.1132749322E10"/>
        <n v="3.4795591732E10"/>
        <n v="6.676186418E10"/>
        <n v="6.5154191816E10"/>
        <n v="7.879345431E10"/>
        <n v="8.497823584E9"/>
        <n v="5.2643788421E10"/>
        <n v="9.4036329618E10"/>
        <n v="6.831903833E10"/>
        <n v="6.9480115831E10"/>
        <n v="5.2173189329E10"/>
        <n v="7.5758823867E10"/>
        <n v="3.76350396E10"/>
        <n v="5.1944180329E10"/>
        <n v="7.8397568587E10"/>
        <n v="1.2859809582E10"/>
        <n v="8.539982266E10"/>
        <n v="7.581585531E10"/>
        <n v="2.8103457034E10"/>
        <n v="8.742956924E9"/>
        <n v="6.7560162667E10"/>
        <n v="8.0974628179E10"/>
        <n v="3.4053044273E10"/>
        <n v="6.2016239417E10"/>
        <n v="5.3579415957E10"/>
        <n v="7.1864987424E10"/>
        <n v="1.398975087E10"/>
        <n v="4.228666293E10"/>
        <n v="3.7088440029E10"/>
        <n v="4.0823083814E10"/>
        <n v="6.9487180961E10"/>
        <n v="4.9952769831E10"/>
        <n v="7.015264415E10"/>
        <n v="8.8253570412E10"/>
        <n v="4.2359936599E10"/>
        <n v="9.0576095043E10"/>
        <n v="2.8698797112E10"/>
        <n v="2.9991632738E10"/>
        <n v="6.5971441196E10"/>
        <n v="8.9767050146E10"/>
        <n v="7.7891960564E10"/>
        <n v="9.9384435137E10"/>
        <n v="7.4957443833E10"/>
        <n v="8.8791419619E10"/>
        <n v="2.4693488729E10"/>
        <n v="1.5463764402E10"/>
        <n v="1.2800826448E10"/>
        <n v="8.3615331252E10"/>
        <n v="9.1262089886E10"/>
        <n v="6.7416968205E10"/>
        <n v="4.8517654747E10"/>
        <n v="1.133394967E10"/>
        <n v="7.0047833308E10"/>
        <n v="6.7608118188E10"/>
        <n v="1.4301676109E10"/>
        <n v="6.0974905611E10"/>
        <n v="5.3523273097E10"/>
        <n v="1.0562894177E10"/>
        <n v="4.4103227816E10"/>
        <n v="4.8701052634E10"/>
        <n v="7.099000133E9"/>
        <n v="4.5591857672E10"/>
        <n v="4.2687364956E10"/>
        <n v="6.808324173E10"/>
        <n v="4.2088709475E10"/>
        <n v="8.8567934458E10"/>
        <n v="2.9109235817E10"/>
        <n v="4.2518402531E10"/>
        <n v="8.0869010194E10"/>
        <n v="8.6788522803E10"/>
        <n v="7.0457004515E10"/>
        <n v="9.3395819976E10"/>
        <n v="4.3826343439E10"/>
        <n v="2.108806264E10"/>
        <n v="6.536459949E9"/>
        <n v="9.3819059399E10"/>
        <n v="2.7734517911E10"/>
        <n v="5.3217530515E10"/>
        <n v="9.691223949E9"/>
        <n v="9.1173793493E10"/>
        <n v="2.8040215152E10"/>
        <n v="9.4269782824E10"/>
        <n v="9.5693307169E10"/>
        <n v="5.2698888928E10"/>
        <n v="8.6403888554E10"/>
        <n v="7.8666218849E10"/>
        <n v="6.0339419641E10"/>
        <n v="8.3320723084E10"/>
        <n v="8.1293484517E10"/>
        <n v="8.2309446703E10"/>
        <n v="4.6645088937E10"/>
        <n v="9.6608816612E10"/>
        <n v="7.0776801115E10"/>
        <n v="2.7363451299E10"/>
        <n v="4.145901421E10"/>
        <n v="1.6624322226E10"/>
        <n v="1.3537126855E10"/>
        <n v="8.9140612486E10"/>
        <n v="3.8561687282E10"/>
        <n v="6.219147399E9"/>
        <n v="4.9968206937E10"/>
        <n v="6.4985616255E10"/>
        <n v="4.4055330491E10"/>
        <n v="2.2470722254E10"/>
        <n v="1.570346992E10"/>
        <n v="4.6113640301E10"/>
        <n v="4.7148543586E10"/>
        <n v="3.5134645139E10"/>
        <n v="2.707689102E9"/>
        <n v="3.6443878481E10"/>
        <n v="5.708649608E10"/>
        <n v="4.1665426239E10"/>
        <n v="6.6275745278E10"/>
        <n v="9.9506684814E10"/>
        <n v="2.2227345114E10"/>
        <n v="4.7400717792E10"/>
        <n v="7.407345405E10"/>
        <n v="9.2008303208E10"/>
        <n v="7.430082041E10"/>
        <n v="2.0945802878E10"/>
        <n v="1.7152367E10"/>
        <n v="7.227149701E10"/>
        <n v="7.1228556714E10"/>
        <n v="6.676334712E10"/>
        <n v="1.465636726E10"/>
        <n v="6.4347112189E10"/>
        <n v="8.9586422372E10"/>
        <n v="7.8184512938E10"/>
        <n v="5.6304430755E10"/>
        <n v="6.5864508923E10"/>
        <n v="7.7464457242E10"/>
        <n v="1.196113039E10"/>
        <n v="8.6262733765E10"/>
        <n v="4.983017782E9"/>
        <n v="8.9584285188E10"/>
        <n v="2.5153342634E10"/>
        <n v="2.260036751E10"/>
        <n v="8.9123002558E10"/>
        <n v="8.9176509871E10"/>
        <n v="9.755217181E9"/>
        <n v="4.3895284601E10"/>
        <n v="6.4011750754E10"/>
        <n v="9.4131763984E10"/>
        <n v="9.6240826717E10"/>
        <n v="9.1183939033E10"/>
        <n v="7.782785245E9"/>
        <n v="8.0406916505E10"/>
        <n v="9.537209976E10"/>
        <n v="3.8288332782E10"/>
        <n v="5.9952324151E10"/>
        <n v="4.6192771254E10"/>
        <n v="6.6031799701E10"/>
        <n v="7.5535230544E10"/>
        <n v="5.4199201379E10"/>
        <n v="3.0211701461E10"/>
        <n v="4.968760381E9"/>
        <n v="1.4507368142E10"/>
        <n v="4.7722928764E10"/>
        <n v="3.8117025024E10"/>
        <n v="8.1865257366E10"/>
        <n v="8.0624515493E10"/>
        <n v="5.8360197356E10"/>
        <n v="5.0485341786E10"/>
        <n v="9.4135245422E10"/>
        <n v="5.3528253656E10"/>
        <n v="2.7065705673E10"/>
        <n v="9.0173241605E10"/>
        <n v="8.0225660303E10"/>
        <n v="8.3126833068E10"/>
        <n v="6.1917587897E10"/>
        <n v="7.938375261E10"/>
        <n v="7.6049289371E10"/>
        <n v="2.6769360946E10"/>
        <n v="5.0942367098E10"/>
        <n v="3.8215807762E10"/>
        <n v="6.0995867173E10"/>
        <n v="3.8046686352E10"/>
        <n v="7.7440994177E10"/>
        <n v="1.3212279998E10"/>
        <n v="1.0886501175E10"/>
        <n v="6.0202055264E10"/>
        <n v="6.2624375224E10"/>
        <n v="3.9058017625E10"/>
        <n v="3.2475050333E10"/>
        <n v="8.9802450137E10"/>
        <n v="9.0103791429E10"/>
        <n v="4.16957707E9"/>
        <n v="4.8909078248E10"/>
        <n v="9.14725292E9"/>
        <n v="8.4496301651E10"/>
        <n v="5.2580606871E10"/>
        <n v="1.6174137911E10"/>
        <n v="7.5436784164E10"/>
        <n v="6.5233713287E10"/>
        <n v="7.8340522052E10"/>
        <n v="1.2624630979E10"/>
        <n v="2.6239273306E10"/>
        <n v="4.984717928E9"/>
        <n v="2.6883540687E10"/>
        <n v="2.4663740242E10"/>
        <n v="8.7248623585E10"/>
        <n v="1.959784952E10"/>
        <n v="9.3663664453E10"/>
        <n v="1.754509079E10"/>
        <n v="9.9716836901E10"/>
        <n v="8.7072187476E10"/>
        <n v="9.8221012165E10"/>
        <n v="9.4448273573E10"/>
        <n v="7.4428790693E10"/>
        <n v="9.188789805E10"/>
        <n v="4.1353387123E10"/>
        <n v="2.6330187674E10"/>
        <n v="1.9127660859E10"/>
        <n v="4.9432835031E10"/>
        <n v="9.1222256614E10"/>
        <n v="5.5231442932E10"/>
        <n v="6.5787375716E10"/>
        <n v="9.3946177259E10"/>
        <n v="4.8852615149E10"/>
        <n v="3.2128373004E10"/>
        <n v="2.0719596409E10"/>
        <n v="2.775461869E10"/>
        <n v="3.0514861798E10"/>
        <n v="6.2721425289E10"/>
        <n v="1.3379480317E10"/>
        <n v="4.051874744E9"/>
        <n v="4.9637105643E10"/>
        <n v="6.9669692064E10"/>
        <n v="1.1043575144E10"/>
        <n v="2.1583247587E10"/>
        <n v="6.4079190131E10"/>
        <n v="1.5502968944E10"/>
        <n v="9.2734171158E10"/>
        <n v="8.7647637512E10"/>
        <n v="1.2677499842E10"/>
        <n v="8.940332711E9"/>
        <n v="9.0804234874E10"/>
        <n v="8.03520492E10"/>
        <n v="4.7511595763E10"/>
        <n v="7.5364762439E10"/>
        <n v="8.1479153306E10"/>
        <n v="4.3868885858E10"/>
        <n v="4.7407570072E10"/>
        <n v="4.3537352308E10"/>
        <n v="9.3989384817E10"/>
        <n v="4.8017673402E10"/>
        <n v="4.16603926E10"/>
        <n v="5.6540203796E10"/>
        <n v="8.8789753885E10"/>
        <n v="3.2886761948E10"/>
        <n v="4.2359675619E10"/>
        <n v="8.7228922486E10"/>
        <n v="8.6808016202E10"/>
        <n v="3.5168275881E10"/>
        <n v="8.8850957657E10"/>
        <n v="6.2749645572E10"/>
        <n v="1.5964690505E10"/>
        <n v="6.6129027399E10"/>
        <n v="7.5172925598E10"/>
        <n v="8.7765223697E10"/>
        <n v="9.9045026637E10"/>
        <n v="3.6243105504E10"/>
        <n v="7.5582087702E10"/>
        <n v="8.9864872774E10"/>
        <n v="6.9401060148E10"/>
        <n v="3.993477298E9"/>
        <n v="4.9294000807E10"/>
        <n v="7.2922188358E10"/>
        <n v="1.182748459E9"/>
        <n v="8.3139711355E10"/>
        <n v="7.2585159345E10"/>
        <n v="3.2996592113E10"/>
        <n v="3.8518452231E10"/>
        <n v="7.9097760525E10"/>
        <n v="3.3005849885E10"/>
        <n v="8.1529079148E10"/>
        <n v="9.7156852662E10"/>
        <n v="5.9333182051E10"/>
        <n v="5.8377579384E10"/>
        <n v="8.3290683034E10"/>
        <n v="1.9913289223E10"/>
        <n v="8.1159809793E10"/>
        <n v="1.3501372933E10"/>
        <n v="8.8097720514E10"/>
        <n v="5.3390461988E10"/>
        <n v="6.03617051E9"/>
        <n v="2.1937055382E10"/>
        <n v="5.9664182873E10"/>
        <n v="9.312126094E10"/>
        <n v="8.8559986595E10"/>
        <n v="8.5636532562E10"/>
        <n v="1.6295257581E10"/>
        <n v="2.200590863E9"/>
        <n v="1.84067999E9"/>
        <n v="3.6366480544E10"/>
        <n v="7.5117876119E10"/>
        <n v="6.524190357E9"/>
        <n v="2.624008651E10"/>
        <n v="4.4940959229E10"/>
        <n v="8.8170142617E10"/>
        <n v="3.2131523802E10"/>
        <n v="6.3037904388E10"/>
        <n v="8.896119203E9"/>
        <n v="6.2355715755E10"/>
        <n v="4.79931044E9"/>
        <n v="6.183948417E9"/>
        <n v="4.4721659132E10"/>
        <n v="7.6446416469E10"/>
        <n v="9.9837928325E10"/>
        <n v="5.6748191227E10"/>
        <n v="4.7622186957E10"/>
        <n v="6.526956101E10"/>
        <n v="1.5861339674E10"/>
        <n v="9.2687205187E10"/>
        <n v="6.3126220369E10"/>
        <n v="8.9316801399E10"/>
        <n v="4.2366270242E10"/>
        <n v="2.8455636699E10"/>
        <n v="9.3211993022E10"/>
        <n v="8.6429005279E10"/>
        <n v="6.6205049163E10"/>
        <n v="4.3277879187E10"/>
        <n v="2.537925189E9"/>
        <n v="1.2342194435E10"/>
        <n v="1.000234937E10"/>
        <n v="8.0097248991E10"/>
        <n v="2.8070401971E10"/>
        <n v="9.1751558202E10"/>
        <n v="3.1260176038E10"/>
        <n v="6.2679280845E10"/>
        <n v="9.5064475095E10"/>
        <n v="2.2144116941E10"/>
        <n v="5.1467578269E10"/>
        <n v="6.5677197554E10"/>
        <n v="7.9774742812E10"/>
        <n v="1.1948780908E10"/>
        <n v="4.84838864E10"/>
        <n v="3.0086018529E10"/>
        <n v="1.9782768099E10"/>
        <n v="4.7040973113E10"/>
        <n v="5.6740180306E10"/>
        <n v="9.441641312E10"/>
        <n v="8.2571392245E10"/>
        <n v="2.0635699503E10"/>
        <n v="3.5401774619E10"/>
        <n v="8.6499354372E10"/>
        <n v="7.6472318775E10"/>
        <n v="7.5882534919E10"/>
        <n v="2.042767077E10"/>
        <n v="7.3106122811E10"/>
        <n v="2.2376598442E10"/>
        <n v="7.0554590057E10"/>
        <n v="7.2133762805E10"/>
        <n v="8.3122842259E10"/>
        <n v="3.7576289546E10"/>
        <n v="3.30203501E10"/>
        <n v="1.1065384355E10"/>
        <n v="8.4458700721E10"/>
        <n v="9.0235122681E10"/>
        <n v="2.6681757591E10"/>
        <n v="5.0524366416E10"/>
        <n v="1.2227499618E10"/>
        <n v="4.3211531039E10"/>
        <n v="1.1776359265E10"/>
        <n v="8.0810027545E10"/>
        <n v="3.0387152004E10"/>
        <n v="2.957530557E9"/>
        <n v="4.7423037699E10"/>
        <n v="4.4727126673E10"/>
        <n v="8.822992539E10"/>
        <n v="1.038679308E9"/>
        <n v="4.359372161E10"/>
        <n v="1.1301198401E10"/>
        <n v="4.8523174581E10"/>
        <n v="3.9095990149E10"/>
        <n v="9.3325878549E10"/>
        <n v="3.3326456106E10"/>
        <n v="5.5442069999E10"/>
        <n v="7.4025589911E10"/>
        <n v="7.8234763502E10"/>
        <n v="2.022728754E10"/>
        <n v="3.7369937349E10"/>
        <n v="1.9503952454E10"/>
        <n v="7.2892190659E10"/>
        <n v="1.815786124E10"/>
        <n v="3.668732404E10"/>
        <n v="8.8995413371E10"/>
        <n v="1.7717813072E10"/>
        <n v="2.8995209715E10"/>
        <n v="1.7964013909E10"/>
        <n v="1.0093349684E10"/>
        <n v="5.9168350548E10"/>
        <n v="3.9961530048E10"/>
        <n v="4.5131283127E10"/>
        <n v="1.7780576274E10"/>
        <n v="8.7699225085E10"/>
        <n v="9.7271842205E10"/>
        <n v="7.1993398692E10"/>
        <n v="5.1083335309E10"/>
        <n v="5.4886361862E10"/>
        <n v="9.7624944269E10"/>
        <n v="5.6062052295E10"/>
        <n v="7.0482607937E10"/>
        <n v="2.7269706614E10"/>
        <n v="5.4773978257E10"/>
        <n v="1.791250551E9"/>
        <n v="8.1987854667E10"/>
        <n v="9.1627430806E10"/>
        <n v="5.3965957218E10"/>
        <n v="4.2348481451E10"/>
        <n v="2.3086198528E10"/>
        <n v="2.0230884904E10"/>
        <n v="6.1889461542E10"/>
        <n v="9.5837221898E10"/>
        <n v="3.3771852558E10"/>
        <n v="3.4351732282E10"/>
        <n v="9.560016786E10"/>
        <n v="6.5622960511E10"/>
        <n v="6.8898788478E10"/>
        <n v="6.3884403409E10"/>
        <n v="6.8550645302E10"/>
        <n v="6.5566056958E10"/>
        <n v="7.1938574379E10"/>
        <n v="8.887048064E10"/>
        <n v="3.4512266113E10"/>
        <n v="1.0175153127E10"/>
        <n v="7.8808451311E10"/>
        <n v="7.7064605414E10"/>
        <n v="3.2806148614E10"/>
        <n v="2.5009594193E10"/>
        <n v="7.8440748612E10"/>
        <n v="1.2456947603E10"/>
        <n v="6.1148063721E10"/>
        <n v="8.0117113469E10"/>
        <n v="8.501476936E9"/>
        <n v="2.4435018446E10"/>
        <n v="1.6460186813E10"/>
        <n v="3.8527162678E10"/>
        <n v="2.3560942202E10"/>
        <n v="9.3728555055E10"/>
        <n v="3.1693150202E10"/>
        <n v="2.2465469172E10"/>
        <n v="6.9176118241E10"/>
        <n v="8.4689113235E10"/>
        <n v="7.7219204958E10"/>
        <n v="2.6796831999E10"/>
        <n v="4.6776167891E10"/>
        <n v="2.8038913731E10"/>
        <n v="4.4483443936E10"/>
        <n v="6.6838551161E10"/>
        <n v="6.921910832E10"/>
        <n v="5.6450611354E10"/>
        <n v="4.275411203E10"/>
        <n v="1.2038236912E10"/>
        <n v="4.7560830234E10"/>
        <n v="6.3610084029E10"/>
        <n v="8.4605460548E10"/>
        <n v="1.3042409238E10"/>
        <n v="7.3935149928E10"/>
        <n v="6.8437908717E10"/>
        <n v="7.5693392103E10"/>
        <n v="6.9124278905E10"/>
        <n v="3.9719777492E10"/>
        <n v="7.0986627818E10"/>
        <n v="6.4428427437E10"/>
        <n v="5.8478050426E10"/>
        <n v="2.7794696694E10"/>
        <n v="7.7665417376E10"/>
        <n v="3.1067732424E10"/>
        <n v="9.3693705011E10"/>
        <n v="4.8923582697E10"/>
        <n v="1.3274532433E10"/>
        <n v="4.2224157865E10"/>
        <n v="8.7437657385E10"/>
        <n v="3.4237954862E10"/>
        <n v="4.4611513293E10"/>
        <n v="2.2917240264E10"/>
        <n v="6.3912458976E10"/>
        <n v="8.6579004283E10"/>
        <n v="4.720168247E9"/>
        <n v="7.7185072905E10"/>
        <n v="7.4126443926E10"/>
        <n v="6.1395456923E10"/>
        <n v="8.1505567289E10"/>
        <n v="9.66648289E9"/>
        <n v="6.7249581572E10"/>
        <n v="6.8201830951E10"/>
        <n v="6.1712058967E10"/>
        <n v="1.8929284329E10"/>
        <n v="4.3249983996E10"/>
        <n v="3.2651886748E10"/>
        <n v="3.9527760122E10"/>
        <n v="9.1789708623E10"/>
        <n v="5.5784219171E10"/>
        <n v="4.5579791022E10"/>
        <n v="1.387817396E10"/>
        <n v="3.3910114913E10"/>
        <n v="2.4541098891E10"/>
        <n v="8.6477894088E10"/>
        <n v="5.4961037038E10"/>
        <n v="5.1923213434E10"/>
        <n v="3.9254762176E10"/>
        <n v="5.3065520928E10"/>
        <n v="7.6915170111E10"/>
        <n v="6.641579564E9"/>
        <n v="4.1511369742E10"/>
        <n v="7.6235665146E10"/>
        <n v="8.786494055E9"/>
        <n v="2.5021911702E10"/>
        <n v="3.2590764217E10"/>
        <n v="9.878243182E9"/>
        <n v="9.7745158698E10"/>
        <n v="9.8525753914E10"/>
        <n v="1.8658664146E10"/>
        <n v="3.5653892189E10"/>
        <n v="1.301237514E10"/>
        <n v="1.7071073345E10"/>
        <n v="7.0590233874E10"/>
        <n v="7.2137164877E10"/>
        <n v="4.5875770508E10"/>
        <n v="1.7512386922E10"/>
        <n v="5.838993983E9"/>
        <n v="1.8601085588E10"/>
        <n v="6.6907417382E10"/>
        <n v="3.094239161E10"/>
        <n v="5.672691082E10"/>
        <n v="4.7845396038E10"/>
        <n v="9.1291091118E10"/>
        <n v="2.9729140484E10"/>
        <n v="7.54847515E9"/>
        <n v="5.0994971013E10"/>
        <n v="7.8680352164E10"/>
        <n v="1.7147923298E10"/>
        <n v="5.3466679239E10"/>
        <n v="1.943170511E10"/>
        <n v="5.3821049664E10"/>
        <n v="3.4811117985E10"/>
        <n v="8.9755407669E10"/>
        <n v="6.1010448683E10"/>
        <n v="9.3008645603E10"/>
        <n v="7.6359229549E10"/>
        <n v="6.5089630779E10"/>
        <n v="5.9057922985E10"/>
        <n v="3.4872615846E10"/>
        <n v="7.359709033E9"/>
        <n v="1.4663849921E10"/>
        <n v="4.8787684778E10"/>
        <n v="7.9133661223E10"/>
        <n v="5.504455329E9"/>
        <n v="8.8713432251E10"/>
        <n v="5.9621404247E10"/>
        <n v="6.2581670239E10"/>
        <n v="9.5991805189E10"/>
        <n v="8.4793657254E10"/>
        <n v="2.4471295008E10"/>
        <n v="7.329749161E9"/>
        <n v="4.5848191981E10"/>
        <n v="6.4138243442E10"/>
        <n v="8.639267457E9"/>
        <n v="6.7920358323E10"/>
        <n v="4.4377829891E10"/>
        <n v="9.9728008625E10"/>
        <m/>
      </sharedItems>
    </cacheField>
    <cacheField name="Network Outbound Data (Bytes)" numFmtId="0">
      <sharedItems containsString="0" containsBlank="1" containsNumber="1" containsInteger="1">
        <n v="8.2685933273E10"/>
        <n v="1.1351490561E10"/>
        <n v="2.345081212E10"/>
        <n v="6.0780194484E10"/>
        <n v="1.4161382061E10"/>
        <n v="7.0311789173E10"/>
        <n v="2.7664449839E10"/>
        <n v="7.8552821117E10"/>
        <n v="2.0917834831E10"/>
        <n v="7.2843203438E10"/>
        <n v="6.6769681245E10"/>
        <n v="9.9059500361E10"/>
        <n v="1.9106889929E10"/>
        <n v="5.5324053975E10"/>
        <n v="7.4457276259E10"/>
        <n v="2.3480009488E10"/>
        <n v="6.6456079011E10"/>
        <n v="7.5043755268E10"/>
        <n v="3.0238120394E10"/>
        <n v="5.2243912598E10"/>
        <n v="3.4873445199E10"/>
        <n v="3.2905735415E10"/>
        <n v="4.1202319167E10"/>
        <n v="1.01187E11"/>
        <n v="3.8901764033E10"/>
        <n v="8.0604527913E10"/>
        <n v="9.2553952311E10"/>
        <n v="9.5036019889E10"/>
        <n v="6.2813003941E10"/>
        <n v="4.4683895186E10"/>
        <n v="9.2709161595E10"/>
        <n v="1.02343E11"/>
        <n v="2.6241930001E10"/>
        <n v="1.6566379456E10"/>
        <n v="1.06232E11"/>
        <n v="4.3813630384E10"/>
        <n v="5.069981764E10"/>
        <n v="6.3495177785E10"/>
        <n v="8.7873607051E10"/>
        <n v="4.2908382034E10"/>
        <n v="5.238602738E10"/>
        <n v="7.4171230563E10"/>
        <n v="4.0639831707E10"/>
        <n v="9.2048056617E10"/>
        <n v="4.6156760944E10"/>
        <n v="7.7304088526E10"/>
        <n v="9.5042899077E10"/>
        <n v="9.6601656791E10"/>
        <n v="5.7377379156E10"/>
        <n v="3.7743737345E10"/>
        <n v="4.7296152299E10"/>
        <n v="2.7245078419E10"/>
        <n v="5.5999156322E10"/>
        <n v="4.2041161989E10"/>
        <n v="8.4307604798E10"/>
        <n v="4.5367120844E10"/>
        <n v="1.5127259133E10"/>
        <n v="8.7175086484E10"/>
        <n v="9.8590543085E10"/>
        <n v="9.2142710021E10"/>
        <n v="7.3433835245E10"/>
        <n v="1.05066E11"/>
        <n v="4.7193477596E10"/>
        <n v="3.7215668282E10"/>
        <n v="1.03176E11"/>
        <n v="6.806967369E10"/>
        <n v="5.948653596E10"/>
        <n v="8.6143096111E10"/>
        <n v="8.627486927E9"/>
        <n v="9.5871025046E10"/>
        <n v="7.2893012474E10"/>
        <n v="1.2557263383E10"/>
        <n v="9.1881245355E10"/>
        <n v="8.4668376889E10"/>
        <n v="6.8397913897E10"/>
        <n v="1.5903336432E10"/>
        <n v="2.4993496937E10"/>
        <n v="1.02431E11"/>
        <n v="4.8363862744E10"/>
        <n v="7.4267252272E10"/>
        <n v="1.1405712912E10"/>
        <n v="4.8893087132E10"/>
        <n v="6.4549627602E10"/>
        <n v="9.6947138575E10"/>
        <n v="1.9871372484E10"/>
        <n v="2.1629763823E10"/>
        <n v="2.3997356455E10"/>
        <n v="2.0430806523E10"/>
        <n v="1.27766583E10"/>
        <n v="8.8993172945E10"/>
        <n v="3.4105264509E10"/>
        <n v="4.5650656604E10"/>
        <n v="1.7804809971E10"/>
        <n v="7.2290287263E10"/>
        <n v="1.7528929285E10"/>
        <n v="4.6836316447E10"/>
        <n v="3.6292243677E10"/>
        <n v="3.6196607093E10"/>
        <n v="1.869210546E10"/>
        <n v="2.9605942425E10"/>
        <n v="8.5066947042E10"/>
        <n v="5.2000297359E10"/>
        <n v="8.9910078944E10"/>
        <n v="9.6842013834E10"/>
        <n v="1.03155E11"/>
        <n v="4.893209691E10"/>
        <n v="4.7787130207E10"/>
        <n v="2.5067618553E10"/>
        <n v="1.2865903297E10"/>
        <n v="2.6104172138E10"/>
        <n v="7.4874600281E10"/>
        <n v="1.5447062894E10"/>
        <n v="6.7621477871E10"/>
        <n v="1.4895918364E10"/>
        <n v="4.3777704078E10"/>
        <n v="4.606394922E10"/>
        <n v="1.00479E11"/>
        <n v="7.8570702375E10"/>
        <n v="8.2281017569E10"/>
        <n v="7.6754044332E10"/>
        <n v="1.8213069052E10"/>
        <n v="1.5568269776E10"/>
        <n v="4.2827664168E10"/>
        <n v="1.4108034396E10"/>
        <n v="6.376378601E10"/>
        <n v="1.5105140024E10"/>
        <n v="9.1125972851E10"/>
        <n v="3.0822480444E10"/>
        <n v="2.4049584401E10"/>
        <n v="3.2583510276E10"/>
        <n v="8.628537868E9"/>
        <n v="1.7548421383E10"/>
        <n v="4.42120276E10"/>
        <n v="9.413091081E10"/>
        <n v="1.6388689847E10"/>
        <n v="7.171572125E9"/>
        <n v="3.9984223729E10"/>
        <n v="4.8505753593E10"/>
        <n v="4.3470819291E10"/>
        <n v="8.8970489424E10"/>
        <n v="7.390046126E9"/>
        <n v="1.694052186E10"/>
        <n v="1.04063E11"/>
        <n v="2.8191939191E10"/>
        <n v="3.3422677812E10"/>
        <n v="1.8929788829E10"/>
        <n v="6.5365610378E10"/>
        <n v="8.1856337678E10"/>
        <n v="1.6678511128E10"/>
        <n v="1.1394335199E10"/>
        <n v="2.7660730423E10"/>
        <n v="9.3158127891E10"/>
        <n v="4.1645168947E10"/>
        <n v="4.2071342892E10"/>
        <n v="5.7067243038E10"/>
        <n v="6.8572243374E10"/>
        <n v="7.2345991079E10"/>
        <n v="6.2544877344E10"/>
        <n v="2.7726221853E10"/>
        <n v="9.2660908223E10"/>
        <n v="4.3204718062E10"/>
        <n v="6.3469831841E10"/>
        <n v="4.7760727242E10"/>
        <n v="7.5372480341E10"/>
        <n v="1.1656487141E10"/>
        <n v="8.3422102658E10"/>
        <n v="3.4833914449E10"/>
        <n v="5.8938060747E10"/>
        <n v="7.0949514077E10"/>
        <n v="5.9457074076E10"/>
        <n v="6.971196411E10"/>
        <n v="1.0002E11"/>
        <n v="8.696757628E10"/>
        <n v="1.3278666797E10"/>
        <n v="9.661924322E9"/>
        <n v="2.827341389E9"/>
        <n v="7.2045495081E10"/>
        <n v="1.00325E11"/>
        <n v="8.1552719599E10"/>
        <n v="6.2836495997E10"/>
        <n v="1.6166250549E10"/>
        <n v="7.2257386501E10"/>
        <n v="5.8798521388E10"/>
        <n v="3.357794678E10"/>
        <n v="5.5594084151E10"/>
        <n v="2.6123790688E10"/>
        <n v="7.2012540203E10"/>
        <n v="1.08782E11"/>
        <n v="7.6761827056E10"/>
        <n v="2.8175416976E10"/>
        <n v="2.2415620737E10"/>
        <n v="2.9861999523E10"/>
        <n v="9.4169203781E10"/>
        <n v="1.8422117013E10"/>
        <n v="1.03298E11"/>
        <n v="5.8883692028E10"/>
        <n v="6.5131560182E10"/>
        <n v="6.2148639286E10"/>
        <n v="1.9316006416E10"/>
        <n v="7.4996129989E10"/>
        <n v="9.1987231536E10"/>
        <n v="1.6748005664E10"/>
        <n v="1.03968E11"/>
        <n v="8.6533417392E10"/>
        <n v="8.9269249455E10"/>
        <n v="6.1202982896E10"/>
        <n v="2.4702899081E10"/>
        <n v="8.571060921E10"/>
        <n v="3.2098235845E10"/>
        <n v="4.8781743713E10"/>
        <n v="3.8701169803E10"/>
        <n v="6.2191421741E10"/>
        <n v="6.7722022588E10"/>
        <n v="7.1506596862E10"/>
        <n v="5.7099202508E10"/>
        <n v="3.9729741599E10"/>
        <n v="9.9568233782E10"/>
        <n v="9.3472597444E10"/>
        <n v="1.8508901027E10"/>
        <n v="5.4583521857E10"/>
        <n v="2.4439232161E10"/>
        <n v="8.7998260723E10"/>
        <n v="4.7250108241E10"/>
        <n v="5.1328599957E10"/>
        <n v="1.02776E11"/>
        <n v="8.0068828866E10"/>
        <n v="2.3764552187E10"/>
        <n v="5.7265004862E10"/>
        <n v="6.864671836E10"/>
        <n v="2.2466351666E10"/>
        <n v="6.7804396568E10"/>
        <n v="1.8782478171E10"/>
        <n v="1.07696E11"/>
        <n v="7.514564801E10"/>
        <n v="9.767562785E9"/>
        <n v="9.0506586119E10"/>
        <n v="7.1696600966E10"/>
        <n v="1.5856476534E10"/>
        <n v="6.3345882101E10"/>
        <n v="4.4961747527E10"/>
        <n v="7.3959120285E10"/>
        <n v="7.7653883062E10"/>
        <n v="5.9441536233E10"/>
        <n v="6.9688806846E10"/>
        <n v="8.569198627E9"/>
        <n v="6.2635393177E10"/>
        <n v="5.8284153066E10"/>
        <n v="8.1951096832E10"/>
        <n v="4.8297071888E10"/>
        <n v="1.9510703401E10"/>
        <n v="3.9632106621E10"/>
        <n v="2.056344042E10"/>
        <n v="8.1285853739E10"/>
        <n v="6.214938759E10"/>
        <n v="5.068203206E10"/>
        <n v="6.501324003E9"/>
        <n v="6.4004040156E10"/>
        <n v="1.01562E11"/>
        <n v="5.3165909418E10"/>
        <n v="5.8053628767E10"/>
        <n v="6.431679144E9"/>
        <n v="3.1461262667E10"/>
        <n v="1.7039727483E10"/>
        <n v="8.8186344E9"/>
        <n v="2.6546624938E10"/>
        <n v="8.8136650406E10"/>
        <n v="1.7444929033E10"/>
        <n v="8.3320113115E10"/>
        <n v="1.3858425661E10"/>
        <n v="1.03576E11"/>
        <n v="3.8001018152E10"/>
        <n v="8.4757771662E10"/>
        <n v="2.7269641999E10"/>
        <n v="1.0482162987E10"/>
        <n v="1.4068838454E10"/>
        <n v="5.8051523084E10"/>
        <n v="5.3532146138E10"/>
        <n v="2.8484820198E10"/>
        <n v="1.4907381903E10"/>
        <n v="6.345413886E10"/>
        <n v="6.2015184822E10"/>
        <n v="7.6892712268E10"/>
        <n v="4.0407543548E10"/>
        <n v="7.2727629424E10"/>
        <n v="1.9574357777E10"/>
        <n v="7.4062804247E10"/>
        <n v="1.0733576597E10"/>
        <n v="4.3925495516E10"/>
        <n v="6.6197385049E10"/>
        <n v="9.6914457716E10"/>
        <n v="2.820539317E9"/>
        <n v="9.2794051251E10"/>
        <n v="7.4057033715E10"/>
        <n v="8.7342143354E10"/>
        <n v="3.353296822E10"/>
        <n v="1.0388720149E10"/>
        <n v="5.8695200121E10"/>
        <n v="3.4342664992E10"/>
        <n v="8.6264730884E10"/>
        <n v="8.08348427E10"/>
        <n v="8.3475645504E10"/>
        <n v="8.8271877239E10"/>
        <n v="9.4364577288E10"/>
        <n v="7.584104509E9"/>
        <n v="1.06154E11"/>
        <n v="3.6341944171E10"/>
        <n v="7.9539464593E10"/>
        <n v="3.2975101756E10"/>
        <n v="5.71712999E9"/>
        <n v="7.9512127244E10"/>
        <n v="4.4586206736E10"/>
        <n v="4.3826455816E10"/>
        <n v="8.1343833263E10"/>
        <n v="5.795980854E10"/>
        <n v="4.4986088106E10"/>
        <n v="5.4045175891E10"/>
        <n v="8.6683174597E10"/>
        <n v="3.5178408351E10"/>
        <n v="3.9665526563E10"/>
        <n v="8.8475289609E10"/>
        <n v="4.9040528356E10"/>
        <n v="5.6177287267E10"/>
        <n v="9.3485815275E10"/>
        <n v="6.701606221E9"/>
        <n v="7.4874466857E10"/>
        <n v="7.4049499148E10"/>
        <n v="4.5569071764E10"/>
        <n v="8.9159125555E10"/>
        <n v="6.6477797434E10"/>
        <n v="8.8105164618E10"/>
        <n v="5.8269033764E10"/>
        <n v="6.5056157071E10"/>
        <n v="6.0271962685E10"/>
        <n v="1.00431E11"/>
        <n v="5.8407799456E10"/>
        <n v="1.102079631E10"/>
        <n v="9.8928289894E10"/>
        <n v="9.0231208571E10"/>
        <n v="7.3658693575E10"/>
        <n v="9.034736429E10"/>
        <n v="1.0855614594E10"/>
        <n v="4.358233797E9"/>
        <n v="6.3011001843E10"/>
        <n v="8.6566473016E10"/>
        <n v="9.316345914E10"/>
        <n v="4.6557880799E10"/>
        <n v="5.2895790556E10"/>
        <n v="6.8138790366E10"/>
        <n v="6.4076790752E10"/>
        <n v="2.3641523168E10"/>
        <n v="5.4488299958E10"/>
        <n v="3.8621208749E10"/>
        <n v="5.8507427252E10"/>
        <n v="6.8053505667E10"/>
        <n v="7.3243258909E10"/>
        <n v="7.3782969971E10"/>
        <n v="9.6100658663E10"/>
        <n v="2.3195002465E10"/>
        <n v="7.4007087023E10"/>
        <n v="3.5789645194E10"/>
        <n v="1.02755E11"/>
        <n v="8.8135069507E10"/>
        <n v="6.1177105089E10"/>
        <n v="1.04746E11"/>
        <n v="5.9745397823E10"/>
        <n v="4.2992951761E10"/>
        <n v="3.9657922545E10"/>
        <n v="3.6559591178E10"/>
        <n v="5.8738624105E10"/>
        <n v="8.9182122222E10"/>
        <n v="3.124427882E9"/>
        <n v="5.4289153944E10"/>
        <n v="9.3368091791E10"/>
        <n v="4.8828713612E10"/>
        <n v="5.7670180278E10"/>
        <n v="8.1146963462E10"/>
        <n v="9.4510658821E10"/>
        <n v="8.0102703395E10"/>
        <n v="5.8099887115E10"/>
        <n v="4.2050153986E10"/>
        <n v="7.770971775E9"/>
        <n v="9.6851845762E10"/>
        <n v="5.5777052222E10"/>
        <n v="6.8443558418E10"/>
        <n v="1.01745E11"/>
        <n v="5.5728177096E10"/>
        <n v="8.403545449E10"/>
        <n v="6.0672911269E10"/>
        <n v="2.0832837855E10"/>
        <n v="3.6839965337E10"/>
        <n v="4.6495564971E10"/>
        <n v="9.7539696374E10"/>
        <n v="4.9557900371E10"/>
        <n v="5.5978858331E10"/>
        <n v="8.3917965863E10"/>
        <n v="9.8298454729E10"/>
        <n v="5.7160333323E10"/>
        <n v="3.8236530466E10"/>
        <n v="6.721902992E10"/>
        <n v="8.4446015E9"/>
        <n v="7.081258316E10"/>
        <n v="6.7883170958E10"/>
        <n v="4.4355873519E10"/>
        <n v="1.5874339023E10"/>
        <n v="7.888915975E10"/>
        <n v="3.3204791604E10"/>
        <n v="4.0101055025E10"/>
        <n v="4.8898638003E10"/>
        <n v="6.0378719013E10"/>
        <n v="1.90840995E9"/>
        <n v="2.039725231E9"/>
        <n v="3.0966799762E10"/>
        <n v="5.5666754879E10"/>
        <n v="7.0241940966E10"/>
        <n v="8.8202065814E10"/>
        <n v="4.3212400155E10"/>
        <n v="3.7663255388E10"/>
        <n v="4.8304722578E10"/>
        <n v="5.6713923891E10"/>
        <n v="2.2444401768E10"/>
        <n v="7.7780082072E10"/>
        <n v="6.0728572134E10"/>
        <n v="6.3658957107E10"/>
        <n v="2.6991644659E10"/>
        <n v="6.3678591085E10"/>
        <n v="5.9300414025E10"/>
        <n v="3.4999187336E10"/>
        <n v="9.0442562221E10"/>
        <n v="3.6455010138E10"/>
        <n v="7.2151157511E10"/>
        <n v="8.0802624246E10"/>
        <n v="4.6123023685E10"/>
        <n v="9.4431571544E10"/>
        <n v="8.9059310119E10"/>
        <n v="2.0689261384E10"/>
        <n v="4.7532415414E10"/>
        <n v="9.691206489E9"/>
        <n v="2.200796752E10"/>
        <n v="5.9370257849E10"/>
        <n v="3.5121822183E10"/>
        <n v="7.1076500379E10"/>
        <n v="7.1604577471E10"/>
        <n v="8.4831401209E10"/>
        <n v="1.2491610322E10"/>
        <n v="5.3796037302E10"/>
        <n v="9.8895434764E10"/>
        <n v="7.7502869111E10"/>
        <n v="7.4023232018E10"/>
        <n v="6.1683620439E10"/>
        <n v="8.237489921E10"/>
        <n v="3.8102762007E10"/>
        <n v="5.8006946262E10"/>
        <n v="8.6790014321E10"/>
        <n v="1.8748453944E10"/>
        <n v="8.7362033805E10"/>
        <n v="8.3358255319E10"/>
        <n v="3.4084735663E10"/>
        <n v="1.629469918E10"/>
        <n v="7.6680669575E10"/>
        <n v="8.7896879355E10"/>
        <n v="3.4139736566E10"/>
        <n v="6.6467457936E10"/>
        <n v="5.4054318649E10"/>
        <n v="7.5402314789E10"/>
        <n v="1.6209140144E10"/>
        <n v="4.2526481446E10"/>
        <n v="4.7028071539E10"/>
        <n v="4.1455680327E10"/>
        <n v="7.8309360135E10"/>
        <n v="5.3603450248E10"/>
        <n v="7.7939261927E10"/>
        <n v="9.4332643638E10"/>
        <n v="5.2153559965E10"/>
        <n v="9.6470776156E10"/>
        <n v="3.6231433469E10"/>
        <n v="3.3149597955E10"/>
        <n v="7.214823723E10"/>
        <n v="9.5190480103E10"/>
        <n v="8.0290494361E10"/>
        <n v="1.03178E11"/>
        <n v="7.7986352608E10"/>
        <n v="8.9178594951E10"/>
        <n v="3.3487450024E10"/>
        <n v="2.0309748109E10"/>
        <n v="2.0492021853E10"/>
        <n v="9.1433612999E10"/>
        <n v="9.6432298119E10"/>
        <n v="7.1014369848E10"/>
        <n v="5.1017193709E10"/>
        <n v="1.2295147258E10"/>
        <n v="7.602135428E10"/>
        <n v="6.8766595836E10"/>
        <n v="2.2308097117E10"/>
        <n v="6.2319608528E10"/>
        <n v="5.6660906517E10"/>
        <n v="1.6220253103E10"/>
        <n v="4.8691383713E10"/>
        <n v="5.1880282611E10"/>
        <n v="1.4254865577E10"/>
        <n v="5.0015438648E10"/>
        <n v="4.4985847465E10"/>
        <n v="7.0085717043E10"/>
        <n v="4.6109484906E10"/>
        <n v="9.0628716284E10"/>
        <n v="3.7980309491E10"/>
        <n v="4.9418672792E10"/>
        <n v="8.8465873107E10"/>
        <n v="8.7955262019E10"/>
        <n v="7.8234831218E10"/>
        <n v="9.7172248054E10"/>
        <n v="5.325885663E10"/>
        <n v="3.0282432255E10"/>
        <n v="1.3396172359E10"/>
        <n v="1.00949E11"/>
        <n v="2.8809471848E10"/>
        <n v="5.9494243605E10"/>
        <n v="1.4526022474E10"/>
        <n v="9.4690267259E10"/>
        <n v="3.4689079584E10"/>
        <n v="1.00508E11"/>
        <n v="1.03599E11"/>
        <n v="5.6187329785E10"/>
        <n v="9.6122796373E10"/>
        <n v="8.5516781967E10"/>
        <n v="6.4894726306E10"/>
        <n v="8.8800038067E10"/>
        <n v="8.4804571225E10"/>
        <n v="8.8424557528E10"/>
        <n v="5.4377521672E10"/>
        <n v="1.05529E11"/>
        <n v="7.4943205024E10"/>
        <n v="3.5833738864E10"/>
        <n v="4.7929914232E10"/>
        <n v="2.1659815981E10"/>
        <n v="1.6002647625E10"/>
        <n v="9.5390226085E10"/>
        <n v="4.5947923845E10"/>
        <n v="1.5724023212E10"/>
        <n v="5.7300087049E10"/>
        <n v="6.9629329099E10"/>
        <n v="4.4631492274E10"/>
        <n v="3.1363688005E10"/>
        <n v="2.293338707E10"/>
        <n v="5.0547921965E10"/>
        <n v="5.513059965E10"/>
        <n v="3.7251592742E10"/>
        <n v="7.586503982E9"/>
        <n v="4.3988606214E10"/>
        <n v="6.414697506E10"/>
        <n v="4.350596649E10"/>
        <n v="7.524380418E10"/>
        <n v="1.00645E11"/>
        <n v="2.2583927548E10"/>
        <n v="5.0656729309E10"/>
        <n v="8.0762114631E10"/>
        <n v="9.9187474674E10"/>
        <n v="7.5338702575E10"/>
        <n v="2.7359115076E10"/>
        <n v="2.5291730468E10"/>
        <n v="7.2781188808E10"/>
        <n v="7.4440686236E10"/>
        <n v="7.4879957464E10"/>
        <n v="1.6707749412E10"/>
        <n v="7.3020301103E10"/>
        <n v="9.9534812241E10"/>
        <n v="8.6307836887E10"/>
        <n v="6.3655689339E10"/>
        <n v="7.5745728262E10"/>
        <n v="7.7859360072E10"/>
        <n v="2.1953273498E10"/>
        <n v="9.1541327287E10"/>
        <n v="1.1521417313E10"/>
        <n v="9.2406101906E10"/>
        <n v="3.2359221738E10"/>
        <n v="2.3271333009E10"/>
        <n v="9.2701686882E10"/>
        <n v="9.3493164826E10"/>
        <n v="1.5073644558E10"/>
        <n v="4.9685670959E10"/>
        <n v="6.48112777E10"/>
        <n v="1.0171E11"/>
        <n v="9.8628174081E10"/>
        <n v="9.4771254471E10"/>
        <n v="9.375770542E9"/>
        <n v="8.3159936819E10"/>
        <n v="9.6841264412E10"/>
        <n v="4.0786031512E10"/>
        <n v="6.5511042535E10"/>
        <n v="4.9636478748E10"/>
        <n v="7.3946955087E10"/>
        <n v="7.7049187501E10"/>
        <n v="5.981000836E10"/>
        <n v="3.4831933503E10"/>
        <n v="6.544021317E9"/>
        <n v="1.4799300079E10"/>
        <n v="5.2353116409E10"/>
        <n v="4.6310224844E10"/>
        <n v="8.5119583044E10"/>
        <n v="8.7446054134E10"/>
        <n v="5.9141084735E10"/>
        <n v="5.9272302026E10"/>
        <n v="9.8449735815E10"/>
        <n v="5.9192635837E10"/>
        <n v="3.0638291701E10"/>
        <n v="9.3835895466E10"/>
        <n v="8.0774640241E10"/>
        <n v="9.2600620478E10"/>
        <n v="6.7635412141E10"/>
        <n v="8.8680909492E10"/>
        <n v="8.4863458397E10"/>
        <n v="3.3807753371E10"/>
        <n v="5.8673102217E10"/>
        <n v="4.590959343E10"/>
        <n v="6.1780596439E10"/>
        <n v="4.1138689229E10"/>
        <n v="7.784075432E10"/>
        <n v="1.7308367361E10"/>
        <n v="2.0627001344E10"/>
        <n v="6.8337416384E10"/>
        <n v="6.6506699642E10"/>
        <n v="4.8645923518E10"/>
        <n v="4.0333849858E10"/>
        <n v="9.4186930893E10"/>
        <n v="9.6109228818E10"/>
        <n v="1.1227431169E10"/>
        <n v="5.6422763858E10"/>
        <n v="1.4178293537E10"/>
        <n v="8.5421901662E10"/>
        <n v="5.471822072E10"/>
        <n v="1.8145286001E10"/>
        <n v="8.4411038163E10"/>
        <n v="7.1396549568E10"/>
        <n v="8.5056013216E10"/>
        <n v="1.4756357058E10"/>
        <n v="3.4223805256E10"/>
        <n v="7.461405073E9"/>
        <n v="2.9144872044E10"/>
        <n v="3.3163141551E10"/>
        <n v="9.1585705285E10"/>
        <n v="2.9080373672E10"/>
        <n v="1.0151E11"/>
        <n v="2.0838682033E10"/>
        <n v="1.0007E11"/>
        <n v="8.7524967649E10"/>
        <n v="1.06189E11"/>
        <n v="9.686144E10"/>
        <n v="8.0406552383E10"/>
        <n v="9.7319003375E10"/>
        <n v="4.2888320883E10"/>
        <n v="3.120252426E10"/>
        <n v="2.7734835528E10"/>
        <n v="5.5790794157E10"/>
        <n v="9.7205628513E10"/>
        <n v="6.1525169383E10"/>
        <n v="7.4610547787E10"/>
        <n v="1.03707E11"/>
        <n v="5.1565864749E10"/>
        <n v="3.8191273413E10"/>
        <n v="2.9680737705E10"/>
        <n v="3.5507304239E10"/>
        <n v="3.5153310829E10"/>
        <n v="6.7805433734E10"/>
        <n v="1.7283883409E10"/>
        <n v="6.569214624E9"/>
        <n v="5.1071043166E10"/>
        <n v="7.6918930113E10"/>
        <n v="1.3633323065E10"/>
        <n v="2.5875971843E10"/>
        <n v="6.6145003338E10"/>
        <n v="2.3111173365E10"/>
        <n v="9.8804510325E10"/>
        <n v="9.0309475809E10"/>
        <n v="2.092645753E10"/>
        <n v="1.697047848E10"/>
        <n v="9.5479814717E10"/>
        <n v="8.1047715753E10"/>
        <n v="5.4074999234E10"/>
        <n v="8.3411061952E10"/>
        <n v="8.6249992427E10"/>
        <n v="5.2444783637E10"/>
        <n v="5.5754811438E10"/>
        <n v="4.7365560959E10"/>
        <n v="9.4119404545E10"/>
        <n v="5.3416146845E10"/>
        <n v="4.9886997678E10"/>
        <n v="6.5733481253E10"/>
        <n v="9.6741542761E10"/>
        <n v="3.5853807212E10"/>
        <n v="4.8886874049E10"/>
        <n v="8.8742671577E10"/>
        <n v="9.6487241274E10"/>
        <n v="3.5549490094E10"/>
        <n v="9.7055839525E10"/>
        <n v="6.9290341947E10"/>
        <n v="2.4126435025E10"/>
        <n v="7.0445684715E10"/>
        <n v="8.0420687118E10"/>
        <n v="9.4004249669E10"/>
        <n v="1.02258E11"/>
        <n v="3.7904911914E10"/>
        <n v="8.3456067239E10"/>
        <n v="9.1252171321E10"/>
        <n v="7.8819950569E10"/>
        <n v="1.1595695364E10"/>
        <n v="5.1881763823E10"/>
        <n v="7.3740836405E10"/>
        <n v="5.830753913E9"/>
        <n v="9.0368691633E10"/>
        <n v="8.0787050908E10"/>
        <n v="4.0478716789E10"/>
        <n v="4.5323568182E10"/>
        <n v="8.5922163334E10"/>
        <n v="3.6574371942E10"/>
        <n v="8.1835001901E10"/>
        <n v="9.8079959949E10"/>
        <n v="6.4311680089E10"/>
        <n v="6.6988761329E10"/>
        <n v="9.1928101174E10"/>
        <n v="2.0800449857E10"/>
        <n v="8.9779274593E10"/>
        <n v="2.0403329092E10"/>
        <n v="9.4193794566E10"/>
        <n v="5.4709974307E10"/>
        <n v="1.3165027627E10"/>
        <n v="3.1689047998E10"/>
        <n v="6.9600922086E10"/>
        <n v="9.8127926613E10"/>
        <n v="8.925562128E10"/>
        <n v="8.6136300829E10"/>
        <n v="2.4012462997E10"/>
        <n v="5.869948955E9"/>
        <n v="5.778710739E9"/>
        <n v="4.0273228745E10"/>
        <n v="7.8971281541E10"/>
        <n v="1.4915097594E10"/>
        <n v="3.5351274293E10"/>
        <n v="5.2781538229E10"/>
        <n v="8.9904941045E10"/>
        <n v="3.7261477279E10"/>
        <n v="7.0624945076E10"/>
        <n v="1.3158550787E10"/>
        <n v="6.3884545299E10"/>
        <n v="9.647490183E9"/>
        <n v="1.2748356367E10"/>
        <n v="4.8929081036E10"/>
        <n v="7.9000523255E10"/>
        <n v="1.07272E11"/>
        <n v="6.2322743245E10"/>
        <n v="5.1931350562E10"/>
        <n v="7.306413609E10"/>
        <n v="1.979982395E10"/>
        <n v="9.7209143636E10"/>
        <n v="6.7059945319E10"/>
        <n v="8.9912632274E10"/>
        <n v="4.8866602335E10"/>
        <n v="3.6029218777E10"/>
        <n v="1.01672E11"/>
        <n v="9.4562441355E10"/>
        <n v="7.5089217569E10"/>
        <n v="5.0138790345E10"/>
        <n v="9.859247924E9"/>
        <n v="1.4000778703E10"/>
        <n v="1.8870602491E10"/>
        <n v="8.2775898387E10"/>
        <n v="3.6292263633E10"/>
        <n v="9.566018434E10"/>
        <n v="4.0765531651E10"/>
        <n v="6.4790751395E10"/>
        <n v="1.03174E11"/>
        <n v="2.4072541629E10"/>
        <n v="5.4120045491E10"/>
        <n v="7.0195330812E10"/>
        <n v="8.9116433619E10"/>
        <n v="2.0615994972E10"/>
        <n v="5.0532876187E10"/>
        <n v="3.9239617577E10"/>
        <n v="2.8473435562E10"/>
        <n v="5.3821970678E10"/>
        <n v="6.3344615356E10"/>
        <n v="9.9109623578E10"/>
        <n v="8.5057712051E10"/>
        <n v="2.073580511E10"/>
        <n v="4.4386018898E10"/>
        <n v="9.1996827106E10"/>
        <n v="8.1965940657E10"/>
        <n v="8.4257405517E10"/>
        <n v="2.203389886E10"/>
        <n v="7.8832078777E10"/>
        <n v="2.738175272E10"/>
        <n v="7.5016268178E10"/>
        <n v="8.0350643973E10"/>
        <n v="9.2891585359E10"/>
        <n v="4.5693849488E10"/>
        <n v="4.172572813E10"/>
        <n v="1.3147665462E10"/>
        <n v="8.7023569683E10"/>
        <n v="9.4996618262E10"/>
        <n v="3.5780472522E10"/>
        <n v="5.9630573021E10"/>
        <n v="1.3094464652E10"/>
        <n v="5.2236057299E10"/>
        <n v="2.1696342956E10"/>
        <n v="8.3529651563E10"/>
        <n v="3.323331056E10"/>
        <n v="5.843104167E9"/>
        <n v="5.0284914701E10"/>
        <n v="4.5239018284E10"/>
        <n v="9.3405272504E10"/>
        <n v="1.207921154E9"/>
        <n v="5.2263568746E10"/>
        <n v="1.7506915601E10"/>
        <n v="5.0673476199E10"/>
        <n v="4.4866998326E10"/>
        <n v="1.00975E11"/>
        <n v="3.8389861466E10"/>
        <n v="6.3087373471E10"/>
        <n v="7.5570232081E10"/>
        <n v="7.8418921626E10"/>
        <n v="2.714721784E10"/>
        <n v="3.8028739139E10"/>
        <n v="2.6720821217E10"/>
        <n v="7.9569564021E10"/>
        <n v="2.1352123635E10"/>
        <n v="3.9159602354E10"/>
        <n v="9.413873521E10"/>
        <n v="1.8693727301E10"/>
        <n v="3.47246044E10"/>
        <n v="2.5344471081E10"/>
        <n v="1.4110520431E10"/>
        <n v="6.4369054308E10"/>
        <n v="4.6907092891E10"/>
        <n v="4.631674835E10"/>
        <n v="2.4026754063E10"/>
        <n v="9.5956905153E10"/>
        <n v="1.04917E11"/>
        <n v="7.9432069155E10"/>
        <n v="5.9942102426E10"/>
        <n v="6.1508082818E10"/>
        <n v="1.01582E11"/>
        <n v="5.7962755958E10"/>
        <n v="7.1066862636E10"/>
        <n v="3.1125899311E10"/>
        <n v="6.1950291164E10"/>
        <n v="5.271422916E9"/>
        <n v="8.3659890497E10"/>
        <n v="9.5331713711E10"/>
        <n v="5.9474416324E10"/>
        <n v="4.9709897119E10"/>
        <n v="3.282581185E10"/>
        <n v="2.1234631544E10"/>
        <n v="6.5781073688E10"/>
        <n v="1.00732E11"/>
        <n v="3.736921359E10"/>
        <n v="3.4678750344E10"/>
        <n v="9.8586324009E10"/>
        <n v="6.6341293879E10"/>
        <n v="7.4470389472E10"/>
        <n v="6.5177513275E10"/>
        <n v="7.6772333973E10"/>
        <n v="6.9139290269E10"/>
        <n v="7.4911332182E10"/>
        <n v="9.0559922778E10"/>
        <n v="4.2396858117E10"/>
        <n v="1.7016011208E10"/>
        <n v="7.9516684243E10"/>
        <n v="8.1678867817E10"/>
        <n v="4.0584125808E10"/>
        <n v="3.4804350306E10"/>
        <n v="8.5486927373E10"/>
        <n v="1.6300754614E10"/>
        <n v="7.0111111358E10"/>
        <n v="8.015357633E10"/>
        <n v="1.5392500201E10"/>
        <n v="2.471043483E10"/>
        <n v="1.7852026452E10"/>
        <n v="3.9635005557E10"/>
        <n v="2.5252564605E10"/>
        <n v="9.5810901292E10"/>
        <n v="3.5848821301E10"/>
        <n v="3.1008980415E10"/>
        <n v="7.0353669674E10"/>
        <n v="9.102919115E10"/>
        <n v="8.2187842771E10"/>
        <n v="2.9749158947E10"/>
        <n v="5.0808021282E10"/>
        <n v="3.7441336007E10"/>
        <n v="5.2798878897E10"/>
        <n v="7.542114392E10"/>
        <n v="7.5026706515E10"/>
        <n v="6.1528752233E10"/>
        <n v="4.4947389011E10"/>
        <n v="1.4962833377E10"/>
        <n v="5.623260772E10"/>
        <n v="6.9417402995E10"/>
        <n v="9.0889118377E10"/>
        <n v="1.9758151862E10"/>
        <n v="7.6867013143E10"/>
        <n v="7.3714272859E10"/>
        <n v="7.6796243104E10"/>
        <n v="7.2811556803E10"/>
        <n v="4.0434031092E10"/>
        <n v="7.39578799E10"/>
        <n v="6.980754162E10"/>
        <n v="6.1938156194E10"/>
        <n v="3.7505380535E10"/>
        <n v="8.2152580105E10"/>
        <n v="3.1349574604E10"/>
        <n v="9.5493533688E10"/>
        <n v="5.2412729114E10"/>
        <n v="1.5347515493E10"/>
        <n v="4.9430532269E10"/>
        <n v="8.9558952845E10"/>
        <n v="3.8120936455E10"/>
        <n v="4.7028070582E10"/>
        <n v="2.95313031E10"/>
        <n v="6.576297333E10"/>
        <n v="8.6783415504E10"/>
        <n v="9.704777665E9"/>
        <n v="7.7870473879E10"/>
        <n v="8.3900514981E10"/>
        <n v="6.9442456383E10"/>
        <n v="8.37071853E10"/>
        <n v="1.299592397E10"/>
        <n v="6.8679044281E10"/>
        <n v="7.2712157558E10"/>
        <n v="6.742447419E10"/>
        <n v="2.7071360698E10"/>
        <n v="4.727714321E10"/>
        <n v="3.8114080646E10"/>
        <n v="4.5152662232E10"/>
        <n v="9.2577225266E10"/>
        <n v="6.1664429785E10"/>
        <n v="4.6657905187E10"/>
        <n v="1.7590090093E10"/>
        <n v="4.1233732659E10"/>
        <n v="2.7856259433E10"/>
        <n v="9.4732303065E10"/>
        <n v="6.4188062442E10"/>
        <n v="6.1022206143E10"/>
        <n v="4.3503289304E10"/>
        <n v="5.8262181355E10"/>
        <n v="7.8654273956E10"/>
        <n v="6.709560828E9"/>
        <n v="4.5873428076E10"/>
        <n v="8.4644895301E10"/>
        <n v="1.647132585E10"/>
        <n v="3.0890344545E10"/>
        <n v="3.4285952731E10"/>
        <n v="1.0546174477E10"/>
        <n v="1.02047E11"/>
        <n v="9.9984623576E10"/>
        <n v="2.8407569512E10"/>
        <n v="4.1713554786E10"/>
        <n v="2.2589729918E10"/>
        <n v="1.9720613386E10"/>
        <n v="7.4188874592E10"/>
        <n v="8.0001823378E10"/>
        <n v="4.6494768677E10"/>
        <n v="2.3892346198E10"/>
        <n v="8.497442468E9"/>
        <n v="2.2034078014E10"/>
        <n v="7.3738179228E10"/>
        <n v="3.8113531186E10"/>
        <n v="6.2964470066E10"/>
        <n v="5.0461064734E10"/>
        <n v="9.4252055678E10"/>
        <n v="3.7219298641E10"/>
        <n v="1.0109842689E10"/>
        <n v="5.6265355888E10"/>
        <n v="8.3877530111E10"/>
        <n v="2.6292232458E10"/>
        <n v="5.6063842623E10"/>
        <n v="1.9965883148E10"/>
        <n v="5.4208234208E10"/>
        <n v="3.6999088065E10"/>
        <n v="9.3295589515E10"/>
        <n v="6.7690112969E10"/>
        <n v="9.706806654E10"/>
        <n v="8.4113831464E10"/>
        <n v="7.3817051768E10"/>
        <n v="6.5711077756E10"/>
        <n v="3.5850067743E10"/>
        <n v="1.58338509E10"/>
        <n v="2.1454606211E10"/>
        <n v="4.955032425E10"/>
        <n v="8.6555528164E10"/>
        <n v="5.979338819E9"/>
        <n v="9.7147605739E10"/>
        <n v="6.7979758237E10"/>
        <n v="6.6738314431E10"/>
        <n v="9.9943019184E10"/>
        <n v="9.1632010894E10"/>
        <n v="2.7776490991E10"/>
        <n v="1.1368547796E10"/>
        <n v="5.3582994621E10"/>
        <n v="7.0487266654E10"/>
        <n v="1.5003885405E10"/>
        <n v="7.2730111824E10"/>
        <n v="5.0999017236E10"/>
        <n v="9.9735769398E10"/>
        <m/>
      </sharedItems>
    </cacheField>
    <cacheField name="Usage Start Date">
      <sharedItems containsDate="1" containsBlank="1" containsMixedTypes="1">
        <d v="2024-01-08T22:24:00Z"/>
        <s v="23-08-2024 09:18"/>
        <s v="18-07-2024 11:13"/>
        <s v="20-07-2024 00:15"/>
        <s v="21-08-2024 21:25"/>
        <s v="18-07-2024 03:07"/>
        <s v="23-08-2024 11:39"/>
        <s v="20-08-2024 13:23"/>
        <d v="2024-08-07T19:35:00Z"/>
        <d v="2024-05-07T09:25:00Z"/>
        <d v="2024-09-07T14:33:00Z"/>
        <s v="14-08-2024 09:47"/>
        <s v="19-07-2024 19:26"/>
        <s v="18-07-2024 12:56"/>
        <d v="2024-03-07T23:38:00Z"/>
        <s v="20-08-2024 03:04"/>
        <s v="25-08-2024 21:20"/>
        <d v="2024-07-07T00:52:00Z"/>
        <s v="28-08-2024 09:37"/>
        <d v="2024-07-07T12:16:00Z"/>
        <s v="19-08-2024 07:29"/>
        <s v="17-07-2024 20:20"/>
        <d v="2024-05-08T13:18:00Z"/>
        <s v="17-08-2024 01:17"/>
        <d v="2024-12-07T09:18:00Z"/>
        <s v="23-08-2024 17:18"/>
        <s v="26-08-2024 19:31"/>
        <d v="2024-01-07T19:51:00Z"/>
        <d v="2024-10-08T17:05:00Z"/>
        <s v="27-08-2024 04:52"/>
        <s v="16-08-2024 00:18"/>
        <s v="26-08-2024 16:24"/>
        <d v="2024-02-07T12:35:00Z"/>
        <s v="14-07-2024 17:48"/>
        <d v="2024-10-07T23:15:00Z"/>
        <s v="29-07-2024 06:08"/>
        <s v="14-07-2024 09:21"/>
        <s v="16-08-2024 20:04"/>
        <d v="2024-03-08T09:57:00Z"/>
        <s v="23-08-2024 16:13"/>
        <s v="22-07-2024 15:15"/>
        <d v="2024-12-07T23:41:00Z"/>
        <s v="21-08-2024 10:30"/>
        <d v="2024-02-08T00:52:00Z"/>
        <d v="2024-01-08T03:28:00Z"/>
        <s v="21-07-2024 11:28"/>
        <d v="2024-04-07T01:20:00Z"/>
        <d v="2024-12-07T21:32:00Z"/>
        <d v="2024-02-07T16:07:00Z"/>
        <s v="13-08-2024 08:40"/>
        <d v="2024-12-07T05:44:00Z"/>
        <s v="14-08-2024 10:27"/>
        <d v="2024-12-08T16:40:00Z"/>
        <d v="2024-07-07T00:53:00Z"/>
        <s v="25-07-2024 07:31"/>
        <s v="14-08-2024 03:09"/>
        <d v="2024-05-07T15:29:00Z"/>
        <d v="2024-06-07T00:54:00Z"/>
        <d v="2024-04-08T02:23:00Z"/>
        <d v="2024-03-07T12:51:00Z"/>
        <d v="2024-08-07T07:30:00Z"/>
        <s v="31-07-2024 02:06"/>
        <s v="15-08-2024 16:59"/>
        <s v="19-07-2024 10:32"/>
        <d v="2024-03-08T23:10:00Z"/>
        <s v="19-07-2024 23:26"/>
        <d v="2024-05-07T01:13:00Z"/>
        <s v="28-07-2024 19:53"/>
        <s v="24-08-2024 15:41"/>
        <d v="2024-06-07T11:18:00Z"/>
        <d v="2024-07-07T17:00:00Z"/>
        <s v="14-08-2024 14:50"/>
        <s v="17-08-2024 12:09"/>
        <d v="2024-02-08T23:55:00Z"/>
        <s v="19-07-2024 06:35"/>
        <s v="28-08-2024 23:54"/>
        <s v="13-08-2024 19:31"/>
        <d v="2024-10-07T00:19:00Z"/>
        <s v="16-07-2024 05:09"/>
        <s v="25-07-2024 07:07"/>
        <d v="2024-03-08T16:43:00Z"/>
        <d v="2024-06-07T16:34:00Z"/>
        <s v="19-07-2024 12:19"/>
        <s v="20-07-2024 17:12"/>
        <s v="27-07-2024 19:28"/>
        <d v="2024-07-07T14:03:00Z"/>
        <s v="17-08-2024 14:56"/>
        <d v="2024-12-08T04:55:00Z"/>
        <d v="2024-02-07T18:46:00Z"/>
        <d v="2024-08-08T04:57:00Z"/>
        <s v="15-08-2024 10:39"/>
        <s v="24-07-2024 08:29"/>
        <d v="2024-09-07T09:21:00Z"/>
        <s v="21-08-2024 22:16"/>
        <d v="2024-10-08T17:20:00Z"/>
        <d v="2024-02-07T00:58:00Z"/>
        <s v="21-08-2024 17:41"/>
        <s v="30-06-2024 18:47"/>
        <d v="2024-12-08T22:30:00Z"/>
        <s v="30-07-2024 14:05"/>
        <s v="27-08-2024 15:03"/>
        <s v="21-07-2024 04:58"/>
        <s v="26-07-2024 06:13"/>
        <s v="25-08-2024 10:20"/>
        <d v="2024-02-08T15:50:00Z"/>
        <d v="2024-01-07T09:54:00Z"/>
        <s v="21-08-2024 18:47"/>
        <s v="24-07-2024 10:04"/>
        <s v="16-07-2024 04:38"/>
        <d v="2024-05-07T21:34:00Z"/>
        <s v="25-07-2024 22:38"/>
        <s v="24-07-2024 11:41"/>
        <s v="27-07-2024 02:23"/>
        <s v="28-08-2024 08:27"/>
        <d v="2024-03-08T09:32:00Z"/>
        <d v="2024-08-08T21:45:00Z"/>
        <d v="2024-09-07T17:20:00Z"/>
        <s v="23-07-2024 06:54"/>
        <s v="27-07-2024 15:18"/>
        <s v="24-07-2024 19:33"/>
        <s v="18-08-2024 02:24"/>
        <s v="18-07-2024 23:36"/>
        <s v="21-08-2024 08:33"/>
        <s v="30-07-2024 07:15"/>
        <s v="20-08-2024 13:06"/>
        <s v="24-07-2024 03:14"/>
        <d v="2024-06-07T20:33:00Z"/>
        <s v="30-07-2024 16:42"/>
        <s v="21-07-2024 05:54"/>
        <s v="18-08-2024 20:01"/>
        <s v="20-08-2024 01:44"/>
        <s v="14-07-2024 11:36"/>
        <s v="26-08-2024 15:04"/>
        <d v="2024-06-08T14:09:00Z"/>
        <d v="2024-08-08T06:15:00Z"/>
        <s v="20-07-2024 14:28"/>
        <d v="2024-02-08T05:59:00Z"/>
        <s v="18-07-2024 16:38"/>
        <s v="13-08-2024 19:51"/>
        <s v="17-07-2024 19:28"/>
        <s v="21-08-2024 08:30"/>
        <s v="14-08-2024 16:39"/>
        <s v="25-08-2024 11:07"/>
        <s v="17-07-2024 18:39"/>
        <s v="20-07-2024 08:55"/>
        <s v="14-08-2024 03:02"/>
        <s v="31-07-2024 09:23"/>
        <s v="29-07-2024 15:51"/>
        <d v="2024-05-08T06:07:00Z"/>
        <s v="27-08-2024 01:07"/>
        <d v="2024-08-08T06:32:00Z"/>
        <s v="25-07-2024 04:56"/>
        <d v="2024-01-08T16:15:00Z"/>
        <s v="15-07-2024 14:39"/>
        <s v="28-07-2024 13:29"/>
        <d v="2024-08-08T07:07:00Z"/>
        <s v="27-07-2024 15:14"/>
        <s v="15-07-2024 08:52"/>
        <d v="2024-04-07T11:56:00Z"/>
        <s v="13-08-2024 04:32"/>
        <d v="2024-07-07T04:23:00Z"/>
        <s v="22-07-2024 10:33"/>
        <s v="13-08-2024 03:34"/>
        <d v="2024-04-07T09:45:00Z"/>
        <d v="2024-06-08T18:56:00Z"/>
        <s v="17-07-2024 00:26"/>
        <s v="18-08-2024 09:16"/>
        <d v="2024-10-07T13:30:00Z"/>
        <s v="14-08-2024 17:10"/>
        <d v="2024-02-08T20:29:00Z"/>
        <s v="19-08-2024 17:28"/>
        <d v="2024-08-08T03:39:00Z"/>
        <s v="13-08-2024 13:41"/>
        <s v="21-07-2024 05:23"/>
        <d v="2024-07-08T03:26:00Z"/>
        <d v="2024-03-07T22:41:00Z"/>
        <s v="15-07-2024 19:44"/>
        <s v="15-07-2024 02:11"/>
        <s v="17-08-2024 19:52"/>
        <s v="17-08-2024 20:33"/>
        <s v="28-07-2024 09:30"/>
        <d v="2024-07-07T08:52:00Z"/>
        <d v="2024-03-08T19:23:00Z"/>
        <d v="2024-11-08T04:44:00Z"/>
        <d v="2024-02-08T23:28:00Z"/>
        <s v="14-08-2024 04:13"/>
        <d v="2024-06-08T18:06:00Z"/>
        <s v="30-07-2024 19:34"/>
        <s v="25-07-2024 22:39"/>
        <s v="16-08-2024 19:38"/>
        <s v="18-08-2024 13:17"/>
        <d v="2024-01-07T02:06:00Z"/>
        <s v="21-07-2024 18:42"/>
        <d v="2024-03-07T00:41:00Z"/>
        <s v="28-08-2024 13:13"/>
        <d v="2024-01-07T00:13:00Z"/>
        <s v="15-08-2024 10:01"/>
        <s v="15-08-2024 21:00"/>
        <s v="31-07-2024 11:48"/>
        <s v="17-08-2024 23:23"/>
        <d v="2024-05-07T20:36:00Z"/>
        <d v="2024-04-07T21:28:00Z"/>
        <s v="16-08-2024 14:27"/>
        <s v="18-07-2024 16:01"/>
        <d v="2024-06-07T12:26:00Z"/>
        <s v="21-08-2024 18:56"/>
        <d v="2024-12-07T15:31:00Z"/>
        <d v="2024-09-07T19:20:00Z"/>
        <s v="13-08-2024 04:25"/>
        <d v="2024-08-08T10:21:00Z"/>
        <s v="13-07-2024 18:40"/>
        <s v="23-08-2024 14:27"/>
        <s v="23-07-2024 03:21"/>
        <s v="25-07-2024 18:41"/>
        <d v="2024-12-08T09:20:00Z"/>
        <d v="2024-02-08T22:30:00Z"/>
        <s v="27-08-2024 04:57"/>
        <d v="2024-12-08T20:35:00Z"/>
        <s v="23-07-2024 11:34"/>
        <d v="2024-01-07T16:40:00Z"/>
        <s v="21-07-2024 04:11"/>
        <s v="28-07-2024 09:27"/>
        <s v="22-07-2024 10:43"/>
        <s v="24-08-2024 17:08"/>
        <d v="2024-09-07T11:52:00Z"/>
        <s v="21-07-2024 11:35"/>
        <s v="30-07-2024 23:55"/>
        <d v="2024-08-08T05:23:00Z"/>
        <s v="30-07-2024 17:37"/>
        <s v="16-07-2024 01:23"/>
        <d v="2024-04-08T14:38:00Z"/>
        <d v="2024-07-08T21:49:00Z"/>
        <s v="19-07-2024 00:09"/>
        <d v="2024-09-07T13:24:00Z"/>
        <s v="25-07-2024 01:00"/>
        <d v="2024-12-08T00:16:00Z"/>
        <s v="16-07-2024 18:05"/>
        <s v="19-08-2024 22:23"/>
        <s v="23-07-2024 20:09"/>
        <s v="19-08-2024 21:55"/>
        <d v="2024-09-07T04:45:00Z"/>
        <d v="2024-08-08T10:27:00Z"/>
        <d v="2024-08-07T07:00:00Z"/>
        <s v="15-07-2024 00:10"/>
        <d v="2024-05-08T14:45:00Z"/>
        <s v="16-07-2024 15:16"/>
        <d v="2024-06-08T22:37:00Z"/>
        <d v="2024-10-08T21:29:00Z"/>
        <d v="2024-04-08T09:27:00Z"/>
        <d v="2024-05-08T11:05:00Z"/>
        <d v="2024-02-08T01:39:00Z"/>
        <s v="14-07-2024 01:18"/>
        <d v="2024-06-07T00:29:00Z"/>
        <s v="16-07-2024 02:46"/>
        <d v="2024-03-07T08:36:00Z"/>
        <s v="20-08-2024 21:57"/>
        <s v="22-07-2024 16:27"/>
        <s v="24-08-2024 07:22"/>
        <d v="2024-06-08T21:27:00Z"/>
        <d v="2024-08-08T06:26:00Z"/>
        <s v="21-07-2024 17:43"/>
        <s v="15-08-2024 18:20"/>
        <s v="15-08-2024 10:31"/>
        <s v="27-07-2024 11:37"/>
        <s v="17-08-2024 08:40"/>
        <d v="2024-01-08T00:18:00Z"/>
        <d v="2024-05-07T10:24:00Z"/>
        <s v="24-07-2024 08:14"/>
        <d v="2024-08-07T12:55:00Z"/>
        <s v="27-07-2024 02:20"/>
        <s v="18-07-2024 03:51"/>
        <s v="22-07-2024 06:08"/>
        <s v="14-07-2024 15:47"/>
        <d v="2024-03-08T15:34:00Z"/>
        <d v="2024-06-07T10:53:00Z"/>
        <s v="15-07-2024 02:42"/>
        <s v="28-08-2024 15:03"/>
        <d v="2024-02-07T20:56:00Z"/>
        <s v="27-08-2024 13:56"/>
        <s v="15-07-2024 13:56"/>
        <s v="28-08-2024 01:58"/>
        <s v="24-07-2024 04:21"/>
        <d v="2024-02-07T14:58:00Z"/>
        <s v="28-08-2024 17:20"/>
        <d v="2024-12-07T10:43:00Z"/>
        <d v="2024-08-08T07:37:00Z"/>
        <d v="2024-09-07T15:25:00Z"/>
        <s v="19-07-2024 22:25"/>
        <d v="2024-06-08T06:33:00Z"/>
        <d v="2024-12-07T17:43:00Z"/>
        <s v="19-07-2024 18:28"/>
        <d v="2024-10-07T18:36:00Z"/>
        <s v="21-07-2024 08:55"/>
        <s v="27-07-2024 12:30"/>
        <d v="2024-07-08T08:44:00Z"/>
        <s v="24-07-2024 06:49"/>
        <s v="26-07-2024 21:49"/>
        <d v="2024-08-07T14:28:00Z"/>
        <s v="16-08-2024 06:06"/>
        <s v="26-08-2024 01:14"/>
        <d v="2024-03-08T02:12:00Z"/>
        <s v="26-07-2024 09:39"/>
        <s v="29-08-2024 15:21"/>
        <d v="2024-10-07T17:18:00Z"/>
        <s v="13-08-2024 08:15"/>
        <s v="27-07-2024 11:07"/>
        <s v="29-07-2024 09:30"/>
        <s v="27-08-2024 23:40"/>
        <d v="2024-03-07T20:46:00Z"/>
        <d v="2024-10-07T12:05:00Z"/>
        <s v="23-07-2024 16:50"/>
        <s v="29-07-2024 00:28"/>
        <s v="19-07-2024 09:33"/>
        <d v="2024-03-07T21:21:00Z"/>
        <d v="2024-02-08T03:07:00Z"/>
        <d v="2024-10-08T02:40:00Z"/>
        <d v="2024-04-08T06:10:00Z"/>
        <d v="2024-01-07T21:22:00Z"/>
        <s v="19-07-2024 07:23"/>
        <s v="17-08-2024 09:17"/>
        <s v="18-07-2024 06:30"/>
        <d v="2024-06-08T05:50:00Z"/>
        <s v="16-08-2024 23:35"/>
        <d v="2024-04-07T12:00:00Z"/>
        <d v="2024-08-07T19:27:00Z"/>
        <d v="2024-11-08T21:30:00Z"/>
        <s v="31-07-2024 00:35"/>
        <d v="2024-05-08T04:10:00Z"/>
        <d v="2024-04-08T07:26:00Z"/>
        <d v="2024-01-08T06:24:00Z"/>
        <s v="14-07-2024 01:53"/>
        <d v="2024-04-08T08:13:00Z"/>
        <s v="13-07-2024 18:09"/>
        <d v="2024-04-08T04:48:00Z"/>
        <d v="2024-11-08T02:18:00Z"/>
        <d v="2024-08-07T11:05:00Z"/>
        <d v="2024-01-08T01:40:00Z"/>
        <d v="2024-02-07T08:34:00Z"/>
        <s v="16-08-2024 05:17"/>
        <s v="15-07-2024 10:52"/>
        <d v="2024-08-07T21:09:00Z"/>
        <d v="2024-08-07T16:39:00Z"/>
        <s v="21-08-2024 04:37"/>
        <s v="13-07-2024 18:30"/>
        <s v="24-07-2024 20:21"/>
        <s v="21-08-2024 02:59"/>
        <d v="2024-08-07T22:38:00Z"/>
        <s v="30-07-2024 23:02"/>
        <s v="13-07-2024 19:17"/>
        <s v="20-07-2024 18:56"/>
        <s v="14-07-2024 14:11"/>
        <d v="2024-11-07T07:29:00Z"/>
        <d v="2024-12-08T01:47:00Z"/>
        <d v="2024-11-08T00:40:00Z"/>
        <s v="24-08-2024 23:13"/>
        <s v="18-07-2024 21:35"/>
        <s v="18-08-2024 00:40"/>
        <d v="2024-03-07T04:47:00Z"/>
        <d v="2024-11-08T01:50:00Z"/>
        <d v="2024-10-08T10:38:00Z"/>
        <s v="27-08-2024 02:05"/>
        <d v="2024-12-08T02:56:00Z"/>
        <s v="22-07-2024 22:40"/>
        <s v="26-07-2024 15:36"/>
        <s v="25-07-2024 21:00"/>
        <s v="19-08-2024 18:33"/>
        <d v="2024-03-08T05:30:00Z"/>
        <s v="19-07-2024 21:32"/>
        <d v="2024-11-07T04:53:00Z"/>
        <s v="16-08-2024 03:27"/>
        <d v="2024-08-08T03:49:00Z"/>
        <s v="19-07-2024 02:37"/>
        <s v="22-07-2024 18:55"/>
        <s v="22-07-2024 00:53"/>
        <s v="25-08-2024 02:29"/>
        <s v="18-08-2024 06:44"/>
        <d v="2024-11-07T08:06:00Z"/>
        <d v="2024-01-08T16:24:00Z"/>
        <s v="23-08-2024 03:50"/>
        <s v="22-08-2024 06:22"/>
        <s v="18-08-2024 11:04"/>
        <s v="19-08-2024 15:52"/>
        <s v="16-08-2024 16:53"/>
        <d v="2024-03-07T18:48:00Z"/>
        <s v="15-08-2024 23:34"/>
        <d v="2024-01-08T16:45:00Z"/>
        <s v="24-07-2024 17:18"/>
        <s v="24-07-2024 15:38"/>
        <s v="23-08-2024 15:01"/>
        <s v="20-08-2024 13:50"/>
        <s v="27-08-2024 06:09"/>
        <d v="2024-10-07T16:07:00Z"/>
        <s v="19-07-2024 07:12"/>
        <s v="13-07-2024 09:15"/>
        <d v="2024-09-08T15:30:00Z"/>
        <d v="2024-01-08T11:01:00Z"/>
        <s v="18-08-2024 08:36"/>
        <s v="26-07-2024 09:17"/>
        <s v="20-07-2024 21:13"/>
        <d v="2024-08-08T04:09:00Z"/>
        <s v="22-07-2024 02:00"/>
        <d v="2024-09-07T23:43:00Z"/>
        <s v="25-08-2024 16:14"/>
        <s v="25-07-2024 14:39"/>
        <s v="21-08-2024 15:30"/>
        <s v="17-07-2024 16:42"/>
        <d v="2024-10-07T17:13:00Z"/>
        <s v="17-07-2024 00:37"/>
        <s v="18-07-2024 19:27"/>
        <s v="21-08-2024 04:55"/>
        <d v="2024-09-07T16:58:00Z"/>
        <s v="14-08-2024 22:35"/>
        <d v="2024-01-08T08:09:00Z"/>
        <s v="28-07-2024 23:43"/>
        <d v="2024-01-07T03:32:00Z"/>
        <s v="13-08-2024 15:43"/>
        <s v="19-07-2024 16:57"/>
        <d v="2024-11-07T08:54:00Z"/>
        <d v="2024-04-07T01:45:00Z"/>
        <s v="21-07-2024 02:58"/>
        <d v="2024-08-08T00:37:00Z"/>
        <s v="31-07-2024 01:28"/>
        <s v="29-07-2024 16:25"/>
        <s v="26-08-2024 18:02"/>
        <d v="2024-07-07T13:44:00Z"/>
        <d v="2024-08-07T01:41:00Z"/>
        <s v="23-07-2024 12:41"/>
        <d v="2024-01-07T17:03:00Z"/>
        <d v="2024-04-08T10:51:00Z"/>
        <d v="2024-03-07T23:57:00Z"/>
        <s v="30-07-2024 11:14"/>
        <d v="2024-03-08T00:59:00Z"/>
        <d v="2024-03-08T06:01:00Z"/>
        <d v="2024-12-08T21:42:00Z"/>
        <d v="2024-10-08T11:07:00Z"/>
        <d v="2024-01-08T10:35:00Z"/>
        <d v="2024-11-08T06:56:00Z"/>
        <d v="2024-12-08T11:22:00Z"/>
        <d v="2024-06-07T19:49:00Z"/>
        <s v="23-08-2024 22:28"/>
        <s v="14-08-2024 18:08"/>
        <s v="23-07-2024 08:53"/>
        <s v="22-08-2024 07:16"/>
        <d v="2024-02-08T09:11:00Z"/>
        <d v="2024-03-07T12:29:00Z"/>
        <d v="2024-03-07T03:46:00Z"/>
        <d v="2024-06-08T18:40:00Z"/>
        <d v="2024-05-07T13:27:00Z"/>
        <s v="19-08-2024 22:11"/>
        <s v="21-07-2024 14:13"/>
        <d v="2024-01-07T02:48:00Z"/>
        <d v="2024-01-07T15:32:00Z"/>
        <s v="20-07-2024 06:02"/>
        <s v="18-08-2024 13:41"/>
        <s v="29-07-2024 02:55"/>
        <s v="25-08-2024 07:47"/>
        <d v="2024-07-07T22:25:00Z"/>
        <d v="2024-04-08T06:28:00Z"/>
        <s v="22-08-2024 11:36"/>
        <s v="15-07-2024 18:12"/>
        <d v="2024-09-08T20:25:00Z"/>
        <d v="2024-12-07T19:28:00Z"/>
        <s v="31-07-2024 00:50"/>
        <d v="2024-06-07T15:58:00Z"/>
        <s v="27-08-2024 04:04"/>
        <d v="2024-10-08T18:58:00Z"/>
        <s v="27-07-2024 07:38"/>
        <s v="23-07-2024 17:08"/>
        <d v="2024-07-07T10:30:00Z"/>
        <s v="19-08-2024 14:05"/>
        <s v="28-08-2024 18:22"/>
        <s v="20-08-2024 02:10"/>
        <s v="18-07-2024 05:47"/>
        <s v="16-07-2024 09:36"/>
        <d v="2024-02-07T11:20:00Z"/>
        <s v="25-08-2024 05:34"/>
        <d v="2024-06-07T10:10:00Z"/>
        <d v="2024-06-08T01:01:00Z"/>
        <d v="2024-05-08T06:06:00Z"/>
        <s v="26-07-2024 11:26"/>
        <d v="2024-03-07T08:42:00Z"/>
        <d v="2024-02-08T04:11:00Z"/>
        <s v="19-07-2024 04:11"/>
        <d v="2024-08-07T22:55:00Z"/>
        <s v="28-07-2024 01:37"/>
        <s v="15-07-2024 13:40"/>
        <d v="2024-05-08T04:32:00Z"/>
        <s v="24-07-2024 22:24"/>
        <s v="28-07-2024 19:49"/>
        <d v="2024-02-07T17:46:00Z"/>
        <s v="15-07-2024 19:47"/>
        <s v="15-07-2024 10:53"/>
        <s v="23-08-2024 01:59"/>
        <s v="28-07-2024 16:33"/>
        <s v="24-08-2024 06:48"/>
        <d v="2024-12-08T03:34:00Z"/>
        <s v="27-08-2024 18:59"/>
        <d v="2024-08-07T00:22:00Z"/>
        <s v="28-08-2024 16:15"/>
        <d v="2024-10-08T18:57:00Z"/>
        <s v="25-08-2024 14:18"/>
        <d v="2024-10-08T04:58:00Z"/>
        <d v="2024-07-08T12:50:00Z"/>
        <s v="18-07-2024 12:15"/>
        <s v="16-07-2024 11:47"/>
        <s v="19-07-2024 08:33"/>
        <d v="2024-10-07T05:31:00Z"/>
        <s v="28-07-2024 02:53"/>
        <s v="22-07-2024 22:20"/>
        <d v="2024-09-07T22:53:00Z"/>
        <s v="15-08-2024 10:02"/>
        <d v="2024-11-08T03:17:00Z"/>
        <s v="20-08-2024 14:25"/>
        <d v="2024-08-08T00:20:00Z"/>
        <d v="2024-07-08T22:23:00Z"/>
        <s v="13-07-2024 11:34"/>
        <d v="2024-11-07T13:25:00Z"/>
        <s v="19-07-2024 06:26"/>
        <s v="27-08-2024 03:17"/>
        <s v="13-07-2024 17:38"/>
        <d v="2024-10-07T04:21:00Z"/>
        <s v="29-07-2024 17:53"/>
        <s v="16-08-2024 11:35"/>
        <s v="29-08-2024 08:51"/>
        <d v="2024-01-08T20:57:00Z"/>
        <d v="2024-09-07T04:17:00Z"/>
        <s v="22-07-2024 09:04"/>
        <d v="2024-03-08T23:28:00Z"/>
        <d v="2024-11-08T05:35:00Z"/>
        <s v="23-08-2024 14:55"/>
        <s v="16-08-2024 03:41"/>
        <d v="2024-10-07T02:26:00Z"/>
        <s v="23-08-2024 13:11"/>
        <d v="2024-06-08T02:02:00Z"/>
        <d v="2024-09-08T23:43:00Z"/>
        <d v="2024-08-07T22:37:00Z"/>
        <d v="2024-05-08T20:18:00Z"/>
        <s v="27-08-2024 12:37"/>
        <d v="2024-10-08T16:42:00Z"/>
        <s v="13-07-2024 21:38"/>
        <s v="21-08-2024 12:48"/>
        <d v="2024-05-08T17:04:00Z"/>
        <d v="2024-01-08T16:37:00Z"/>
        <s v="18-07-2024 10:52"/>
        <s v="19-07-2024 17:23"/>
        <d v="2024-01-07T11:10:00Z"/>
        <d v="2024-08-08T23:42:00Z"/>
        <s v="26-07-2024 02:26"/>
        <s v="15-08-2024 11:22"/>
        <s v="21-07-2024 05:42"/>
        <d v="2024-01-07T07:41:00Z"/>
        <s v="13-08-2024 18:35"/>
        <s v="28-07-2024 10:05"/>
        <d v="2024-03-07T12:49:00Z"/>
        <s v="14-08-2024 14:08"/>
        <s v="23-08-2024 04:39"/>
        <s v="31-07-2024 13:44"/>
        <s v="21-08-2024 18:17"/>
        <s v="25-07-2024 05:58"/>
        <d v="2024-10-08T07:24:00Z"/>
        <s v="18-08-2024 06:16"/>
        <s v="27-08-2024 23:02"/>
        <s v="19-07-2024 13:10"/>
        <s v="23-08-2024 03:12"/>
        <s v="16-08-2024 15:40"/>
        <d v="2024-10-07T13:02:00Z"/>
        <s v="27-08-2024 05:00"/>
        <s v="21-08-2024 08:38"/>
        <d v="2024-09-07T19:32:00Z"/>
        <d v="2024-04-07T09:30:00Z"/>
        <s v="14-08-2024 13:38"/>
        <s v="25-07-2024 04:58"/>
        <d v="2024-11-08T02:37:00Z"/>
        <s v="20-07-2024 12:51"/>
        <d v="2024-03-08T05:06:00Z"/>
        <d v="2024-08-07T17:40:00Z"/>
        <s v="22-07-2024 23:20"/>
        <s v="17-07-2024 17:07"/>
        <s v="26-08-2024 20:08"/>
        <s v="25-07-2024 10:48"/>
        <s v="25-08-2024 06:33"/>
        <d v="2024-12-08T23:35:00Z"/>
        <s v="21-08-2024 13:49"/>
        <s v="23-07-2024 22:41"/>
        <s v="15-08-2024 20:03"/>
        <d v="2024-02-08T02:38:00Z"/>
        <s v="20-08-2024 02:48"/>
        <s v="16-07-2024 07:36"/>
        <s v="24-08-2024 13:56"/>
        <d v="2024-12-07T23:21:00Z"/>
        <d v="2024-02-08T20:27:00Z"/>
        <d v="2024-09-07T12:59:00Z"/>
        <d v="2024-10-07T20:29:00Z"/>
        <s v="20-08-2024 21:27"/>
        <d v="2024-09-08T07:10:00Z"/>
        <s v="21-08-2024 23:46"/>
        <d v="2024-01-07T09:56:00Z"/>
        <d v="2024-07-08T07:16:00Z"/>
        <s v="29-08-2024 03:57"/>
        <s v="24-07-2024 01:32"/>
        <s v="23-07-2024 16:11"/>
        <d v="2024-01-07T04:28:00Z"/>
        <s v="25-08-2024 11:45"/>
        <d v="2024-12-07T10:30:00Z"/>
        <d v="2024-02-08T17:51:00Z"/>
        <s v="15-07-2024 16:25"/>
        <s v="26-08-2024 01:08"/>
        <d v="2024-10-08T03:36:00Z"/>
        <s v="13-07-2024 04:08"/>
        <s v="25-07-2024 21:17"/>
        <s v="14-08-2024 14:34"/>
        <s v="21-07-2024 11:54"/>
        <d v="2024-01-07T02:57:00Z"/>
        <s v="27-07-2024 14:31"/>
        <d v="2024-12-08T12:44:00Z"/>
        <s v="27-07-2024 19:26"/>
        <d v="2024-02-07T02:21:00Z"/>
        <d v="2024-09-08T11:18:00Z"/>
        <d v="2024-09-08T10:49:00Z"/>
        <s v="28-08-2024 19:00"/>
        <s v="17-07-2024 10:40"/>
        <d v="2024-01-07T08:59:00Z"/>
        <d v="2024-03-07T13:45:00Z"/>
        <d v="2024-02-08T15:51:00Z"/>
        <s v="19-08-2024 12:07"/>
        <d v="2024-09-08T01:35:00Z"/>
        <s v="29-07-2024 19:36"/>
        <d v="2024-09-08T12:31:00Z"/>
        <s v="17-07-2024 04:03"/>
        <s v="22-07-2024 05:48"/>
        <d v="2024-10-08T06:16:00Z"/>
        <d v="2024-10-08T18:16:00Z"/>
        <d v="2024-08-07T09:40:00Z"/>
        <d v="2024-10-07T08:31:00Z"/>
        <d v="2024-03-07T04:28:00Z"/>
        <d v="2024-05-08T12:56:00Z"/>
        <s v="20-08-2024 14:01"/>
        <s v="25-07-2024 16:18"/>
        <s v="17-08-2024 10:09"/>
        <d v="2024-04-07T07:15:00Z"/>
        <d v="2024-06-08T06:00:00Z"/>
        <s v="14-07-2024 13:19"/>
        <d v="2024-10-07T03:33:00Z"/>
        <s v="21-07-2024 05:57"/>
        <s v="20-07-2024 14:08"/>
        <s v="13-07-2024 13:32"/>
        <s v="30-06-2024 21:27"/>
        <d v="2024-12-08T03:32:00Z"/>
        <s v="27-08-2024 00:40"/>
        <s v="24-07-2024 15:06"/>
        <s v="25-08-2024 03:48"/>
        <s v="21-07-2024 02:48"/>
        <s v="16-07-2024 06:46"/>
        <s v="16-08-2024 12:47"/>
        <s v="22-08-2024 22:04"/>
        <s v="22-08-2024 13:37"/>
        <s v="21-08-2024 14:27"/>
        <s v="18-08-2024 21:39"/>
        <d v="2024-06-08T15:30:00Z"/>
        <s v="16-07-2024 19:22"/>
        <s v="28-07-2024 06:36"/>
        <s v="26-08-2024 17:36"/>
        <s v="13-07-2024 04:51"/>
        <d v="2024-02-08T04:53:00Z"/>
        <d v="2024-09-07T13:12:00Z"/>
        <d v="2024-03-08T02:49:00Z"/>
        <s v="26-08-2024 12:25"/>
        <d v="2024-02-07T01:26:00Z"/>
        <d v="2024-05-07T18:19:00Z"/>
        <s v="15-08-2024 15:40"/>
        <s v="24-07-2024 04:01"/>
        <s v="24-07-2024 21:27"/>
        <s v="25-07-2024 08:44"/>
        <s v="24-08-2024 11:01"/>
        <s v="15-07-2024 16:29"/>
        <s v="13-08-2024 20:09"/>
        <d v="2024-03-07T05:37:00Z"/>
        <d v="2024-12-07T07:38:00Z"/>
        <s v="23-07-2024 08:25"/>
        <d v="2024-03-07T23:07:00Z"/>
        <s v="27-08-2024 17:51"/>
        <s v="18-08-2024 12:20"/>
        <s v="24-08-2024 08:55"/>
        <s v="19-07-2024 11:22"/>
        <s v="25-07-2024 06:42"/>
        <s v="15-07-2024 07:25"/>
        <d v="2024-03-07T23:16:00Z"/>
        <s v="20-08-2024 00:05"/>
        <s v="29-07-2024 16:17"/>
        <d v="2024-03-07T03:00:00Z"/>
        <d v="2024-09-08T04:02:00Z"/>
        <d v="2024-04-08T16:44:00Z"/>
        <s v="29-07-2024 08:23"/>
        <d v="2024-07-08T00:55:00Z"/>
        <s v="23-08-2024 05:56"/>
        <s v="19-07-2024 07:56"/>
        <d v="2024-08-07T16:17:00Z"/>
        <d v="2024-03-07T18:57:00Z"/>
        <d v="2024-08-08T01:50:00Z"/>
        <s v="31-07-2024 02:38"/>
        <s v="26-07-2024 01:57"/>
        <s v="27-07-2024 10:53"/>
        <s v="26-08-2024 19:54"/>
        <d v="2024-11-07T20:55:00Z"/>
        <s v="15-08-2024 07:46"/>
        <d v="2024-03-08T05:48:00Z"/>
        <s v="20-07-2024 16:24"/>
        <s v="14-07-2024 21:40"/>
        <d v="2024-09-07T01:42:00Z"/>
        <d v="2024-03-08T07:49:00Z"/>
        <d v="2024-10-08T20:23:00Z"/>
        <s v="13-07-2024 01:04"/>
        <s v="16-08-2024 12:56"/>
        <d v="2024-09-07T18:39:00Z"/>
        <d v="2024-02-07T16:06:00Z"/>
        <s v="15-07-2024 03:58"/>
        <d v="2024-12-07T00:22:00Z"/>
        <d v="2024-05-08T00:53:00Z"/>
        <s v="24-07-2024 15:27"/>
        <s v="17-08-2024 21:39"/>
        <d v="2024-01-07T15:41:00Z"/>
        <s v="24-07-2024 09:58"/>
        <s v="18-08-2024 01:24"/>
        <d v="2024-12-08T15:35:00Z"/>
        <d v="2024-05-07T01:50:00Z"/>
        <s v="18-07-2024 11:19"/>
        <s v="16-07-2024 13:39"/>
        <s v="22-07-2024 09:06"/>
        <s v="25-08-2024 05:16"/>
        <d v="2024-06-07T02:37:00Z"/>
        <d v="2024-10-07T17:49:00Z"/>
        <d v="2024-12-07T19:53:00Z"/>
        <d v="2024-09-08T02:47:00Z"/>
        <d v="2024-01-08T04:56:00Z"/>
        <s v="26-07-2024 13:07"/>
        <s v="23-07-2024 04:35"/>
        <s v="26-08-2024 21:29"/>
        <s v="22-07-2024 21:31"/>
        <d v="2024-02-07T08:08:00Z"/>
        <s v="27-08-2024 18:28"/>
        <s v="29-08-2024 13:29"/>
        <d v="2024-07-08T20:19:00Z"/>
        <d v="2024-03-07T07:41:00Z"/>
        <d v="2024-12-08T12:15:00Z"/>
        <d v="2024-12-08T17:35:00Z"/>
        <d v="2024-12-07T11:01:00Z"/>
        <s v="14-08-2024 09:33"/>
        <s v="23-07-2024 21:19"/>
        <d v="2024-11-07T19:28:00Z"/>
        <d v="2024-10-07T03:58:00Z"/>
        <d v="2024-10-07T18:39:00Z"/>
        <d v="2024-10-08T04:48:00Z"/>
        <d v="2024-02-07T11:06:00Z"/>
        <s v="13-08-2024 21:05"/>
        <d v="2024-09-08T07:48:00Z"/>
        <d v="2024-06-07T03:49:00Z"/>
        <s v="14-08-2024 09:24"/>
        <d v="2024-10-08T00:14:00Z"/>
        <s v="19-07-2024 09:00"/>
        <s v="18-08-2024 20:33"/>
        <s v="16-07-2024 20:58"/>
        <d v="2024-10-07T11:03:00Z"/>
        <s v="23-08-2024 18:06"/>
        <d v="2024-02-08T23:18:00Z"/>
        <s v="21-07-2024 06:06"/>
        <s v="15-07-2024 15:02"/>
        <d v="2024-07-07T05:10:00Z"/>
        <d v="2024-03-07T14:36:00Z"/>
        <d v="2024-06-08T07:40:00Z"/>
        <d v="2024-02-08T15:38:00Z"/>
        <s v="28-07-2024 04:35"/>
        <s v="13-08-2024 23:22"/>
        <s v="18-07-2024 02:47"/>
        <d v="2024-08-07T00:32:00Z"/>
        <d v="2024-06-08T06:27:00Z"/>
        <s v="27-07-2024 12:33"/>
        <s v="14-07-2024 05:26"/>
        <d v="2024-08-07T11:32:00Z"/>
        <s v="22-07-2024 14:21"/>
        <s v="26-07-2024 08:27"/>
        <s v="23-07-2024 14:06"/>
        <d v="2024-03-07T09:09:00Z"/>
        <s v="24-08-2024 16:26"/>
        <d v="2024-09-08T10:19:00Z"/>
        <s v="15-07-2024 13:46"/>
        <d v="2024-07-07T13:53:00Z"/>
        <s v="18-08-2024 12:38"/>
        <s v="15-07-2024 14:00"/>
        <d v="2024-11-08T04:56:00Z"/>
        <d v="2024-11-07T14:07:00Z"/>
        <d v="2024-03-07T13:01:00Z"/>
        <d v="2024-05-07T14:57:00Z"/>
        <d v="2024-08-07T17:22:00Z"/>
        <s v="14-08-2024 13:09"/>
        <d v="2024-07-07T04:56:00Z"/>
        <s v="26-07-2024 17:46"/>
        <s v="30-06-2024 20:57"/>
        <d v="2024-02-07T09:16:00Z"/>
        <d v="2024-07-07T10:32:00Z"/>
        <s v="24-07-2024 08:49"/>
        <d v="2024-11-08T18:41:00Z"/>
        <s v="23-07-2024 09:29"/>
        <s v="24-07-2024 00:38"/>
        <s v="28-08-2024 14:01"/>
        <d v="2024-07-08T09:36:00Z"/>
        <d v="2024-10-08T05:23:00Z"/>
        <d v="2024-08-07T09:22:00Z"/>
        <d v="2024-06-07T02:55:00Z"/>
        <d v="2024-11-07T03:47:00Z"/>
        <s v="30-07-2024 12:53"/>
        <s v="24-08-2024 05:08"/>
        <d v="2024-09-08T03:54:00Z"/>
        <d v="2024-10-07T01:36:00Z"/>
        <s v="18-08-2024 10:27"/>
        <d v="2024-12-08T11:08:00Z"/>
        <s v="31-07-2024 11:07"/>
        <d v="2024-10-07T10:15:00Z"/>
        <s v="24-07-2024 07:52"/>
        <s v="26-07-2024 04:07"/>
        <s v="17-07-2024 05:00"/>
        <s v="22-07-2024 14:32"/>
        <s v="19-08-2024 15:58"/>
        <d v="2024-10-07T09:36:00Z"/>
        <d v="2024-03-08T14:06:00Z"/>
        <d v="2024-04-07T19:24:00Z"/>
        <s v="20-08-2024 14:34"/>
        <s v="19-07-2024 17:58"/>
        <s v="15-07-2024 17:15"/>
        <s v="22-08-2024 06:17"/>
        <s v="31-07-2024 07:15"/>
        <s v="18-07-2024 09:39"/>
        <d v="2024-07-08T13:28:00Z"/>
        <s v="18-08-2024 01:30"/>
        <d v="2024-11-07T18:06:00Z"/>
        <d v="2024-02-08T00:36:00Z"/>
        <s v="13-07-2024 20:58"/>
        <s v="21-08-2024 12:02"/>
        <d v="2024-10-08T23:53:00Z"/>
        <d v="2024-11-08T12:46:00Z"/>
        <d v="2024-02-08T01:07:00Z"/>
        <d v="2024-02-07T17:05:00Z"/>
        <s v="25-08-2024 04:52"/>
        <d v="2024-08-08T19:34:00Z"/>
        <s v="15-07-2024 00:13"/>
        <s v="19-07-2024 09:51"/>
        <s v="25-07-2024 05:56"/>
        <d v="2024-10-08T06:17:00Z"/>
        <s v="30-07-2024 16:07"/>
        <d v="2024-03-07T02:50:00Z"/>
        <s v="24-07-2024 22:23"/>
        <s v="30-06-2024 23:38"/>
        <d v="2024-10-07T08:55:00Z"/>
        <s v="30-06-2024 16:20"/>
        <d v="2024-12-08T07:18:00Z"/>
        <d v="2024-04-07T17:08:00Z"/>
        <d v="2024-04-08T06:46:00Z"/>
        <d v="2024-11-08T17:32:00Z"/>
        <d v="2024-11-07T11:04:00Z"/>
        <d v="2024-01-07T20:11:00Z"/>
        <s v="23-07-2024 23:08"/>
        <s v="21-07-2024 10:44"/>
        <d v="2024-10-07T07:36:00Z"/>
        <d v="2024-05-07T19:28:00Z"/>
        <d v="2024-03-07T20:09:00Z"/>
        <d v="2024-12-07T16:20:00Z"/>
        <d v="2024-07-08T05:28:00Z"/>
        <s v="13-08-2024 18:52"/>
        <s v="27-08-2024 19:10"/>
        <s v="20-08-2024 13:43"/>
        <d v="2024-11-08T22:13:00Z"/>
        <s v="17-08-2024 23:06"/>
        <s v="19-07-2024 16:25"/>
        <s v="26-08-2024 17:40"/>
        <s v="13-08-2024 16:10"/>
        <d v="2024-05-08T12:29:00Z"/>
        <s v="22-08-2024 08:26"/>
        <s v="25-08-2024 21:11"/>
        <d v="2024-05-07T07:36:00Z"/>
        <s v="25-07-2024 16:50"/>
        <s v="21-08-2024 01:51"/>
        <s v="15-07-2024 12:30"/>
        <d v="2024-01-08T05:07:00Z"/>
        <d v="2024-05-07T23:57:00Z"/>
        <s v="22-07-2024 12:33"/>
        <d v="2024-12-07T18:26:00Z"/>
        <d v="2024-07-08T13:32:00Z"/>
        <s v="23-07-2024 09:42"/>
        <s v="14-07-2024 13:26"/>
        <s v="27-08-2024 13:42"/>
        <d v="2024-07-08T15:32:00Z"/>
        <d v="2024-07-08T09:39:00Z"/>
        <d v="2024-05-07T16:26:00Z"/>
        <s v="16-07-2024 18:18"/>
        <d v="2024-10-08T05:42:00Z"/>
        <s v="17-08-2024 16:07"/>
        <d v="2024-11-07T03:42:00Z"/>
        <s v="28-08-2024 17:08"/>
        <s v="31-07-2024 21:15"/>
        <s v="20-07-2024 14:35"/>
        <d v="2024-08-07T02:20:00Z"/>
        <s v="18-08-2024 04:13"/>
        <d v="2024-06-07T00:15:00Z"/>
        <d v="2024-01-08T11:19:00Z"/>
        <s v="29-08-2024 00:04"/>
        <s v="24-07-2024 06:00"/>
        <s v="13-08-2024 05:19"/>
        <s v="29-08-2024 01:57"/>
        <s v="13-08-2024 07:22"/>
        <d v="2024-11-07T02:34:00Z"/>
        <s v="20-07-2024 22:19"/>
        <d v="2024-12-08T21:46:00Z"/>
        <s v="30-06-2024 17:08"/>
        <s v="15-07-2024 14:32"/>
        <d v="2024-02-07T23:29:00Z"/>
        <s v="28-08-2024 12:31"/>
        <d v="2024-02-07T19:13:00Z"/>
        <s v="25-08-2024 21:15"/>
        <d v="2024-01-08T04:26:00Z"/>
        <d v="2024-10-07T23:29:00Z"/>
        <d v="2024-03-07T11:56:00Z"/>
        <d v="2024-08-07T17:07:00Z"/>
        <d v="2024-11-08T15:12:00Z"/>
        <s v="16-08-2024 10:02"/>
        <d v="2024-12-07T22:56:00Z"/>
        <s v="28-07-2024 19:01"/>
        <d v="2024-09-08T02:43:00Z"/>
        <s v="14-08-2024 18:02"/>
        <s v="16-07-2024 22:05"/>
        <s v="25-07-2024 12:01"/>
        <s v="25-08-2024 02:41"/>
        <d v="2024-07-07T19:48:00Z"/>
        <s v="29-07-2024 07:48"/>
        <s v="19-08-2024 20:36"/>
        <s v="15-07-2024 17:28"/>
        <d v="2024-02-07T07:10:00Z"/>
        <d v="2024-03-07T04:12:00Z"/>
        <s v="25-08-2024 14:55"/>
        <s v="29-08-2024 08:40"/>
        <d v="2024-05-08T14:21:00Z"/>
        <d v="2024-11-08T19:32:00Z"/>
        <s v="21-08-2024 01:17"/>
        <s v="27-08-2024 18:42"/>
        <s v="20-07-2024 22:58"/>
        <d v="2024-07-08T21:33:00Z"/>
        <d v="2024-10-07T00:12:00Z"/>
        <s v="20-07-2024 09:48"/>
        <s v="20-08-2024 16:06"/>
        <s v="25-08-2024 13:28"/>
        <s v="21-07-2024 00:55"/>
        <s v="13-07-2024 09:07"/>
        <d v="2024-02-08T18:25:00Z"/>
        <s v="21-07-2024 20:22"/>
        <d v="2024-07-08T01:36:00Z"/>
        <s v="21-08-2024 09:54"/>
        <d v="2024-10-08T20:25:00Z"/>
        <d v="2024-04-08T05:25:00Z"/>
        <d v="2024-11-07T20:54:00Z"/>
        <s v="17-08-2024 17:54"/>
        <d v="2024-03-07T22:36:00Z"/>
        <s v="16-07-2024 22:56"/>
        <d v="2024-06-08T10:40:00Z"/>
        <s v="22-08-2024 09:50"/>
        <s v="28-08-2024 01:26"/>
        <s v="27-08-2024 16:01"/>
        <d v="2024-12-07T01:15:00Z"/>
        <d v="2024-12-08T21:13:00Z"/>
        <s v="19-07-2024 14:48"/>
        <s v="19-07-2024 09:44"/>
        <s v="28-08-2024 19:12"/>
        <d v="2024-06-08T09:33:00Z"/>
        <s v="28-07-2024 02:35"/>
        <s v="24-07-2024 09:05"/>
        <s v="17-07-2024 13:03"/>
        <s v="15-07-2024 04:09"/>
        <s v="13-08-2024 15:21"/>
        <s v="20-07-2024 11:27"/>
        <s v="16-08-2024 15:54"/>
        <d v="2024-07-07T15:53:00Z"/>
        <s v="24-07-2024 07:23"/>
        <s v="17-08-2024 02:34"/>
        <d v="2024-04-07T02:25:00Z"/>
        <d v="2024-03-07T15:25:00Z"/>
        <s v="31-07-2024 06:14"/>
        <s v="13-07-2024 06:12"/>
        <s v="29-07-2024 12:33"/>
        <s v="29-07-2024 02:21"/>
        <s v="23-07-2024 07:44"/>
        <s v="30-07-2024 21:13"/>
        <s v="20-07-2024 00:10"/>
        <s v="18-08-2024 22:57"/>
        <s v="24-07-2024 18:15"/>
        <s v="27-08-2024 07:47"/>
        <s v="30-07-2024 06:59"/>
        <d v="2024-08-08T11:47:00Z"/>
        <s v="14-07-2024 15:04"/>
        <d v="2024-01-07T10:58:00Z"/>
        <m/>
      </sharedItems>
    </cacheField>
    <cacheField name="Usage End Date">
      <sharedItems containsDate="1" containsBlank="1" containsMixedTypes="1">
        <d v="2024-07-08T06:54:00Z"/>
        <s v="25-08-2024 07:26"/>
        <s v="22-07-2024 00:45"/>
        <s v="21-07-2024 10:16"/>
        <s v="25-08-2024 00:21"/>
        <s v="20-07-2024 05:55"/>
        <s v="25-08-2024 11:08"/>
        <s v="22-08-2024 14:58"/>
        <s v="14-07-2024 04:02"/>
        <d v="2024-10-07T21:26:00Z"/>
        <d v="2024-12-07T21:15:00Z"/>
        <s v="18-08-2024 00:25"/>
        <s v="22-07-2024 13:56"/>
        <s v="20-07-2024 21:28"/>
        <d v="2024-08-07T06:34:00Z"/>
        <s v="24-08-2024 05:27"/>
        <s v="31-08-2024 12:24"/>
        <d v="2024-09-07T13:46:00Z"/>
        <s v="29-08-2024 17:30"/>
        <d v="2024-11-07T01:58:00Z"/>
        <s v="21-08-2024 09:41"/>
        <s v="22-07-2024 08:13"/>
        <d v="2024-09-08T08:02:00Z"/>
        <s v="19-08-2024 18:27"/>
        <s v="17-07-2024 02:28"/>
        <s v="29-08-2024 07:02"/>
        <s v="29-08-2024 04:27"/>
        <d v="2024-04-07T21:24:00Z"/>
        <s v="15-08-2024 11:52"/>
        <s v="28-08-2024 05:23"/>
        <s v="19-08-2024 13:19"/>
        <s v="31-08-2024 13:07"/>
        <d v="2024-05-07T16:16:00Z"/>
        <s v="16-07-2024 23:28"/>
        <d v="2024-12-07T02:51:00Z"/>
        <s v="30-07-2024 14:04"/>
        <s v="18-07-2024 20:13"/>
        <s v="21-08-2024 12:08"/>
        <d v="2024-08-08T00:16:00Z"/>
        <s v="25-08-2024 23:47"/>
        <s v="24-07-2024 05:06"/>
        <s v="14-07-2024 00:48"/>
        <s v="22-08-2024 20:06"/>
        <d v="2024-03-08T16:36:00Z"/>
        <d v="2024-06-08T02:35:00Z"/>
        <s v="22-07-2024 15:42"/>
        <d v="2024-08-07T10:05:00Z"/>
        <s v="14-07-2024 20:22"/>
        <d v="2024-04-07T01:47:00Z"/>
        <s v="16-08-2024 16:17"/>
        <s v="17-07-2024 01:48"/>
        <s v="20-08-2024 03:38"/>
        <s v="14-08-2024 01:08"/>
        <d v="2024-09-07T18:12:00Z"/>
        <s v="29-07-2024 02:07"/>
        <s v="19-08-2024 14:12"/>
        <d v="2024-11-07T07:37:00Z"/>
        <d v="2024-08-07T02:20:00Z"/>
        <d v="2024-06-08T22:53:00Z"/>
        <d v="2024-09-07T12:26:00Z"/>
        <d v="2024-09-07T21:19:00Z"/>
        <d v="2024-04-08T05:04:00Z"/>
        <s v="21-08-2024 03:45"/>
        <s v="24-07-2024 08:12"/>
        <d v="2024-05-08T17:38:00Z"/>
        <s v="22-07-2024 15:33"/>
        <d v="2024-06-07T07:09:00Z"/>
        <d v="2024-03-08T08:55:00Z"/>
        <s v="28-08-2024 22:58"/>
        <d v="2024-12-07T02:04:00Z"/>
        <d v="2024-12-07T07:22:00Z"/>
        <s v="17-08-2024 00:54"/>
        <s v="22-08-2024 03:54"/>
        <d v="2024-07-08T07:29:00Z"/>
        <s v="21-07-2024 00:30"/>
        <d v="2024-02-09T23:21:00Z"/>
        <s v="15-08-2024 22:18"/>
        <s v="13-07-2024 06:46"/>
        <s v="20-07-2024 09:14"/>
        <s v="28-07-2024 22:08"/>
        <d v="2024-08-08T22:03:00Z"/>
        <d v="2024-09-07T09:33:00Z"/>
        <s v="23-07-2024 02:49"/>
        <s v="23-07-2024 00:45"/>
        <s v="29-07-2024 13:39"/>
        <d v="2024-11-07T11:10:00Z"/>
        <s v="21-08-2024 09:03"/>
        <s v="14-08-2024 20:36"/>
        <d v="2024-07-07T02:27:00Z"/>
        <d v="2024-09-08T07:34:00Z"/>
        <s v="17-08-2024 14:38"/>
        <s v="30-07-2024 01:45"/>
        <s v="14-07-2024 02:52"/>
        <s v="26-08-2024 10:28"/>
        <s v="16-08-2024 00:43"/>
        <d v="2024-06-07T01:13:00Z"/>
        <s v="24-08-2024 15:19"/>
        <d v="2024-04-07T08:35:00Z"/>
        <s v="18-08-2024 13:32"/>
        <d v="2024-01-08T14:18:00Z"/>
        <s v="31-08-2024 23:33"/>
        <s v="23-07-2024 05:49"/>
        <s v="28-07-2024 21:25"/>
        <s v="29-08-2024 06:12"/>
        <d v="2024-05-08T08:45:00Z"/>
        <d v="2024-05-07T10:35:00Z"/>
        <s v="24-08-2024 10:23"/>
        <s v="29-07-2024 19:20"/>
        <s v="17-07-2024 10:00"/>
        <d v="2024-08-07T06:45:00Z"/>
        <s v="29-07-2024 01:37"/>
        <s v="29-07-2024 05:57"/>
        <s v="28-07-2024 08:06"/>
        <d v="2024-02-09T18:36:00Z"/>
        <d v="2024-06-08T16:14:00Z"/>
        <d v="2024-11-08T02:52:00Z"/>
        <d v="2024-11-07T23:44:00Z"/>
        <s v="27-07-2024 06:58"/>
        <s v="29-07-2024 14:50"/>
        <s v="29-07-2024 05:13"/>
        <s v="23-08-2024 23:24"/>
        <s v="21-07-2024 15:03"/>
        <s v="26-08-2024 11:51"/>
        <d v="2024-03-08T01:29:00Z"/>
        <s v="23-08-2024 08:24"/>
        <s v="25-07-2024 11:33"/>
        <d v="2024-10-07T10:18:00Z"/>
        <d v="2024-01-08T01:44:00Z"/>
        <s v="26-07-2024 18:33"/>
        <s v="24-08-2024 04:46"/>
        <s v="23-08-2024 14:10"/>
        <s v="19-07-2024 23:33"/>
        <s v="29-08-2024 21:48"/>
        <d v="2024-08-08T11:15:00Z"/>
        <s v="14-08-2024 04:26"/>
        <s v="23-07-2024 12:48"/>
        <d v="2024-06-08T03:48:00Z"/>
        <s v="17-08-2024 21:24"/>
        <s v="21-07-2024 16:48"/>
        <s v="25-08-2024 01:31"/>
        <s v="20-08-2024 02:51"/>
        <s v="28-08-2024 13:59"/>
        <s v="22-07-2024 00:58"/>
        <s v="21-07-2024 17:46"/>
        <s v="18-08-2024 05:38"/>
        <d v="2024-04-08T10:09:00Z"/>
        <d v="2024-02-08T16:09:00Z"/>
        <d v="2024-06-08T19:21:00Z"/>
        <s v="30-08-2024 11:05"/>
        <d v="2024-12-08T01:49:00Z"/>
        <s v="29-07-2024 03:30"/>
        <d v="2024-03-08T21:48:00Z"/>
        <s v="16-07-2024 21:20"/>
        <s v="31-07-2024 03:59"/>
        <d v="2024-11-08T05:18:00Z"/>
        <s v="29-07-2024 08:14"/>
        <s v="16-07-2024 14:18"/>
        <d v="2024-08-07T22:22:00Z"/>
        <s v="18-08-2024 04:13"/>
        <d v="2024-10-07T13:01:00Z"/>
        <s v="26-07-2024 00:32"/>
        <s v="18-08-2024 15:06"/>
        <d v="2024-06-07T02:16:00Z"/>
        <d v="2024-10-08T06:43:00Z"/>
        <s v="21-07-2024 09:36"/>
        <s v="21-08-2024 19:17"/>
        <s v="13-07-2024 21:00"/>
        <s v="15-08-2024 17:23"/>
        <d v="2024-05-08T20:48:00Z"/>
        <s v="24-08-2024 03:20"/>
        <d v="2024-12-08T11:58:00Z"/>
        <s v="17-08-2024 03:15"/>
        <s v="22-07-2024 06:12"/>
        <d v="2024-10-08T14:03:00Z"/>
        <d v="2024-06-07T18:20:00Z"/>
        <s v="18-07-2024 19:06"/>
        <s v="20-07-2024 10:09"/>
        <s v="19-08-2024 22:10"/>
        <s v="22-08-2024 02:54"/>
        <s v="31-07-2024 15:06"/>
        <s v="13-07-2024 07:33"/>
        <d v="2024-08-08T10:08:00Z"/>
        <s v="16-08-2024 01:22"/>
        <d v="2024-05-08T21:54:00Z"/>
        <s v="18-08-2024 10:41"/>
        <d v="2024-08-08T12:30:00Z"/>
        <d v="2024-03-08T16:32:00Z"/>
        <s v="27-07-2024 13:03"/>
        <s v="19-08-2024 03:05"/>
        <s v="22-08-2024 23:13"/>
        <d v="2024-02-07T20:24:00Z"/>
        <s v="26-07-2024 09:54"/>
        <d v="2024-04-07T07:48:00Z"/>
        <s v="31-08-2024 10:09"/>
        <d v="2024-05-07T22:14:00Z"/>
        <s v="18-08-2024 04:45"/>
        <s v="18-08-2024 05:25"/>
        <d v="2024-05-08T17:53:00Z"/>
        <s v="22-08-2024 21:48"/>
        <d v="2024-10-07T08:09:00Z"/>
        <d v="2024-09-07T22:23:00Z"/>
        <s v="19-08-2024 08:05"/>
        <s v="24-07-2024 13:53"/>
        <d v="2024-10-07T08:51:00Z"/>
        <s v="23-08-2024 03:33"/>
        <s v="18-07-2024 04:54"/>
        <s v="15-07-2024 14:47"/>
        <s v="15-08-2024 10:22"/>
        <s v="13-08-2024 05:25"/>
        <s v="19-07-2024 10:47"/>
        <s v="25-08-2024 07:54"/>
        <s v="27-07-2024 00:30"/>
        <s v="27-07-2024 15:18"/>
        <s v="17-08-2024 08:35"/>
        <d v="2024-07-08T13:00:00Z"/>
        <s v="31-08-2024 20:02"/>
        <s v="16-08-2024 02:29"/>
        <s v="24-07-2024 22:06"/>
        <d v="2024-05-07T20:30:00Z"/>
        <s v="24-07-2024 16:37"/>
        <s v="29-07-2024 22:13"/>
        <s v="27-07-2024 18:29"/>
        <s v="27-08-2024 20:39"/>
        <d v="2024-12-07T01:05:00Z"/>
        <s v="23-07-2024 13:10"/>
        <d v="2024-05-08T15:16:00Z"/>
        <d v="2024-12-08T18:25:00Z"/>
        <d v="2024-05-08T12:42:00Z"/>
        <s v="21-07-2024 12:21"/>
        <d v="2024-05-08T23:00:00Z"/>
        <d v="2024-10-08T00:44:00Z"/>
        <s v="21-07-2024 14:14"/>
        <s v="15-07-2024 02:39"/>
        <s v="26-07-2024 21:50"/>
        <s v="16-08-2024 19:00"/>
        <s v="19-07-2024 20:27"/>
        <s v="24-08-2024 06:45"/>
        <s v="27-07-2024 13:20"/>
        <s v="25-08-2024 17:34"/>
        <d v="2024-10-07T15:26:00Z"/>
        <s v="14-08-2024 09:13"/>
        <d v="2024-09-07T21:24:00Z"/>
        <s v="17-07-2024 18:23"/>
        <d v="2024-10-08T04:45:00Z"/>
        <s v="20-07-2024 01:41"/>
        <d v="2024-09-08T15:21:00Z"/>
        <s v="13-08-2024 14:54"/>
        <d v="2024-07-08T20:19:00Z"/>
        <d v="2024-07-08T16:37:00Z"/>
        <d v="2024-05-08T08:21:00Z"/>
        <s v="16-07-2024 11:22"/>
        <d v="2024-07-07T23:32:00Z"/>
        <s v="19-07-2024 04:02"/>
        <d v="2024-09-07T02:52:00Z"/>
        <s v="25-08-2024 14:30"/>
        <s v="28-07-2024 02:16"/>
        <s v="26-08-2024 04:31"/>
        <d v="2024-09-08T08:23:00Z"/>
        <d v="2024-11-08T19:58:00Z"/>
        <s v="24-07-2024 01:50"/>
        <s v="19-08-2024 08:52"/>
        <s v="20-08-2024 02:23"/>
        <d v="2024-01-08T07:45:00Z"/>
        <s v="22-08-2024 07:32"/>
        <d v="2024-03-08T23:54:00Z"/>
        <d v="2024-10-07T19:51:00Z"/>
        <s v="26-07-2024 08:09"/>
        <d v="2024-12-07T11:48:00Z"/>
        <d v="2024-01-08T02:20:00Z"/>
        <s v="19-07-2024 09:41"/>
        <s v="25-07-2024 17:08"/>
        <s v="20-07-2024 09:15"/>
        <d v="2024-09-08T08:19:00Z"/>
        <d v="2024-08-07T06:09:00Z"/>
        <s v="17-07-2024 22:58"/>
        <d v="2024-02-09T05:10:00Z"/>
        <d v="2024-04-07T13:25:00Z"/>
        <s v="31-08-2024 07:31"/>
        <s v="17-07-2024 11:43"/>
        <s v="30-08-2024 07:14"/>
        <s v="27-07-2024 11:12"/>
        <d v="2024-06-07T07:24:00Z"/>
        <s v="31-08-2024 05:01"/>
        <s v="17-07-2024 00:42"/>
        <d v="2024-10-08T13:13:00Z"/>
        <s v="14-07-2024 23:33"/>
        <s v="25-07-2024 03:22"/>
        <d v="2024-08-08T14:03:00Z"/>
        <s v="15-07-2024 07:54"/>
        <s v="22-07-2024 17:52"/>
        <d v="2024-12-07T10:07:00Z"/>
        <s v="24-07-2024 07:49"/>
        <d v="2024-02-08T11:18:00Z"/>
        <d v="2024-10-08T15:48:00Z"/>
        <s v="28-07-2024 19:12"/>
        <s v="29-07-2024 12:17"/>
        <d v="2024-11-07T03:10:00Z"/>
        <s v="20-08-2024 21:26"/>
        <s v="31-08-2024 06:47"/>
        <d v="2024-08-08T05:54:00Z"/>
        <s v="31-07-2024 19:10"/>
        <d v="2024-03-09T14:19:00Z"/>
        <d v="2024-12-07T06:23:00Z"/>
        <s v="17-08-2024 05:40"/>
        <s v="29-07-2024 09:29"/>
        <s v="31-07-2024 14:19"/>
        <s v="29-08-2024 21:42"/>
        <d v="2024-08-07T18:52:00Z"/>
        <s v="14-07-2024 03:04"/>
        <s v="25-07-2024 12:07"/>
        <s v="30-07-2024 15:50"/>
        <s v="20-07-2024 23:16"/>
        <d v="2024-07-07T19:42:00Z"/>
        <d v="2024-07-08T04:02:00Z"/>
        <s v="13-08-2024 13:11"/>
        <d v="2024-08-08T16:29:00Z"/>
        <d v="2024-07-07T12:29:00Z"/>
        <s v="20-07-2024 23:15"/>
        <s v="18-08-2024 15:53"/>
        <s v="23-07-2024 02:34"/>
        <d v="2024-11-08T02:55:00Z"/>
        <s v="21-08-2024 08:36"/>
        <d v="2024-10-07T08:40:00Z"/>
        <s v="13-07-2024 19:55"/>
        <s v="15-08-2024 17:33"/>
        <d v="2024-04-08T07:53:00Z"/>
        <d v="2024-07-08T13:35:00Z"/>
        <d v="2024-06-08T16:56:00Z"/>
        <d v="2024-05-08T01:48:00Z"/>
        <s v="18-07-2024 22:16"/>
        <d v="2024-05-08T18:34:00Z"/>
        <s v="15-07-2024 14:37"/>
        <d v="2024-07-08T06:15:00Z"/>
        <d v="2024-12-08T10:53:00Z"/>
        <d v="2024-11-07T03:29:00Z"/>
        <d v="2024-02-08T12:34:00Z"/>
        <d v="2024-06-07T15:44:00Z"/>
        <s v="20-08-2024 10:05"/>
        <s v="20-07-2024 20:33"/>
        <d v="2024-10-07T14:12:00Z"/>
        <d v="2024-11-07T15:10:00Z"/>
        <s v="24-08-2024 05:01"/>
        <s v="19-07-2024 16:51"/>
        <s v="27-07-2024 20:28"/>
        <s v="24-08-2024 22:25"/>
        <s v="13-07-2024 07:03"/>
        <d v="2024-04-08T01:47:00Z"/>
        <s v="15-07-2024 01:13"/>
        <s v="24-07-2024 11:51"/>
        <s v="19-07-2024 09:24"/>
        <s v="13-07-2024 05:15"/>
        <s v="16-08-2024 22:59"/>
        <s v="16-08-2024 20:33"/>
        <s v="28-08-2024 01:49"/>
        <s v="22-07-2024 08:06"/>
        <s v="23-08-2024 20:21"/>
        <d v="2024-04-07T17:05:00Z"/>
        <s v="15-08-2024 21:43"/>
        <d v="2024-12-08T00:52:00Z"/>
        <s v="28-08-2024 03:36"/>
        <s v="14-08-2024 00:46"/>
        <s v="26-07-2024 14:05"/>
        <s v="31-07-2024 11:41"/>
        <s v="31-07-2024 08:03"/>
        <s v="25-08-2024 05:02"/>
        <d v="2024-07-08T01:48:00Z"/>
        <s v="24-07-2024 09:22"/>
        <s v="13-07-2024 07:15"/>
        <s v="21-08-2024 03:26"/>
        <d v="2024-09-08T06:49:00Z"/>
        <s v="21-07-2024 13:41"/>
        <s v="24-07-2024 02:17"/>
        <s v="23-07-2024 18:10"/>
        <s v="27-08-2024 13:25"/>
        <s v="20-08-2024 09:01"/>
        <s v="13-07-2024 14:31"/>
        <d v="2024-06-08T05:33:00Z"/>
        <s v="28-08-2024 15:22"/>
        <s v="24-08-2024 04:28"/>
        <s v="19-08-2024 23:33"/>
        <s v="24-08-2024 14:17"/>
        <s v="19-08-2024 23:57"/>
        <d v="2024-06-07T11:07:00Z"/>
        <s v="20-08-2024 10:08"/>
        <d v="2024-04-08T13:19:00Z"/>
        <s v="26-07-2024 17:56"/>
        <s v="30-07-2024 03:18"/>
        <s v="24-08-2024 23:50"/>
        <s v="23-08-2024 13:12"/>
        <d v="2024-01-09T13:57:00Z"/>
        <s v="16-07-2024 10:06"/>
        <s v="24-07-2024 11:02"/>
        <s v="17-07-2024 18:48"/>
        <d v="2024-12-08T04:40:00Z"/>
        <d v="2024-06-08T12:24:00Z"/>
        <s v="22-08-2024 10:09"/>
        <s v="30-07-2024 22:04"/>
        <s v="22-07-2024 05:34"/>
        <s v="13-08-2024 08:26"/>
        <s v="24-07-2024 03:49"/>
        <d v="2024-12-07T05:03:00Z"/>
        <s v="27-08-2024 12:23"/>
        <s v="28-07-2024 10:57"/>
        <s v="26-08-2024 20:19"/>
        <s v="20-07-2024 17:50"/>
        <s v="14-07-2024 13:09"/>
        <s v="21-07-2024 08:41"/>
        <s v="19-07-2024 23:46"/>
        <s v="25-08-2024 17:27"/>
        <s v="14-07-2024 23:19"/>
        <s v="19-08-2024 16:28"/>
        <d v="2024-04-08T16:19:00Z"/>
        <d v="2024-02-08T05:39:00Z"/>
        <d v="2024-02-07T14:33:00Z"/>
        <s v="18-08-2024 15:45"/>
        <s v="24-07-2024 00:15"/>
        <s v="13-07-2024 10:33"/>
        <d v="2024-07-07T11:41:00Z"/>
        <s v="22-07-2024 07:00"/>
        <d v="2024-11-08T21:32:00Z"/>
        <d v="2024-02-08T01:50:00Z"/>
        <d v="2024-02-08T03:18:00Z"/>
        <s v="30-08-2024 05:36"/>
        <d v="2024-12-07T12:33:00Z"/>
        <d v="2024-10-07T21:20:00Z"/>
        <s v="28-07-2024 05:06"/>
        <d v="2024-07-07T07:17:00Z"/>
        <d v="2024-05-08T13:49:00Z"/>
        <d v="2024-07-07T19:49:00Z"/>
        <d v="2024-03-08T07:56:00Z"/>
        <d v="2024-08-08T18:04:00Z"/>
        <d v="2024-09-08T01:43:00Z"/>
        <s v="16-08-2024 19:28"/>
        <s v="14-08-2024 18:16"/>
        <d v="2024-06-08T13:35:00Z"/>
        <s v="14-08-2024 03:46"/>
        <s v="14-08-2024 12:05"/>
        <d v="2024-09-07T22:12:00Z"/>
        <s v="28-08-2024 12:21"/>
        <s v="17-08-2024 00:57"/>
        <s v="28-07-2024 21:36"/>
        <s v="24-08-2024 04:52"/>
        <d v="2024-08-08T03:38:00Z"/>
        <d v="2024-07-07T03:42:00Z"/>
        <d v="2024-08-07T15:53:00Z"/>
        <d v="2024-08-08T16:32:00Z"/>
        <d v="2024-09-07T10:25:00Z"/>
        <s v="25-08-2024 21:08"/>
        <s v="23-07-2024 12:11"/>
        <d v="2024-05-07T04:10:00Z"/>
        <d v="2024-03-07T12:43:00Z"/>
        <s v="25-07-2024 15:00"/>
        <s v="22-08-2024 15:55"/>
        <s v="31-07-2024 20:45"/>
        <s v="28-08-2024 19:51"/>
        <s v="13-07-2024 12:29"/>
        <d v="2024-08-08T13:38:00Z"/>
        <s v="28-08-2024 00:17"/>
        <s v="21-07-2024 17:58"/>
        <s v="14-08-2024 14:57"/>
        <s v="14-07-2024 02:00"/>
        <d v="2024-04-08T06:42:00Z"/>
        <d v="2024-11-07T20:24:00Z"/>
        <d v="2024-01-09T08:27:00Z"/>
        <s v="16-08-2024 07:20"/>
        <s v="30-07-2024 16:42"/>
        <s v="25-07-2024 06:36"/>
        <d v="2024-12-07T00:33:00Z"/>
        <s v="25-08-2024 12:57"/>
        <d v="2024-02-09T00:01:00Z"/>
        <s v="22-08-2024 09:51"/>
        <s v="21-07-2024 19:18"/>
        <s v="21-07-2024 18:02"/>
        <d v="2024-08-07T05:14:00Z"/>
        <s v="29-08-2024 08:49"/>
        <d v="2024-12-07T09:43:00Z"/>
        <d v="2024-11-08T15:41:00Z"/>
        <d v="2024-10-08T00:38:00Z"/>
        <s v="31-07-2024 06:20"/>
        <d v="2024-06-07T00:54:00Z"/>
        <d v="2024-05-08T05:28:00Z"/>
        <s v="22-07-2024 01:31"/>
        <d v="2024-11-07T08:02:00Z"/>
        <s v="30-07-2024 00:01"/>
        <s v="20-07-2024 10:35"/>
        <d v="2024-09-08T18:36:00Z"/>
        <s v="30-07-2024 00:43"/>
        <d v="2024-01-08T07:58:00Z"/>
        <d v="2024-05-07T10:19:00Z"/>
        <s v="20-07-2024 14:02"/>
        <s v="20-07-2024 13:54"/>
        <s v="24-08-2024 04:49"/>
        <d v="2024-03-08T05:58:00Z"/>
        <s v="26-08-2024 03:07"/>
        <s v="16-08-2024 15:12"/>
        <s v="31-08-2024 08:26"/>
        <d v="2024-11-07T05:33:00Z"/>
        <d v="2024-02-09T03:37:00Z"/>
        <s v="16-08-2024 16:21"/>
        <s v="28-08-2024 23:44"/>
        <d v="2024-12-08T02:34:00Z"/>
        <d v="2024-12-08T18:14:00Z"/>
        <s v="20-07-2024 10:47"/>
        <s v="17-07-2024 22:49"/>
        <s v="20-07-2024 11:17"/>
        <s v="13-07-2024 11:37"/>
        <s v="29-07-2024 11:48"/>
        <s v="27-07-2024 10:10"/>
        <d v="2024-12-07T22:52:00Z"/>
        <s v="19-08-2024 02:09"/>
        <s v="15-08-2024 04:16"/>
        <s v="24-08-2024 23:00"/>
        <d v="2024-11-08T14:47:00Z"/>
        <d v="2024-12-08T16:07:00Z"/>
        <s v="14-07-2024 13:50"/>
        <s v="14-07-2024 10:25"/>
        <s v="22-07-2024 06:14"/>
        <s v="31-08-2024 11:23"/>
        <s v="17-07-2024 21:10"/>
        <d v="2024-11-07T23:14:00Z"/>
        <s v="31-07-2024 16:07"/>
        <s v="19-08-2024 09:09"/>
        <d v="2024-02-09T17:58:00Z"/>
        <d v="2024-03-08T10:49:00Z"/>
        <d v="2024-11-07T10:11:00Z"/>
        <s v="24-07-2024 22:39"/>
        <d v="2024-09-08T14:42:00Z"/>
        <s v="14-08-2024 22:22"/>
        <s v="29-08-2024 02:59"/>
        <s v="17-08-2024 11:25"/>
        <d v="2024-12-07T07:00:00Z"/>
        <s v="27-08-2024 13:53"/>
        <d v="2024-07-08T16:03:00Z"/>
        <d v="2024-12-08T06:08:00Z"/>
        <d v="2024-10-07T00:01:00Z"/>
        <d v="2024-11-08T13:22:00Z"/>
        <s v="31-08-2024 18:56"/>
        <s v="16-08-2024 15:03"/>
        <s v="15-07-2024 15:34"/>
        <s v="24-08-2024 01:35"/>
        <d v="2024-08-08T06:08:00Z"/>
        <d v="2024-03-08T21:30:00Z"/>
        <s v="22-07-2024 02:36"/>
        <s v="22-07-2024 03:14"/>
        <d v="2024-06-07T21:17:00Z"/>
        <d v="2024-12-08T01:20:00Z"/>
        <s v="27-07-2024 12:22"/>
        <s v="19-08-2024 02:38"/>
        <s v="24-07-2024 02:13"/>
        <d v="2024-04-07T10:25:00Z"/>
        <s v="16-08-2024 17:34"/>
        <s v="31-07-2024 02:45"/>
        <d v="2024-07-07T00:02:00Z"/>
        <s v="16-08-2024 04:03"/>
        <s v="26-08-2024 08:27"/>
        <d v="2024-06-08T02:52:00Z"/>
        <s v="27-08-2024 09:11"/>
        <s v="31-07-2024 03:13"/>
        <d v="2024-12-08T04:56:00Z"/>
        <s v="20-08-2024 03:17"/>
        <s v="28-08-2024 23:18"/>
        <s v="24-07-2024 20:17"/>
        <s v="27-08-2024 20:12"/>
        <s v="20-08-2024 06:51"/>
        <d v="2024-11-07T17:42:00Z"/>
        <s v="29-08-2024 20:25"/>
        <s v="26-08-2024 08:18"/>
        <s v="13-07-2024 03:56"/>
        <d v="2024-09-07T08:16:00Z"/>
        <s v="15-08-2024 15:41"/>
        <s v="27-07-2024 00:02"/>
        <s v="13-08-2024 03:15"/>
        <s v="25-07-2024 23:19"/>
        <d v="2024-09-08T04:25:00Z"/>
        <s v="14-07-2024 01:49"/>
        <s v="27-07-2024 13:42"/>
        <s v="20-07-2024 17:16"/>
        <s v="31-08-2024 03:35"/>
        <s v="28-07-2024 18:04"/>
        <s v="27-08-2024 16:25"/>
        <s v="16-08-2024 20:52"/>
        <s v="25-08-2024 07:05"/>
        <s v="27-07-2024 15:34"/>
        <s v="21-08-2024 19:33"/>
        <d v="2024-03-08T06:37:00Z"/>
        <s v="23-08-2024 14:14"/>
        <s v="28-08-2024 16:45"/>
        <s v="18-07-2024 05:25"/>
        <d v="2024-08-08T15:59:00Z"/>
        <d v="2024-11-07T05:38:00Z"/>
        <d v="2024-12-07T03:46:00Z"/>
        <s v="23-08-2024 02:47"/>
        <d v="2024-11-08T00:09:00Z"/>
        <s v="27-08-2024 00:45"/>
        <d v="2024-03-07T20:45:00Z"/>
        <d v="2024-08-08T20:25:00Z"/>
        <d v="2024-02-09T20:36:00Z"/>
        <s v="26-07-2024 20:19"/>
        <s v="25-07-2024 04:10"/>
        <d v="2024-02-07T14:45:00Z"/>
        <s v="30-08-2024 01:17"/>
        <s v="15-07-2024 12:58"/>
        <d v="2024-04-08T00:33:00Z"/>
        <s v="21-07-2024 15:32"/>
        <s v="28-08-2024 23:08"/>
        <s v="14-08-2024 17:14"/>
        <s v="14-07-2024 07:54"/>
        <s v="29-07-2024 05:07"/>
        <s v="16-08-2024 02:18"/>
        <s v="26-07-2024 07:24"/>
        <d v="2024-05-07T07:28:00Z"/>
        <s v="30-07-2024 03:46"/>
        <s v="15-08-2024 11:44"/>
        <d v="2024-01-08T12:19:00Z"/>
        <d v="2024-05-07T13:15:00Z"/>
        <s v="14-08-2024 20:28"/>
        <d v="2024-12-08T00:18:00Z"/>
        <d v="2024-03-09T07:35:00Z"/>
        <s v="18-07-2024 10:41"/>
        <d v="2024-05-07T16:54:00Z"/>
        <d v="2024-07-07T20:21:00Z"/>
        <d v="2024-04-08T14:00:00Z"/>
        <s v="25-08-2024 04:18"/>
        <d v="2024-10-08T08:59:00Z"/>
        <d v="2024-01-08T02:52:00Z"/>
        <d v="2024-12-08T05:46:00Z"/>
        <s v="21-07-2024 09:30"/>
        <s v="26-07-2024 08:19"/>
        <d v="2024-11-08T23:25:00Z"/>
        <s v="15-08-2024 05:38"/>
        <d v="2024-11-07T04:11:00Z"/>
        <s v="15-07-2024 07:34"/>
        <d v="2024-07-07T19:51:00Z"/>
        <d v="2024-10-08T03:44:00Z"/>
        <s v="24-08-2024 14:09"/>
        <s v="28-07-2024 00:17"/>
        <s v="20-08-2024 20:51"/>
        <d v="2024-07-07T20:33:00Z"/>
        <d v="2024-12-08T04:45:00Z"/>
        <s v="15-07-2024 16:07"/>
        <s v="14-07-2024 06:12"/>
        <s v="23-07-2024 17:52"/>
        <s v="21-07-2024 15:14"/>
        <s v="15-07-2024 19:56"/>
        <d v="2024-04-07T02:55:00Z"/>
        <s v="14-08-2024 00:49"/>
        <d v="2024-01-09T20:33:00Z"/>
        <s v="26-07-2024 02:35"/>
        <s v="27-08-2024 04:10"/>
        <s v="22-07-2024 16:44"/>
        <s v="20-07-2024 10:43"/>
        <s v="19-08-2024 23:20"/>
        <s v="24-08-2024 11:22"/>
        <s v="26-08-2024 10:18"/>
        <s v="27-08-2024 06:06"/>
        <s v="23-08-2024 15:37"/>
        <d v="2024-11-08T20:47:00Z"/>
        <s v="22-07-2024 02:40"/>
        <s v="29-07-2024 20:56"/>
        <d v="2024-01-09T03:34:00Z"/>
        <s v="14-07-2024 12:33"/>
        <d v="2024-07-08T01:59:00Z"/>
        <s v="14-07-2024 08:27"/>
        <d v="2024-05-08T21:27:00Z"/>
        <s v="28-08-2024 11:03"/>
        <d v="2024-03-07T15:39:00Z"/>
        <d v="2024-11-07T03:18:00Z"/>
        <s v="20-08-2024 18:08"/>
        <s v="25-07-2024 20:19"/>
        <s v="27-07-2024 04:38"/>
        <s v="29-07-2024 02:41"/>
        <s v="29-08-2024 09:16"/>
        <s v="21-07-2024 14:50"/>
        <s v="16-08-2024 02:50"/>
        <d v="2024-05-07T22:48:00Z"/>
        <s v="14-07-2024 04:33"/>
        <s v="26-07-2024 00:26"/>
        <d v="2024-06-07T01:26:00Z"/>
        <s v="30-08-2024 14:25"/>
        <s v="24-08-2024 11:47"/>
        <s v="27-08-2024 21:14"/>
        <s v="22-07-2024 06:10"/>
        <s v="29-07-2024 03:58"/>
        <s v="17-07-2024 15:21"/>
        <d v="2024-06-07T21:32:00Z"/>
        <s v="23-08-2024 18:16"/>
        <d v="2024-03-08T12:06:00Z"/>
        <d v="2024-07-07T07:13:00Z"/>
        <s v="14-08-2024 18:01"/>
        <d v="2024-08-08T10:46:00Z"/>
        <d v="2024-03-08T08:06:00Z"/>
        <d v="2024-09-08T15:42:00Z"/>
        <s v="27-08-2024 16:32"/>
        <s v="23-07-2024 12:58"/>
        <d v="2024-12-07T19:01:00Z"/>
        <d v="2024-06-07T14:53:00Z"/>
        <d v="2024-09-08T13:23:00Z"/>
        <d v="2024-04-08T22:17:00Z"/>
        <s v="30-07-2024 20:00"/>
        <s v="29-07-2024 05:37"/>
        <s v="29-08-2024 15:31"/>
        <s v="16-07-2024 23:06"/>
        <s v="16-08-2024 10:47"/>
        <d v="2024-07-08T23:31:00Z"/>
        <s v="24-07-2024 11:07"/>
        <s v="17-07-2024 23:14"/>
        <d v="2024-10-07T02:51:00Z"/>
        <d v="2024-04-08T15:05:00Z"/>
        <s v="15-08-2024 20:25"/>
        <s v="18-07-2024 12:30"/>
        <s v="19-08-2024 10:20"/>
        <s v="14-07-2024 00:09"/>
        <d v="2024-05-07T11:51:00Z"/>
        <s v="20-07-2024 08:41"/>
        <s v="16-07-2024 07:59"/>
        <d v="2024-10-08T09:32:00Z"/>
        <s v="29-07-2024 04:45"/>
        <s v="22-08-2024 04:18"/>
        <d v="2024-04-07T16:28:00Z"/>
        <s v="28-07-2024 02:59"/>
        <s v="20-08-2024 23:03"/>
        <s v="17-08-2024 09:50"/>
        <d v="2024-10-07T11:08:00Z"/>
        <s v="20-07-2024 02:34"/>
        <s v="20-07-2024 13:48"/>
        <s v="25-07-2024 08:23"/>
        <s v="29-08-2024 14:51"/>
        <d v="2024-08-07T00:39:00Z"/>
        <d v="2024-12-07T07:36:00Z"/>
        <s v="16-07-2024 12:05"/>
        <s v="14-08-2024 13:38"/>
        <d v="2024-05-08T03:45:00Z"/>
        <s v="28-07-2024 14:09"/>
        <s v="18-07-2024 10:08"/>
        <s v="28-07-2024 07:07"/>
        <d v="2024-01-09T07:46:00Z"/>
        <s v="25-07-2024 01:02"/>
        <d v="2024-06-07T11:58:00Z"/>
        <s v="31-08-2024 02:48"/>
        <d v="2024-03-09T00:21:00Z"/>
        <s v="13-08-2024 08:27"/>
        <d v="2024-06-07T06:09:00Z"/>
        <s v="14-08-2024 16:49"/>
        <s v="17-08-2024 13:55"/>
        <s v="15-07-2024 02:01"/>
        <s v="19-08-2024 06:31"/>
        <s v="25-07-2024 20:22"/>
        <s v="14-07-2024 06:36"/>
        <d v="2024-11-07T16:23:00Z"/>
        <s v="13-07-2024 13:42"/>
        <s v="15-08-2024 11:45"/>
        <d v="2024-08-07T02:42:00Z"/>
        <s v="19-08-2024 20:23"/>
        <d v="2024-10-08T09:18:00Z"/>
        <d v="2024-09-07T12:05:00Z"/>
        <s v="19-08-2024 04:58"/>
        <s v="14-08-2024 00:00"/>
        <s v="22-07-2024 01:48"/>
        <s v="24-08-2024 16:04"/>
        <s v="19-07-2024 12:53"/>
        <s v="16-07-2024 06:44"/>
        <s v="26-08-2024 21:39"/>
        <d v="2024-05-08T04:17:00Z"/>
        <s v="25-07-2024 01:05"/>
        <s v="17-07-2024 17:56"/>
        <d v="2024-08-07T19:27:00Z"/>
        <d v="2024-08-07T09:23:00Z"/>
        <d v="2024-11-08T03:35:00Z"/>
        <d v="2024-03-08T20:15:00Z"/>
        <s v="30-07-2024 06:54"/>
        <s v="15-08-2024 03:59"/>
        <s v="20-07-2024 15:12"/>
        <s v="13-07-2024 22:38"/>
        <d v="2024-10-08T01:25:00Z"/>
        <s v="31-07-2024 07:00"/>
        <s v="16-07-2024 19:11"/>
        <s v="14-07-2024 03:06"/>
        <s v="24-07-2024 09:02"/>
        <s v="31-07-2024 05:49"/>
        <s v="29-07-2024 07:58"/>
        <d v="2024-08-07T01:35:00Z"/>
        <s v="29-08-2024 06:37"/>
        <s v="14-08-2024 11:40"/>
        <s v="20-07-2024 16:41"/>
        <d v="2024-11-07T07:22:00Z"/>
        <s v="19-08-2024 14:52"/>
        <s v="17-07-2024 20:43"/>
        <s v="16-08-2024 11:42"/>
        <s v="15-07-2024 05:46"/>
        <d v="2024-06-07T22:46:00Z"/>
        <d v="2024-11-07T02:10:00Z"/>
        <s v="13-07-2024 03:52"/>
        <s v="17-08-2024 15:50"/>
        <d v="2024-12-07T05:15:00Z"/>
        <s v="29-07-2024 18:04"/>
        <d v="2024-05-07T05:07:00Z"/>
        <d v="2024-07-07T09:25:00Z"/>
        <s v="13-07-2024 01:12"/>
        <s v="20-08-2024 10:45"/>
        <s v="29-07-2024 02:06"/>
        <s v="16-08-2024 17:05"/>
        <s v="26-07-2024 19:32"/>
        <s v="27-07-2024 19:37"/>
        <s v="29-08-2024 23:33"/>
        <d v="2024-12-08T06:28:00Z"/>
        <s v="15-08-2024 09:52"/>
        <d v="2024-10-07T08:03:00Z"/>
        <d v="2024-07-07T12:26:00Z"/>
        <s v="14-07-2024 07:47"/>
        <d v="2024-05-08T01:02:00Z"/>
        <s v="26-08-2024 14:17"/>
        <s v="14-08-2024 06:54"/>
        <d v="2024-11-07T09:55:00Z"/>
        <s v="22-08-2024 07:34"/>
        <s v="16-08-2024 11:40"/>
        <d v="2024-01-08T12:23:00Z"/>
        <s v="13-07-2024 23:54"/>
        <s v="28-07-2024 18:24"/>
        <s v="30-07-2024 21:28"/>
        <s v="22-07-2024 03:23"/>
        <s v="26-07-2024 11:34"/>
        <s v="21-08-2024 21:00"/>
        <d v="2024-11-07T13:39:00Z"/>
        <d v="2024-05-08T04:14:00Z"/>
        <d v="2024-06-07T21:39:00Z"/>
        <s v="23-08-2024 01:26"/>
        <s v="23-07-2024 21:31"/>
        <s v="18-07-2024 09:15"/>
        <s v="27-08-2024 20:30"/>
        <d v="2024-02-08T02:28:00Z"/>
        <s v="19-08-2024 01:50"/>
        <s v="21-07-2024 23:30"/>
        <d v="2024-08-08T21:41:00Z"/>
        <s v="30-07-2024 09:06"/>
        <s v="23-08-2024 11:01"/>
        <s v="16-07-2024 11:54"/>
        <d v="2024-07-08T16:46:00Z"/>
        <s v="17-07-2024 02:30"/>
        <s v="23-08-2024 06:05"/>
        <s v="15-08-2024 08:52"/>
        <s v="13-08-2024 14:18"/>
        <d v="2024-06-08T02:30:00Z"/>
        <d v="2024-04-07T13:56:00Z"/>
        <s v="28-08-2024 03:41"/>
        <d v="2024-11-08T02:49:00Z"/>
        <s v="18-07-2024 11:02"/>
        <s v="24-07-2024 03:09"/>
        <s v="15-08-2024 06:54"/>
        <d v="2024-03-08T12:08:00Z"/>
        <d v="2024-07-07T04:55:00Z"/>
        <s v="26-07-2024 23:48"/>
        <d v="2024-03-07T02:15:00Z"/>
        <s v="14-07-2024 05:56"/>
        <d v="2024-02-07T03:46:00Z"/>
        <s v="18-08-2024 00:30"/>
        <d v="2024-09-07T13:45:00Z"/>
        <d v="2024-08-08T05:39:00Z"/>
        <s v="17-08-2024 15:56"/>
        <s v="14-07-2024 06:09"/>
        <d v="2024-07-07T03:39:00Z"/>
        <s v="26-07-2024 20:31"/>
        <s v="23-07-2024 11:15"/>
        <s v="15-07-2024 03:10"/>
        <d v="2024-07-07T02:42:00Z"/>
        <d v="2024-06-07T13:01:00Z"/>
        <s v="15-07-2024 12:04"/>
        <d v="2024-10-08T07:25:00Z"/>
        <s v="19-08-2024 08:18"/>
        <s v="29-08-2024 07:25"/>
        <s v="24-08-2024 00:36"/>
        <s v="13-08-2024 22:58"/>
        <s v="23-08-2024 02:38"/>
        <s v="22-07-2024 05:14"/>
        <s v="31-08-2024 21:19"/>
        <s v="18-08-2024 22:18"/>
        <d v="2024-06-08T20:02:00Z"/>
        <s v="24-08-2024 22:11"/>
        <s v="30-08-2024 09:03"/>
        <d v="2024-09-07T18:27:00Z"/>
        <s v="22-08-2024 10:37"/>
        <s v="17-07-2024 15:20"/>
        <d v="2024-05-08T04:53:00Z"/>
        <d v="2024-09-07T21:18:00Z"/>
        <s v="27-07-2024 04:03"/>
        <s v="14-07-2024 17:03"/>
        <d v="2024-10-08T16:22:00Z"/>
        <s v="26-07-2024 00:27"/>
        <s v="18-07-2024 18:48"/>
        <s v="29-08-2024 01:30"/>
        <d v="2024-09-08T08:31:00Z"/>
        <d v="2024-11-08T07:46:00Z"/>
        <d v="2024-08-07T00:55:00Z"/>
        <s v="19-07-2024 17:02"/>
        <s v="15-08-2024 19:16"/>
        <s v="21-08-2024 02:09"/>
        <s v="14-07-2024 13:19"/>
        <d v="2024-02-09T03:05:00Z"/>
        <d v="2024-03-08T01:50:00Z"/>
        <s v="26-07-2024 03:48"/>
        <s v="13-07-2024 16:46"/>
        <s v="23-08-2024 15:36"/>
        <d v="2024-07-07T06:00:00Z"/>
        <d v="2024-05-08T09:12:00Z"/>
        <s v="31-08-2024 00:56"/>
        <s v="26-07-2024 23:45"/>
        <s v="14-08-2024 19:46"/>
        <d v="2024-02-09T09:48:00Z"/>
        <s v="14-08-2024 17:23"/>
        <s v="13-07-2024 15:18"/>
        <s v="24-07-2024 23:18"/>
        <s v="15-08-2024 01:42"/>
        <d v="2024-03-07T20:15:00Z"/>
        <s v="18-07-2024 04:48"/>
        <d v="2024-04-07T10:37:00Z"/>
        <s v="31-08-2024 11:26"/>
        <d v="2024-04-07T20:08:00Z"/>
        <s v="28-08-2024 07:52"/>
        <d v="2024-05-08T19:51:00Z"/>
        <d v="2024-09-07T11:19:00Z"/>
        <s v="13-07-2024 16:13"/>
        <s v="15-08-2024 23:02"/>
        <s v="22-08-2024 02:51"/>
        <s v="17-07-2024 13:34"/>
        <s v="30-07-2024 03:23"/>
        <d v="2024-12-08T01:39:00Z"/>
        <s v="17-08-2024 02:19"/>
        <s v="21-07-2024 06:17"/>
        <s v="30-07-2024 12:28"/>
        <s v="29-08-2024 07:39"/>
        <d v="2024-09-07T11:23:00Z"/>
        <d v="2024-01-08T20:51:00Z"/>
        <s v="21-08-2024 17:40"/>
        <s v="19-07-2024 17:52"/>
        <d v="2024-07-07T00:59:00Z"/>
        <d v="2024-04-07T08:59:00Z"/>
        <s v="27-08-2024 04:36"/>
        <d v="2024-01-09T19:14:00Z"/>
        <d v="2024-08-08T19:02:00Z"/>
        <s v="17-08-2024 04:20"/>
        <s v="22-08-2024 16:50"/>
        <s v="29-08-2024 11:27"/>
        <s v="22-07-2024 13:45"/>
        <d v="2024-12-08T17:59:00Z"/>
        <d v="2024-12-07T11:39:00Z"/>
        <s v="23-07-2024 08:09"/>
        <s v="22-08-2024 15:15"/>
        <s v="28-08-2024 10:07"/>
        <s v="25-07-2024 21:12"/>
        <s v="16-07-2024 02:24"/>
        <d v="2024-04-08T09:27:00Z"/>
        <s v="23-07-2024 00:38"/>
        <d v="2024-12-08T21:19:00Z"/>
        <s v="27-08-2024 05:14"/>
        <s v="14-08-2024 14:44"/>
        <d v="2024-09-08T13:09:00Z"/>
        <s v="16-07-2024 13:34"/>
        <s v="20-08-2024 02:26"/>
        <d v="2024-06-07T14:02:00Z"/>
        <s v="22-07-2024 05:06"/>
        <d v="2024-10-08T23:05:00Z"/>
        <s v="27-08-2024 15:15"/>
        <s v="30-08-2024 18:24"/>
        <d v="2024-01-09T01:01:00Z"/>
        <s v="15-07-2024 22:32"/>
        <s v="14-08-2024 22:37"/>
        <s v="25-07-2024 13:12"/>
        <s v="24-07-2024 02:20"/>
        <d v="2024-02-09T23:37:00Z"/>
        <d v="2024-11-08T11:24:00Z"/>
        <s v="31-07-2024 12:09"/>
        <s v="27-07-2024 22:33"/>
        <s v="20-07-2024 02:17"/>
        <s v="17-07-2024 08:52"/>
        <s v="18-08-2024 06:46"/>
        <s v="21-07-2024 17:41"/>
        <s v="22-08-2024 09:24"/>
        <d v="2024-09-07T23:08:00Z"/>
        <s v="28-07-2024 05:55"/>
        <s v="18-08-2024 13:05"/>
        <d v="2024-08-07T19:05:00Z"/>
        <d v="2024-05-07T00:28:00Z"/>
        <d v="2024-04-08T12:38:00Z"/>
        <s v="16-07-2024 02:37"/>
        <d v="2024-03-08T09:34:00Z"/>
        <d v="2024-02-08T10:47:00Z"/>
        <s v="24-07-2024 12:27"/>
        <d v="2024-03-08T13:49:00Z"/>
        <s v="21-07-2024 22:26"/>
        <s v="22-08-2024 11:18"/>
        <s v="28-07-2024 08:19"/>
        <s v="31-08-2024 17:03"/>
        <d v="2024-04-08T09:40:00Z"/>
        <s v="13-08-2024 18:54"/>
        <s v="16-07-2024 05:01"/>
        <d v="2024-05-07T13:02:00Z"/>
        <m/>
      </sharedItems>
    </cacheField>
    <cacheField name="Cost per Quantity ($)" numFmtId="0">
      <sharedItems containsString="0" containsBlank="1" containsNumber="1">
        <n v="5.24"/>
        <n v="9.82"/>
        <n v="7.37"/>
        <n v="4.41"/>
        <n v="6.09"/>
        <n v="8.8"/>
        <n v="5.84"/>
        <n v="4.84"/>
        <n v="1.98"/>
        <n v="5.08"/>
        <n v="4.89"/>
        <n v="9.23"/>
        <n v="4.09"/>
        <n v="3.15"/>
        <n v="3.28"/>
        <n v="7.71"/>
        <n v="5.12"/>
        <n v="4.92"/>
        <n v="7.68"/>
        <n v="7.04"/>
        <n v="8.18"/>
        <n v="7.5"/>
        <n v="8.75"/>
        <n v="1.92"/>
        <n v="8.26"/>
        <n v="6.25"/>
        <n v="5.17"/>
        <n v="7.49"/>
        <n v="8.65"/>
        <n v="7.74"/>
        <n v="9.97"/>
        <n v="5.91"/>
        <n v="7.34"/>
        <n v="2.33"/>
        <n v="8.51"/>
        <n v="1.05"/>
        <n v="3.29"/>
        <n v="2.03"/>
        <n v="7.61"/>
        <n v="3.2"/>
        <n v="4.74"/>
        <n v="4.91"/>
        <n v="3.17"/>
        <n v="7.16"/>
        <n v="8.9"/>
        <n v="2.24"/>
        <n v="4.99"/>
        <n v="2.63"/>
        <n v="4.63"/>
        <n v="2.32"/>
        <n v="6.96"/>
        <n v="3.76"/>
        <n v="4.48"/>
        <n v="6.64"/>
        <n v="2.1"/>
        <n v="2.15"/>
        <n v="8.81"/>
        <n v="8.03"/>
        <n v="1.81"/>
        <n v="4.35"/>
        <n v="1.39"/>
        <n v="3.33"/>
        <n v="4.93"/>
        <n v="7.7"/>
        <n v="6.17"/>
        <n v="2.07"/>
        <n v="6.8"/>
        <n v="9.35"/>
        <n v="8.54"/>
        <n v="4.22"/>
        <n v="5.01"/>
        <n v="3.48"/>
        <n v="8.91"/>
        <n v="4.88"/>
        <n v="2.0"/>
        <n v="1.37"/>
        <n v="3.31"/>
        <n v="7.33"/>
        <n v="2.46"/>
        <n v="5.94"/>
        <n v="9.87"/>
        <n v="9.61"/>
        <n v="9.12"/>
        <n v="4.86"/>
        <n v="2.79"/>
        <n v="9.93"/>
        <n v="7.17"/>
        <n v="9.6"/>
        <n v="6.88"/>
        <n v="4.56"/>
        <n v="9.75"/>
        <n v="7.44"/>
        <n v="2.27"/>
        <n v="8.21"/>
        <n v="2.38"/>
        <n v="3.69"/>
        <n v="4.67"/>
        <n v="5.7"/>
        <n v="2.85"/>
        <n v="4.51"/>
        <n v="6.41"/>
        <n v="4.58"/>
        <n v="2.52"/>
        <n v="7.69"/>
        <n v="9.62"/>
        <n v="4.21"/>
        <n v="7.52"/>
        <n v="9.53"/>
        <n v="4.72"/>
        <n v="6.32"/>
        <n v="6.65"/>
        <n v="2.22"/>
        <n v="8.1"/>
        <n v="3.72"/>
        <n v="5.97"/>
        <n v="4.11"/>
        <n v="2.08"/>
        <n v="3.51"/>
        <n v="4.87"/>
        <n v="3.38"/>
        <n v="4.38"/>
        <n v="8.14"/>
        <n v="4.7"/>
        <n v="8.49"/>
        <n v="8.76"/>
        <n v="8.82"/>
        <n v="4.81"/>
        <n v="7.0"/>
        <n v="7.19"/>
        <n v="5.99"/>
        <n v="7.8"/>
        <n v="5.53"/>
        <n v="5.34"/>
        <n v="3.79"/>
        <n v="2.86"/>
        <n v="5.78"/>
        <n v="3.57"/>
        <n v="2.37"/>
        <n v="3.68"/>
        <n v="9.52"/>
        <n v="8.95"/>
        <n v="9.37"/>
        <n v="1.44"/>
        <n v="5.13"/>
        <n v="6.93"/>
        <n v="1.69"/>
        <n v="3.78"/>
        <n v="6.63"/>
        <n v="2.98"/>
        <n v="8.27"/>
        <n v="1.08"/>
        <n v="5.77"/>
        <n v="4.78"/>
        <n v="9.06"/>
        <n v="9.55"/>
        <n v="5.51"/>
        <n v="1.52"/>
        <n v="6.34"/>
        <n v="3.09"/>
        <n v="1.23"/>
        <n v="8.25"/>
        <n v="9.14"/>
        <n v="4.01"/>
        <n v="1.54"/>
        <n v="2.44"/>
        <n v="4.44"/>
        <n v="3.13"/>
        <n v="7.93"/>
        <n v="9.01"/>
        <n v="1.79"/>
        <n v="6.66"/>
        <n v="7.72"/>
        <n v="4.34"/>
        <n v="9.86"/>
        <n v="2.73"/>
        <n v="6.44"/>
        <n v="2.56"/>
        <n v="5.3"/>
        <n v="6.3"/>
        <n v="7.63"/>
        <n v="5.65"/>
        <n v="9.26"/>
        <n v="7.46"/>
        <n v="8.28"/>
        <n v="2.34"/>
        <n v="9.73"/>
        <n v="4.14"/>
        <n v="4.02"/>
        <n v="2.67"/>
        <n v="7.81"/>
        <n v="2.31"/>
        <n v="9.68"/>
        <n v="9.49"/>
        <n v="5.02"/>
        <n v="7.23"/>
        <n v="5.63"/>
        <n v="1.84"/>
        <n v="7.09"/>
        <n v="1.9"/>
        <n v="1.24"/>
        <n v="3.7"/>
        <n v="2.06"/>
        <n v="6.43"/>
        <n v="5.71"/>
        <n v="2.83"/>
        <n v="2.26"/>
        <n v="9.3"/>
        <n v="9.56"/>
        <n v="7.84"/>
        <n v="9.67"/>
        <n v="8.94"/>
        <n v="4.1"/>
        <n v="7.66"/>
        <n v="8.17"/>
        <n v="5.04"/>
        <n v="1.13"/>
        <n v="3.22"/>
        <n v="6.2"/>
        <n v="5.26"/>
        <n v="4.79"/>
        <n v="1.88"/>
        <n v="4.33"/>
        <n v="4.45"/>
        <n v="9.84"/>
        <n v="2.12"/>
        <n v="9.05"/>
        <n v="7.6"/>
        <n v="7.82"/>
        <n v="2.96"/>
        <n v="8.59"/>
        <n v="2.74"/>
        <n v="1.77"/>
        <n v="1.83"/>
        <n v="6.15"/>
        <n v="4.16"/>
        <n v="3.63"/>
        <n v="2.39"/>
        <n v="8.15"/>
        <n v="6.18"/>
        <n v="3.82"/>
        <n v="6.86"/>
        <n v="7.86"/>
        <n v="3.05"/>
        <n v="6.52"/>
        <n v="3.32"/>
        <n v="9.79"/>
        <n v="3.94"/>
        <n v="2.9"/>
        <n v="2.95"/>
        <n v="5.55"/>
        <n v="3.34"/>
        <n v="8.47"/>
        <n v="3.77"/>
        <n v="1.35"/>
        <n v="8.63"/>
        <n v="3.46"/>
        <n v="5.37"/>
        <n v="8.88"/>
        <n v="9.2"/>
        <n v="1.12"/>
        <n v="8.19"/>
        <n v="9.39"/>
        <n v="2.61"/>
        <n v="5.32"/>
        <n v="1.06"/>
        <n v="1.25"/>
        <n v="7.25"/>
        <n v="9.83"/>
        <n v="3.67"/>
        <n v="9.99"/>
        <n v="5.54"/>
        <n v="6.1"/>
        <n v="4.19"/>
        <n v="5.18"/>
        <n v="7.65"/>
        <n v="4.06"/>
        <n v="8.69"/>
        <n v="9.71"/>
        <n v="4.64"/>
        <n v="5.52"/>
        <n v="6.31"/>
        <n v="1.33"/>
        <n v="8.23"/>
        <n v="9.57"/>
        <n v="5.35"/>
        <n v="8.34"/>
        <n v="3.89"/>
        <n v="7.41"/>
        <n v="9.7"/>
        <n v="5.74"/>
        <n v="7.42"/>
        <n v="9.36"/>
        <n v="8.38"/>
        <n v="3.23"/>
        <n v="3.49"/>
        <n v="3.8"/>
        <n v="2.2"/>
        <n v="8.68"/>
        <n v="3.83"/>
        <n v="9.9"/>
        <n v="2.76"/>
        <n v="9.22"/>
        <n v="9.0"/>
        <n v="6.49"/>
        <n v="8.57"/>
        <n v="6.98"/>
        <n v="3.84"/>
        <n v="7.91"/>
        <n v="6.22"/>
        <n v="6.95"/>
        <n v="1.68"/>
        <n v="5.6"/>
        <n v="6.33"/>
        <n v="7.36"/>
        <n v="7.15"/>
        <n v="3.47"/>
        <n v="8.53"/>
        <n v="3.55"/>
        <n v="3.66"/>
        <n v="3.98"/>
        <n v="3.73"/>
        <n v="9.16"/>
        <n v="9.28"/>
        <n v="2.93"/>
        <n v="8.89"/>
        <n v="5.11"/>
        <n v="7.03"/>
        <n v="7.02"/>
        <n v="2.94"/>
        <n v="7.14"/>
        <n v="1.26"/>
        <n v="1.8"/>
        <n v="4.05"/>
        <n v="9.46"/>
        <n v="5.07"/>
        <n v="4.61"/>
        <n v="5.68"/>
        <n v="7.64"/>
        <n v="2.43"/>
        <n v="6.55"/>
        <n v="6.59"/>
        <n v="8.41"/>
        <n v="6.47"/>
        <n v="1.14"/>
        <n v="1.11"/>
        <n v="7.54"/>
        <n v="8.07"/>
        <n v="1.67"/>
        <n v="4.75"/>
        <n v="4.36"/>
        <n v="4.37"/>
        <n v="5.75"/>
        <n v="6.4"/>
        <n v="3.44"/>
        <n v="4.83"/>
        <n v="3.9"/>
        <n v="2.18"/>
        <n v="1.28"/>
        <n v="8.87"/>
        <n v="5.14"/>
        <n v="6.5"/>
        <n v="6.13"/>
        <n v="8.79"/>
        <n v="8.36"/>
        <n v="3.12"/>
        <n v="2.82"/>
        <n v="3.26"/>
        <n v="6.19"/>
        <n v="3.27"/>
        <n v="3.08"/>
        <n v="1.29"/>
        <n v="2.42"/>
        <n v="3.45"/>
        <n v="8.5"/>
        <n v="7.55"/>
        <n v="1.62"/>
        <n v="6.03"/>
        <n v="9.17"/>
        <n v="8.05"/>
        <n v="3.36"/>
        <n v="6.08"/>
        <n v="9.1"/>
        <n v="5.45"/>
        <n v="1.49"/>
        <n v="2.29"/>
        <n v="2.69"/>
        <n v="3.06"/>
        <n v="5.39"/>
        <n v="6.72"/>
        <n v="2.81"/>
        <n v="1.46"/>
        <n v="9.21"/>
        <n v="1.58"/>
        <n v="6.26"/>
        <n v="4.03"/>
        <n v="3.59"/>
        <n v="1.0"/>
        <n v="2.62"/>
        <n v="7.31"/>
        <n v="8.24"/>
        <n v="1.1"/>
        <n v="7.58"/>
        <n v="7.67"/>
        <n v="6.0"/>
        <n v="5.96"/>
        <n v="8.0"/>
        <n v="6.54"/>
        <n v="1.89"/>
        <n v="4.5"/>
        <n v="2.02"/>
        <n v="7.4"/>
        <n v="5.57"/>
        <n v="2.7"/>
        <n v="6.37"/>
        <n v="5.58"/>
        <n v="7.1"/>
        <n v="8.92"/>
        <n v="2.35"/>
        <n v="2.4"/>
        <n v="6.38"/>
        <n v="2.51"/>
        <n v="6.23"/>
        <n v="4.54"/>
        <n v="9.69"/>
        <n v="4.23"/>
        <n v="3.18"/>
        <n v="1.87"/>
        <n v="2.3"/>
        <n v="7.29"/>
        <n v="8.35"/>
        <n v="2.05"/>
        <n v="4.12"/>
        <n v="8.37"/>
        <n v="6.14"/>
        <n v="8.96"/>
        <n v="1.71"/>
        <n v="7.78"/>
        <n v="2.8"/>
        <n v="4.08"/>
        <n v="7.12"/>
        <n v="1.5"/>
        <n v="3.65"/>
        <n v="8.52"/>
        <n v="6.06"/>
        <n v="7.05"/>
        <n v="1.36"/>
        <n v="5.27"/>
        <n v="4.18"/>
        <n v="7.56"/>
        <n v="3.21"/>
        <n v="5.05"/>
        <n v="6.77"/>
        <n v="8.42"/>
        <n v="2.21"/>
        <n v="6.07"/>
        <n v="9.47"/>
        <n v="2.78"/>
        <n v="7.47"/>
        <n v="5.16"/>
        <n v="7.99"/>
        <n v="6.16"/>
        <n v="2.45"/>
        <n v="7.51"/>
        <n v="6.85"/>
        <n v="2.75"/>
        <n v="6.58"/>
        <n v="4.71"/>
        <n v="4.0"/>
        <n v="6.84"/>
        <n v="9.58"/>
        <n v="1.4"/>
        <n v="1.47"/>
        <n v="2.36"/>
        <n v="6.48"/>
        <n v="7.38"/>
        <n v="9.18"/>
        <n v="8.44"/>
        <n v="4.31"/>
        <n v="1.38"/>
        <n v="4.8"/>
        <n v="5.38"/>
        <n v="9.81"/>
        <n v="8.86"/>
        <n v="8.64"/>
        <n v="1.41"/>
        <n v="5.23"/>
        <n v="6.45"/>
        <n v="3.04"/>
        <n v="6.81"/>
        <n v="4.76"/>
        <n v="6.11"/>
        <n v="9.4"/>
        <n v="4.73"/>
        <n v="9.77"/>
        <n v="8.48"/>
        <n v="9.45"/>
        <n v="9.25"/>
        <n v="8.04"/>
        <n v="3.3"/>
        <n v="5.61"/>
        <n v="5.87"/>
        <n v="1.32"/>
        <n v="8.39"/>
        <n v="1.85"/>
        <n v="1.82"/>
        <n v="3.53"/>
        <n v="7.3"/>
        <n v="5.25"/>
        <n v="2.5"/>
        <n v="4.24"/>
        <n v="7.62"/>
        <n v="8.7"/>
        <n v="4.98"/>
        <n v="7.48"/>
        <n v="8.08"/>
        <n v="6.57"/>
        <n v="9.03"/>
        <n v="7.35"/>
        <n v="4.9"/>
        <n v="7.2"/>
        <n v="9.19"/>
        <n v="1.31"/>
        <n v="2.17"/>
        <n v="6.78"/>
        <n v="3.97"/>
        <n v="5.29"/>
        <n v="4.25"/>
        <n v="7.28"/>
        <n v="8.29"/>
        <n v="1.86"/>
        <n v="6.76"/>
        <n v="3.03"/>
        <n v="3.07"/>
        <n v="9.15"/>
        <n v="3.1"/>
        <n v="8.98"/>
        <n v="3.16"/>
        <n v="9.33"/>
        <n v="9.89"/>
        <n v="6.04"/>
        <n v="7.57"/>
        <n v="2.64"/>
        <n v="2.49"/>
        <n v="6.94"/>
        <n v="9.72"/>
        <n v="7.87"/>
        <n v="3.99"/>
        <n v="5.76"/>
        <n v="9.74"/>
        <n v="8.99"/>
        <n v="6.92"/>
        <n v="9.65"/>
        <n v="6.62"/>
        <n v="4.28"/>
        <n v="8.83"/>
        <n v="8.84"/>
        <n v="5.42"/>
        <n v="2.01"/>
        <n v="3.43"/>
        <n v="3.39"/>
        <n v="9.02"/>
        <n v="6.56"/>
        <n v="4.15"/>
        <n v="6.69"/>
        <n v="5.88"/>
        <n v="4.32"/>
        <n v="6.12"/>
        <n v="2.97"/>
        <n v="3.54"/>
        <n v="1.04"/>
        <n v="9.09"/>
        <n v="6.73"/>
        <n v="2.04"/>
        <n v="2.91"/>
        <n v="8.43"/>
        <n v="7.83"/>
        <n v="6.24"/>
        <n v="8.45"/>
        <n v="5.69"/>
        <n v="8.12"/>
        <n v="5.89"/>
        <n v="1.59"/>
        <n v="6.35"/>
        <n v="4.2"/>
        <n v="6.05"/>
        <n v="6.68"/>
        <n v="1.53"/>
        <n v="4.77"/>
        <n v="5.43"/>
        <n v="3.61"/>
        <n v="9.43"/>
        <n v="5.72"/>
        <n v="2.47"/>
        <n v="6.61"/>
        <n v="9.38"/>
        <n v="2.71"/>
        <n v="3.52"/>
        <n v="1.22"/>
        <n v="7.97"/>
        <m/>
      </sharedItems>
    </cacheField>
    <cacheField name="Unrounded Cost ($)" numFmtId="0">
      <sharedItems containsString="0" containsBlank="1" containsNumber="1">
        <n v="5004.12"/>
        <n v="4710.01"/>
        <n v="843.22"/>
        <n v="1822.18"/>
        <n v="2046.17"/>
        <n v="447.04"/>
        <n v="1948.3"/>
        <n v="239.98"/>
        <n v="761.9"/>
        <n v="2710.81"/>
        <n v="384.84"/>
        <n v="799.63"/>
        <n v="1186.3"/>
        <n v="305.4"/>
        <n v="2156.23"/>
        <n v="758.54"/>
        <n v="3653.3"/>
        <n v="3001.15"/>
        <n v="471.47"/>
        <n v="1370.04"/>
        <n v="4827.05"/>
        <n v="1141.4"/>
        <n v="793.92"/>
        <n v="748.77"/>
        <n v="3218.43"/>
        <n v="5639.75"/>
        <n v="1839.63"/>
        <n v="3578.35"/>
        <n v="272.92"/>
        <n v="189.76"/>
        <n v="847.62"/>
        <n v="4918.1"/>
        <n v="2187.8"/>
        <n v="2024.49"/>
        <n v="2610.75"/>
        <n v="33.53"/>
        <n v="2352.42"/>
        <n v="1522.27"/>
        <n v="839.51"/>
        <n v="177.81"/>
        <n v="179.41"/>
        <n v="123.32"/>
        <n v="704.81"/>
        <n v="4046.75"/>
        <n v="5948.25"/>
        <n v="1126.16"/>
        <n v="719.84"/>
        <n v="176.83"/>
        <n v="4593.27"/>
        <n v="2303.19"/>
        <n v="5290.12"/>
        <n v="2470.41"/>
        <n v="145.45"/>
        <n v="433.7"/>
        <n v="190.26"/>
        <n v="1596.47"/>
        <n v="8467.64"/>
        <n v="1828.59"/>
        <n v="1739.16"/>
        <n v="1476.43"/>
        <n v="184.68"/>
        <n v="342.67"/>
        <n v="1336.26"/>
        <n v="7239.01"/>
        <n v="4870.47"/>
        <n v="132.72"/>
        <n v="5470.23"/>
        <n v="157.74"/>
        <n v="734.62"/>
        <n v="455.48"/>
        <n v="2054.27"/>
        <n v="202.07"/>
        <n v="7736.89"/>
        <n v="505.41"/>
        <n v="1022.86"/>
        <n v="734.85"/>
        <n v="168.09"/>
        <n v="5538.73"/>
        <n v="1230.08"/>
        <n v="3844.71"/>
        <n v="3207.94"/>
        <n v="8427.61"/>
        <n v="2955.92"/>
        <n v="1308.01"/>
        <n v="2666.27"/>
        <n v="1487.92"/>
        <n v="4708.01"/>
        <n v="7116.29"/>
        <n v="5104.19"/>
        <n v="183.12"/>
        <n v="2418.52"/>
        <n v="3096.49"/>
        <n v="3018.41"/>
        <n v="1758.22"/>
        <n v="1241.99"/>
        <n v="3669.53"/>
        <n v="2868.64"/>
        <n v="184.47"/>
        <n v="306.53"/>
        <n v="4906.94"/>
        <n v="856.42"/>
        <n v="1548.99"/>
        <n v="2294.02"/>
        <n v="915.91"/>
        <n v="2568.55"/>
        <n v="1513.53"/>
        <n v="2155.87"/>
        <n v="360.65"/>
        <n v="1387.05"/>
        <n v="5569.93"/>
        <n v="326.18"/>
        <n v="697.48"/>
        <n v="814.36"/>
        <n v="1000.85"/>
        <n v="3621.57"/>
        <n v="3472.5"/>
        <n v="409.09"/>
        <n v="354.49"/>
        <n v="2593.54"/>
        <n v="2776.83"/>
        <n v="2236.03"/>
        <n v="1448.65"/>
        <n v="4905.87"/>
        <n v="1067.69"/>
        <n v="1523.67"/>
        <n v="489.0"/>
        <n v="2576.06"/>
        <n v="5580.62"/>
        <n v="545.19"/>
        <n v="1988.24"/>
        <n v="296.36"/>
        <n v="4606.7"/>
        <n v="266.12"/>
        <n v="4365.57"/>
        <n v="2615.55"/>
        <n v="3731.42"/>
        <n v="2935.96"/>
        <n v="6353.42"/>
        <n v="56.36"/>
        <n v="2538.55"/>
        <n v="8441.78"/>
        <n v="626.26"/>
        <n v="1356.51"/>
        <n v="1190.57"/>
        <n v="196.77"/>
        <n v="769.08"/>
        <n v="2841.43"/>
        <n v="1247.19"/>
        <n v="179.23"/>
        <n v="310.65"/>
        <n v="261.07"/>
        <n v="1424.22"/>
        <n v="5318.65"/>
        <n v="617.25"/>
        <n v="1889.19"/>
        <n v="3566.79"/>
        <n v="390.32"/>
        <n v="72.41"/>
        <n v="4719.05"/>
        <n v="4488.6"/>
        <n v="548.0"/>
        <n v="441.09"/>
        <n v="1592.91"/>
        <n v="68.47"/>
        <n v="316.7"/>
        <n v="6307.76"/>
        <n v="209.38"/>
        <n v="1974.76"/>
        <n v="8260.39"/>
        <n v="783.26"/>
        <n v="610.85"/>
        <n v="498.63"/>
        <n v="849.11"/>
        <n v="8176.42"/>
        <n v="3851.36"/>
        <n v="46.28"/>
        <n v="452.46"/>
        <n v="2160.07"/>
        <n v="628.55"/>
        <n v="1401.15"/>
        <n v="709.26"/>
        <n v="572.16"/>
        <n v="170.56"/>
        <n v="373.23"/>
        <n v="979.74"/>
        <n v="3755.79"/>
        <n v="317.26"/>
        <n v="1680.71"/>
        <n v="183.55"/>
        <n v="6690.02"/>
        <n v="91.44"/>
        <n v="381.12"/>
        <n v="51.35"/>
        <n v="1049.3"/>
        <n v="728.39"/>
        <n v="1978.38"/>
        <n v="2432.2"/>
        <n v="5739.17"/>
        <n v="891.2"/>
        <n v="513.93"/>
        <n v="602.39"/>
        <n v="1907.66"/>
        <n v="2116.1"/>
        <n v="664.75"/>
        <n v="236.59"/>
        <n v="3599.78"/>
        <n v="1765.13"/>
        <n v="3177.94"/>
        <n v="4576.69"/>
        <n v="1065.52"/>
        <n v="6941.21"/>
        <n v="309.22"/>
        <n v="5076.25"/>
        <n v="457.91"/>
        <n v="3313.32"/>
        <n v="1075.16"/>
        <n v="385.37"/>
        <n v="313.16"/>
        <n v="1876.61"/>
        <n v="6891.52"/>
        <n v="220.92"/>
        <n v="4786.78"/>
        <n v="8755.49"/>
        <n v="1219.84"/>
        <n v="1454.94"/>
        <n v="669.39"/>
        <n v="780.97"/>
        <n v="5783.12"/>
        <n v="771.75"/>
        <n v="240.98"/>
        <n v="428.36"/>
        <n v="1085.29"/>
        <n v="76.98"/>
        <n v="1678.42"/>
        <n v="564.51"/>
        <n v="4349.67"/>
        <n v="3126.31"/>
        <n v="1136.08"/>
        <n v="966.1"/>
        <n v="5722.46"/>
        <n v="8832.79"/>
        <n v="4101.66"/>
        <n v="371.33"/>
        <n v="5160.09"/>
        <n v="2318.75"/>
        <n v="106.4"/>
        <n v="397.7"/>
        <n v="3108.8"/>
        <n v="677.02"/>
        <n v="544.92"/>
        <n v="419.78"/>
        <n v="5369.03"/>
        <n v="432.99"/>
        <n v="1659.61"/>
        <n v="727.28"/>
        <n v="539.11"/>
        <n v="2922.38"/>
        <n v="1686.07"/>
        <n v="114.49"/>
        <n v="1798.99"/>
        <n v="3608.9"/>
        <n v="1498.85"/>
        <n v="6352.37"/>
        <n v="390.48"/>
        <n v="1075.74"/>
        <n v="3546.89"/>
        <n v="1012.3"/>
        <n v="1418.37"/>
        <n v="8437.53"/>
        <n v="533.95"/>
        <n v="1761.86"/>
        <n v="151.89"/>
        <n v="5775.91"/>
        <n v="1024.26"/>
        <n v="351.85"/>
        <n v="5833.47"/>
        <n v="1449.24"/>
        <n v="278.53"/>
        <n v="545.56"/>
        <n v="845.31"/>
        <n v="925.69"/>
        <n v="763.87"/>
        <n v="1643.42"/>
        <n v="3911.04"/>
        <n v="679.7"/>
        <n v="1060.66"/>
        <n v="6458.1"/>
        <n v="2180.42"/>
        <n v="5877.14"/>
        <n v="4921.79"/>
        <n v="217.77"/>
        <n v="1181.89"/>
        <n v="462.27"/>
        <n v="2212.98"/>
        <n v="117.43"/>
        <n v="946.18"/>
        <n v="600.93"/>
        <n v="395.76"/>
        <n v="1025.08"/>
        <n v="1199.0"/>
        <n v="541.41"/>
        <n v="7095.69"/>
        <n v="4672.23"/>
        <n v="1111.03"/>
        <n v="368.06"/>
        <n v="134.46"/>
        <n v="1200.56"/>
        <n v="4319.27"/>
        <n v="394.45"/>
        <n v="663.68"/>
        <n v="3518.53"/>
        <n v="5717.63"/>
        <n v="234.98"/>
        <n v="943.94"/>
        <n v="508.69"/>
        <n v="7609.03"/>
        <n v="721.02"/>
        <n v="527.4"/>
        <n v="82.73"/>
        <n v="425.25"/>
        <n v="3258.65"/>
        <n v="695.47"/>
        <n v="966.15"/>
        <n v="713.13"/>
        <n v="3268.06"/>
        <n v="3204.72"/>
        <n v="846.03"/>
        <n v="5803.56"/>
        <n v="2057.09"/>
        <n v="1628.6"/>
        <n v="619.16"/>
        <n v="36.41"/>
        <n v="469.56"/>
        <n v="532.51"/>
        <n v="526.17"/>
        <n v="236.35"/>
        <n v="705.4"/>
        <n v="2902.17"/>
        <n v="5528.95"/>
        <n v="791.07"/>
        <n v="1478.03"/>
        <n v="1635.9"/>
        <n v="4656.11"/>
        <n v="996.45"/>
        <n v="589.19"/>
        <n v="2622.99"/>
        <n v="423.93"/>
        <n v="858.14"/>
        <n v="290.65"/>
        <n v="1959.23"/>
        <n v="2457.74"/>
        <n v="252.63"/>
        <n v="777.06"/>
        <n v="552.01"/>
        <n v="4626.49"/>
        <n v="1315.29"/>
        <n v="1328.34"/>
        <n v="89.6"/>
        <n v="3924.66"/>
        <n v="4980.75"/>
        <n v="212.81"/>
        <n v="2752.3"/>
        <n v="647.76"/>
        <n v="1126.01"/>
        <n v="752.23"/>
        <n v="80.64"/>
        <n v="4282.71"/>
        <n v="1009.32"/>
        <n v="3181.0"/>
        <n v="2273.84"/>
        <n v="8175.95"/>
        <n v="1967.93"/>
        <n v="101.31"/>
        <n v="198.12"/>
        <n v="3223.96"/>
        <n v="191.08"/>
        <n v="1953.53"/>
        <n v="972.53"/>
        <n v="5432.54"/>
        <n v="176.56"/>
        <n v="4913.1"/>
        <n v="827.25"/>
        <n v="1086.83"/>
        <n v="578.85"/>
        <n v="712.04"/>
        <n v="1814.54"/>
        <n v="5005.74"/>
        <n v="3564.47"/>
        <n v="126.02"/>
        <n v="668.59"/>
        <n v="5888.99"/>
        <n v="5796.07"/>
        <n v="5346.66"/>
        <n v="177.32"/>
        <n v="3274.6"/>
        <n v="5310.02"/>
        <n v="2825.81"/>
        <n v="2902.34"/>
        <n v="231.3"/>
        <n v="176.58"/>
        <n v="1978.37"/>
        <n v="4677.81"/>
        <n v="2815.36"/>
        <n v="3568.7"/>
        <n v="2825.07"/>
        <n v="3235.14"/>
        <n v="4839.61"/>
        <n v="6135.2"/>
        <n v="5986.65"/>
        <n v="119.38"/>
        <n v="192.05"/>
        <n v="445.49"/>
        <n v="8184.42"/>
        <n v="135.57"/>
        <n v="775.0"/>
        <n v="613.37"/>
        <n v="2780.84"/>
        <n v="4123.16"/>
        <n v="953.34"/>
        <n v="1215.86"/>
        <n v="5764.58"/>
        <n v="21.28"/>
        <n v="2800.31"/>
        <n v="1717.1"/>
        <n v="3098.73"/>
        <n v="639.97"/>
        <n v="569.95"/>
        <n v="618.82"/>
        <n v="153.17"/>
        <n v="751.47"/>
        <n v="708.23"/>
        <n v="1282.86"/>
        <n v="4331.46"/>
        <n v="3647.82"/>
        <n v="879.87"/>
        <n v="418.79"/>
        <n v="5742.75"/>
        <n v="4424.06"/>
        <n v="4431.59"/>
        <n v="710.94"/>
        <n v="513.82"/>
        <n v="882.57"/>
        <n v="1006.15"/>
        <n v="890.23"/>
        <n v="7498.58"/>
        <n v="639.49"/>
        <n v="951.09"/>
        <n v="1730.1"/>
        <n v="1193.1"/>
        <n v="3692.8"/>
        <n v="2127.39"/>
        <n v="5156.17"/>
        <n v="443.65"/>
        <n v="4061.0"/>
        <n v="2044.87"/>
        <n v="582.39"/>
        <n v="2135.38"/>
        <n v="401.86"/>
        <n v="1176.9"/>
        <n v="875.54"/>
        <n v="588.7"/>
        <n v="596.98"/>
        <n v="1737.62"/>
        <n v="803.3"/>
        <n v="1023.67"/>
        <n v="1199.39"/>
        <n v="814.65"/>
        <n v="3899.25"/>
        <n v="1972.86"/>
        <n v="4789.86"/>
        <n v="317.15"/>
        <n v="7898.77"/>
        <n v="4318.32"/>
        <n v="260.99"/>
        <n v="533.88"/>
        <n v="1833.74"/>
        <n v="5709.02"/>
        <n v="1223.11"/>
        <n v="554.87"/>
        <n v="2707.66"/>
        <n v="561.26"/>
        <n v="232.68"/>
        <n v="835.31"/>
        <n v="1932.83"/>
        <n v="202.77"/>
        <n v="2028.9"/>
        <n v="1015.29"/>
        <n v="1012.78"/>
        <n v="3924.13"/>
        <n v="2958.47"/>
        <n v="1318.36"/>
        <n v="2849.61"/>
        <n v="43.47"/>
        <n v="4128.25"/>
        <n v="1513.3"/>
        <n v="987.0"/>
        <n v="850.73"/>
        <n v="3949.23"/>
        <n v="476.71"/>
        <n v="2534.06"/>
        <n v="725.72"/>
        <n v="834.51"/>
        <n v="303.47"/>
        <n v="82.36"/>
        <n v="213.0"/>
        <n v="179.09"/>
        <n v="3819.33"/>
        <n v="2598.84"/>
        <n v="1732.6"/>
        <n v="5385.1"/>
        <n v="6158.04"/>
        <n v="1175.45"/>
        <n v="197.97"/>
        <n v="730.18"/>
        <n v="1102.49"/>
        <n v="1856.99"/>
        <n v="487.47"/>
        <n v="5275.32"/>
        <n v="2180.74"/>
        <n v="4379.45"/>
        <n v="841.03"/>
        <n v="1754.94"/>
        <n v="1266.49"/>
        <n v="457.39"/>
        <n v="5937.3"/>
        <n v="480.35"/>
        <n v="6245.93"/>
        <n v="2835.44"/>
        <n v="439.78"/>
        <n v="4019.74"/>
        <n v="726.33"/>
        <n v="2713.78"/>
        <n v="388.36"/>
        <n v="3245.43"/>
        <n v="3694.73"/>
        <n v="397.49"/>
        <n v="268.07"/>
        <n v="1199.06"/>
        <n v="4366.33"/>
        <n v="500.85"/>
        <n v="347.43"/>
        <n v="6457.9"/>
        <n v="181.28"/>
        <n v="1851.58"/>
        <n v="3368.17"/>
        <n v="1209.38"/>
        <n v="203.6"/>
        <n v="8750.6"/>
        <n v="585.13"/>
        <n v="3986.68"/>
        <n v="567.87"/>
        <n v="2615.15"/>
        <n v="1250.97"/>
        <n v="602.67"/>
        <n v="211.62"/>
        <n v="7049.61"/>
        <n v="427.31"/>
        <n v="1364.49"/>
        <n v="8068.99"/>
        <n v="392.39"/>
        <n v="65.52"/>
        <n v="1123.76"/>
        <n v="6234.63"/>
        <n v="1905.09"/>
        <n v="231.34"/>
        <n v="1735.64"/>
        <n v="146.64"/>
        <n v="637.57"/>
        <n v="5216.88"/>
        <n v="3273.64"/>
        <n v="5104.64"/>
        <n v="824.12"/>
        <n v="1909.31"/>
        <n v="469.18"/>
        <n v="3543.68"/>
        <n v="7237.2"/>
        <n v="2397.19"/>
        <n v="1148.4"/>
        <n v="325.64"/>
        <n v="126.51"/>
        <n v="5645.17"/>
        <n v="3010.69"/>
        <n v="9003.65"/>
        <n v="3349.93"/>
        <n v="3295.92"/>
        <n v="265.32"/>
        <n v="168.46"/>
        <n v="277.16"/>
        <n v="5848.88"/>
        <n v="263.72"/>
        <n v="3926.22"/>
        <n v="245.89"/>
        <n v="440.64"/>
        <n v="7989.93"/>
        <n v="165.78"/>
        <n v="584.05"/>
        <n v="2733.88"/>
        <n v="571.3"/>
        <n v="443.73"/>
        <n v="3954.92"/>
        <n v="210.5"/>
        <n v="1192.04"/>
        <n v="100.53"/>
        <n v="275.07"/>
        <n v="1053.66"/>
        <n v="119.7"/>
        <n v="852.95"/>
        <n v="2073.28"/>
        <n v="1724.74"/>
        <n v="6688.26"/>
        <n v="5468.25"/>
        <n v="2558.19"/>
        <n v="869.85"/>
        <n v="310.77"/>
        <n v="1330.44"/>
        <n v="552.11"/>
        <n v="868.8"/>
        <n v="244.7"/>
        <n v="1092.49"/>
        <n v="2934.63"/>
        <n v="885.37"/>
        <n v="864.02"/>
        <n v="2501.88"/>
        <n v="3949.89"/>
        <n v="143.18"/>
        <n v="667.62"/>
        <n v="1938.55"/>
        <n v="5934.53"/>
        <n v="889.84"/>
        <n v="1860.89"/>
        <n v="4063.2"/>
        <n v="1842.79"/>
        <n v="6274.29"/>
        <n v="3170.03"/>
        <n v="675.88"/>
        <n v="369.15"/>
        <n v="4899.77"/>
        <n v="1389.56"/>
        <n v="5643.7"/>
        <n v="1880.97"/>
        <n v="2993.6"/>
        <n v="5094.52"/>
        <n v="1782.32"/>
        <n v="4484.6"/>
        <n v="895.4"/>
        <n v="2071.49"/>
        <n v="369.96"/>
        <n v="698.48"/>
        <n v="2518.68"/>
        <n v="1634.53"/>
        <n v="2720.42"/>
        <n v="457.77"/>
        <n v="1758.91"/>
        <n v="7302.74"/>
        <n v="478.25"/>
        <n v="1083.84"/>
        <n v="702.03"/>
        <n v="306.94"/>
        <n v="1862.61"/>
        <n v="2883.31"/>
        <n v="1657.38"/>
        <n v="934.95"/>
        <n v="3853.46"/>
        <n v="1578.68"/>
        <n v="1670.54"/>
        <n v="306.85"/>
        <n v="180.0"/>
        <n v="2024.16"/>
        <n v="1586.79"/>
        <n v="4535.17"/>
        <n v="1318.55"/>
        <n v="1557.31"/>
        <n v="8101.62"/>
        <n v="721.38"/>
        <n v="949.07"/>
        <n v="472.78"/>
        <n v="1832.01"/>
        <n v="6233.64"/>
        <n v="2170.82"/>
        <n v="506.02"/>
        <n v="626.88"/>
        <n v="280.54"/>
        <n v="3783.32"/>
        <n v="1518.76"/>
        <n v="472.08"/>
        <n v="302.85"/>
        <n v="976.4"/>
        <n v="8044.73"/>
        <n v="726.57"/>
        <n v="643.12"/>
        <n v="230.49"/>
        <n v="5205.96"/>
        <n v="2029.94"/>
        <n v="4768.11"/>
        <n v="895.16"/>
        <n v="3640.14"/>
        <n v="586.94"/>
        <n v="95.37"/>
        <n v="5383.98"/>
        <n v="22.58"/>
        <n v="2215.68"/>
        <n v="151.46"/>
        <n v="1979.75"/>
        <n v="3761.46"/>
        <n v="939.3"/>
        <n v="357.69"/>
        <n v="5566.96"/>
        <n v="5966.29"/>
        <n v="3312.85"/>
        <n v="336.09"/>
        <n v="399.56"/>
        <n v="472.61"/>
        <n v="996.73"/>
        <n v="305.55"/>
        <n v="203.69"/>
        <n v="3960.15"/>
        <n v="659.97"/>
        <n v="1287.82"/>
        <n v="3203.13"/>
        <n v="4376.87"/>
        <n v="2299.28"/>
        <n v="5929.62"/>
        <n v="3051.39"/>
        <n v="1148.78"/>
        <n v="2335.4"/>
        <n v="2484.3"/>
        <n v="3383.04"/>
        <n v="499.41"/>
        <n v="4668.07"/>
        <n v="2732.9"/>
        <n v="291.57"/>
        <n v="6496.79"/>
        <n v="4447.88"/>
        <n v="6894.38"/>
        <n v="3036.81"/>
        <n v="642.07"/>
        <n v="1772.04"/>
        <n v="170.01"/>
        <n v="1710.75"/>
        <n v="4093.64"/>
        <n v="3618.68"/>
        <n v="2912.41"/>
        <n v="13.91"/>
        <n v="6771.69"/>
        <n v="2760.87"/>
        <n v="6996.67"/>
        <n v="312.92"/>
        <n v="85.63"/>
        <n v="2645.62"/>
        <n v="879.97"/>
        <n v="5821.71"/>
        <n v="1189.19"/>
        <n v="219.68"/>
        <n v="626.22"/>
        <n v="108.12"/>
        <n v="611.63"/>
        <n v="4104.56"/>
        <n v="1178.61"/>
        <n v="3703.94"/>
        <n v="332.05"/>
        <n v="4628.48"/>
        <n v="6731.94"/>
        <n v="2742.15"/>
        <n v="7072.45"/>
        <n v="7555.4"/>
        <n v="4384.0"/>
        <n v="190.65"/>
        <n v="1140.78"/>
        <n v="1052.14"/>
        <n v="127.34"/>
        <n v="406.56"/>
        <n v="2007.7"/>
        <n v="4135.19"/>
        <n v="1244.48"/>
        <n v="2688.36"/>
        <n v="1762.95"/>
        <n v="156.89"/>
        <n v="817.47"/>
        <n v="131.46"/>
        <n v="2970.95"/>
        <n v="3625.94"/>
        <n v="520.57"/>
        <n v="3359.84"/>
        <n v="86.04"/>
        <n v="1053.98"/>
        <n v="1998.14"/>
        <n v="7328.55"/>
        <n v="212.52"/>
        <n v="1192.94"/>
        <n v="1229.61"/>
        <n v="4485.24"/>
        <n v="2924.66"/>
        <n v="2226.31"/>
        <n v="4742.14"/>
        <n v="1746.28"/>
        <n v="770.45"/>
        <n v="5150.82"/>
        <n v="1799.55"/>
        <n v="2198.08"/>
        <n v="5438.15"/>
        <n v="3920.45"/>
        <n v="218.76"/>
        <n v="6062.75"/>
        <n v="316.62"/>
        <n v="2141.56"/>
        <n v="4700.17"/>
        <n v="1209.12"/>
        <n v="339.85"/>
        <n v="277.85"/>
        <n v="6175.76"/>
        <n v="245.8"/>
        <n v="386.33"/>
        <n v="789.16"/>
        <n v="55.26"/>
        <n v="2136.12"/>
        <n v="304.08"/>
        <n v="689.72"/>
        <n v="3356.78"/>
        <n v="7243.78"/>
        <n v="351.38"/>
        <n v="1802.18"/>
        <n v="1880.42"/>
        <n v="1857.06"/>
        <n v="3863.49"/>
        <n v="2954.13"/>
        <n v="4926.01"/>
        <n v="281.97"/>
        <n v="3703.32"/>
        <n v="117.12"/>
        <n v="6146.01"/>
        <n v="362.59"/>
        <n v="4248.87"/>
        <n v="3345.04"/>
        <n v="505.18"/>
        <n v="6691.62"/>
        <n v="1716.46"/>
        <n v="1130.03"/>
        <n v="4344.33"/>
        <n v="751.98"/>
        <n v="1093.59"/>
        <n v="1957.05"/>
        <n v="5644.58"/>
        <n v="3994.19"/>
        <n v="912.11"/>
        <n v="688.34"/>
        <n v="324.59"/>
        <n v="246.79"/>
        <n v="3899.12"/>
        <n v="451.48"/>
        <n v="2762.99"/>
        <n v="436.5"/>
        <n v="1037.48"/>
        <n v="3617.51"/>
        <n v="1156.29"/>
        <n v="114.16"/>
        <n v="142.44"/>
        <n v="4480.23"/>
        <n v="2105.47"/>
        <n v="8693.36"/>
        <n v="1873.14"/>
        <n v="6412.94"/>
        <n v="5186.37"/>
        <n v="6245.2"/>
        <n v="4032.26"/>
        <n v="3441.4"/>
        <n v="1653.76"/>
        <n v="2144.8"/>
        <n v="598.76"/>
        <n v="387.5"/>
        <n v="1484.55"/>
        <n v="1181.49"/>
        <n v="264.23"/>
        <n v="248.3"/>
        <n v="2233.11"/>
        <n v="1812.69"/>
        <n v="489.38"/>
        <n v="104.38"/>
        <n v="544.63"/>
        <n v="890.45"/>
        <n v="3924.86"/>
        <n v="1278.58"/>
        <n v="292.93"/>
        <n v="1145.31"/>
        <n v="2262.96"/>
        <n v="624.51"/>
        <n v="6824.82"/>
        <n v="2581.77"/>
        <n v="4574.71"/>
        <n v="3208.61"/>
        <n v="1012.65"/>
        <n v="609.95"/>
        <n v="250.82"/>
        <n v="403.55"/>
        <n v="3012.46"/>
        <n v="3256.87"/>
        <n v="594.78"/>
        <n v="2069.7"/>
        <n v="7491.62"/>
        <n v="988.86"/>
        <n v="1710.57"/>
        <n v="896.55"/>
        <n v="1184.48"/>
        <n v="5109.96"/>
        <n v="3543.49"/>
        <n v="3433.5"/>
        <n v="142.2"/>
        <n v="132.81"/>
        <n v="5360.81"/>
        <n v="2965.57"/>
        <n v="302.12"/>
        <n v="2236.11"/>
        <n v="1032.89"/>
        <n v="2639.57"/>
        <n v="1937.42"/>
        <n v="5169.78"/>
        <n v="2235.94"/>
        <n v="446.78"/>
        <n v="1100.42"/>
        <n v="436.58"/>
        <n v="812.23"/>
        <n v="631.18"/>
        <n v="2324.16"/>
        <n v="5013.83"/>
        <n v="1251.34"/>
        <n v="1157.51"/>
        <n v="571.97"/>
        <n v="60.85"/>
        <n v="440.43"/>
        <n v="2715.39"/>
        <n v="3489.59"/>
        <n v="3092.74"/>
        <n v="337.3"/>
        <n v="6816.96"/>
        <n v="2913.06"/>
        <n v="5424.64"/>
        <n v="1888.21"/>
        <n v="375.86"/>
        <n v="233.72"/>
        <n v="209.9"/>
        <n v="486.32"/>
        <n v="121.93"/>
        <n v="476.56"/>
        <n v="1890.84"/>
        <n v="1166.82"/>
        <n v="316.85"/>
        <n v="267.8"/>
        <n v="2781.32"/>
        <n v="2229.73"/>
        <n v="285.26"/>
        <n v="6453.74"/>
        <n v="410.48"/>
        <n v="99.88"/>
        <n v="163.55"/>
        <n v="857.76"/>
        <n v="2469.91"/>
        <n v="1753.39"/>
        <n v="806.86"/>
        <n v="996.32"/>
        <n v="7514.38"/>
        <n v="1848.21"/>
        <n v="140.27"/>
        <n v="2008.67"/>
        <n v="969.25"/>
        <n v="151.36"/>
        <n v="1090.68"/>
        <n v="2055.96"/>
        <n v="589.55"/>
        <n v="1035.45"/>
        <n v="291.92"/>
        <n v="2465.28"/>
        <n v="252.0"/>
        <n v="1227.59"/>
        <n v="6856.26"/>
        <n v="7259.57"/>
        <n v="2089.52"/>
        <n v="487.63"/>
        <n v="308.15"/>
        <n v="97.37"/>
        <n v="6443.68"/>
        <n v="5306.51"/>
        <n v="3613.76"/>
        <n v="45.91"/>
        <n v="305.33"/>
        <n v="7284.36"/>
        <n v="360.45"/>
        <n v="533.65"/>
        <n v="784.33"/>
        <n v="2230.05"/>
        <n v="32.46"/>
        <n v="475.49"/>
        <n v="2345.77"/>
        <n v="1934.14"/>
        <n v="197.14"/>
        <n v="818.97"/>
        <n v="5510.7"/>
        <n v="776.44"/>
        <n v="2650.84"/>
        <n v="653.12"/>
        <m/>
      </sharedItems>
    </cacheField>
    <cacheField name="Rounded Cost ($)" numFmtId="0">
      <sharedItems containsString="0" containsBlank="1" containsNumber="1" containsInteger="1">
        <n v="5004.0"/>
        <n v="4710.0"/>
        <n v="843.0"/>
        <n v="1822.0"/>
        <n v="2046.0"/>
        <n v="447.0"/>
        <n v="1948.0"/>
        <n v="240.0"/>
        <n v="762.0"/>
        <n v="2711.0"/>
        <n v="385.0"/>
        <n v="800.0"/>
        <n v="1186.0"/>
        <n v="305.0"/>
        <n v="2156.0"/>
        <n v="759.0"/>
        <n v="3653.0"/>
        <n v="3001.0"/>
        <n v="471.0"/>
        <n v="1370.0"/>
        <n v="4827.0"/>
        <n v="1141.0"/>
        <n v="794.0"/>
        <n v="749.0"/>
        <n v="3218.0"/>
        <n v="5640.0"/>
        <n v="1840.0"/>
        <n v="3578.0"/>
        <n v="273.0"/>
        <n v="190.0"/>
        <n v="848.0"/>
        <n v="4918.0"/>
        <n v="2188.0"/>
        <n v="2024.0"/>
        <n v="2611.0"/>
        <n v="34.0"/>
        <n v="2352.0"/>
        <n v="1522.0"/>
        <n v="840.0"/>
        <n v="178.0"/>
        <n v="179.0"/>
        <n v="123.0"/>
        <n v="705.0"/>
        <n v="4047.0"/>
        <n v="5948.0"/>
        <n v="1126.0"/>
        <n v="720.0"/>
        <n v="177.0"/>
        <n v="4593.0"/>
        <n v="2303.0"/>
        <n v="5290.0"/>
        <n v="2470.0"/>
        <n v="145.0"/>
        <n v="434.0"/>
        <n v="1596.0"/>
        <n v="8468.0"/>
        <n v="1829.0"/>
        <n v="1739.0"/>
        <n v="1476.0"/>
        <n v="185.0"/>
        <n v="343.0"/>
        <n v="1336.0"/>
        <n v="7239.0"/>
        <n v="4870.0"/>
        <n v="133.0"/>
        <n v="5470.0"/>
        <n v="158.0"/>
        <n v="735.0"/>
        <n v="455.0"/>
        <n v="2054.0"/>
        <n v="202.0"/>
        <n v="7737.0"/>
        <n v="505.0"/>
        <n v="1023.0"/>
        <n v="168.0"/>
        <n v="5539.0"/>
        <n v="1230.0"/>
        <n v="3845.0"/>
        <n v="3208.0"/>
        <n v="8428.0"/>
        <n v="2956.0"/>
        <n v="1308.0"/>
        <n v="2666.0"/>
        <n v="1488.0"/>
        <n v="4708.0"/>
        <n v="7116.0"/>
        <n v="5104.0"/>
        <n v="183.0"/>
        <n v="2419.0"/>
        <n v="3096.0"/>
        <n v="3018.0"/>
        <n v="1758.0"/>
        <n v="1242.0"/>
        <n v="3670.0"/>
        <n v="2869.0"/>
        <n v="184.0"/>
        <n v="307.0"/>
        <n v="4907.0"/>
        <n v="856.0"/>
        <n v="1549.0"/>
        <n v="2294.0"/>
        <n v="916.0"/>
        <n v="2569.0"/>
        <n v="1514.0"/>
        <n v="361.0"/>
        <n v="1387.0"/>
        <n v="5570.0"/>
        <n v="326.0"/>
        <n v="697.0"/>
        <n v="814.0"/>
        <n v="1001.0"/>
        <n v="3622.0"/>
        <n v="3472.0"/>
        <n v="409.0"/>
        <n v="354.0"/>
        <n v="2594.0"/>
        <n v="2777.0"/>
        <n v="2236.0"/>
        <n v="1449.0"/>
        <n v="4906.0"/>
        <n v="1068.0"/>
        <n v="1524.0"/>
        <n v="489.0"/>
        <n v="2576.0"/>
        <n v="5581.0"/>
        <n v="545.0"/>
        <n v="1988.0"/>
        <n v="296.0"/>
        <n v="4607.0"/>
        <n v="266.0"/>
        <n v="4366.0"/>
        <n v="2616.0"/>
        <n v="3731.0"/>
        <n v="2936.0"/>
        <n v="6353.0"/>
        <n v="56.0"/>
        <n v="2539.0"/>
        <n v="8442.0"/>
        <n v="626.0"/>
        <n v="1357.0"/>
        <n v="1191.0"/>
        <n v="197.0"/>
        <n v="769.0"/>
        <n v="2841.0"/>
        <n v="1247.0"/>
        <n v="311.0"/>
        <n v="261.0"/>
        <n v="1424.0"/>
        <n v="5319.0"/>
        <n v="617.0"/>
        <n v="1889.0"/>
        <n v="3567.0"/>
        <n v="390.0"/>
        <n v="72.0"/>
        <n v="4719.0"/>
        <n v="4489.0"/>
        <n v="548.0"/>
        <n v="441.0"/>
        <n v="1593.0"/>
        <n v="68.0"/>
        <n v="317.0"/>
        <n v="6308.0"/>
        <n v="209.0"/>
        <n v="1975.0"/>
        <n v="8260.0"/>
        <n v="783.0"/>
        <n v="611.0"/>
        <n v="499.0"/>
        <n v="849.0"/>
        <n v="8176.0"/>
        <n v="3851.0"/>
        <n v="46.0"/>
        <n v="452.0"/>
        <n v="2160.0"/>
        <n v="629.0"/>
        <n v="1401.0"/>
        <n v="709.0"/>
        <n v="572.0"/>
        <n v="171.0"/>
        <n v="373.0"/>
        <n v="980.0"/>
        <n v="3756.0"/>
        <n v="1681.0"/>
        <n v="6690.0"/>
        <n v="91.0"/>
        <n v="381.0"/>
        <n v="51.0"/>
        <n v="1049.0"/>
        <n v="728.0"/>
        <n v="1978.0"/>
        <n v="2432.0"/>
        <n v="5739.0"/>
        <n v="891.0"/>
        <n v="514.0"/>
        <n v="602.0"/>
        <n v="1908.0"/>
        <n v="2116.0"/>
        <n v="665.0"/>
        <n v="237.0"/>
        <n v="3600.0"/>
        <n v="1765.0"/>
        <n v="3178.0"/>
        <n v="4577.0"/>
        <n v="1066.0"/>
        <n v="6941.0"/>
        <n v="309.0"/>
        <n v="5076.0"/>
        <n v="458.0"/>
        <n v="3313.0"/>
        <n v="1075.0"/>
        <n v="313.0"/>
        <n v="1877.0"/>
        <n v="6892.0"/>
        <n v="221.0"/>
        <n v="4787.0"/>
        <n v="8755.0"/>
        <n v="1220.0"/>
        <n v="1455.0"/>
        <n v="669.0"/>
        <n v="781.0"/>
        <n v="5783.0"/>
        <n v="772.0"/>
        <n v="241.0"/>
        <n v="428.0"/>
        <n v="1085.0"/>
        <n v="77.0"/>
        <n v="1678.0"/>
        <n v="565.0"/>
        <n v="4350.0"/>
        <n v="3126.0"/>
        <n v="1136.0"/>
        <n v="966.0"/>
        <n v="5722.0"/>
        <n v="8833.0"/>
        <n v="4102.0"/>
        <n v="371.0"/>
        <n v="5160.0"/>
        <n v="2319.0"/>
        <n v="106.0"/>
        <n v="398.0"/>
        <n v="3109.0"/>
        <n v="677.0"/>
        <n v="420.0"/>
        <n v="5369.0"/>
        <n v="433.0"/>
        <n v="1660.0"/>
        <n v="727.0"/>
        <n v="539.0"/>
        <n v="2922.0"/>
        <n v="1686.0"/>
        <n v="114.0"/>
        <n v="1799.0"/>
        <n v="3609.0"/>
        <n v="1499.0"/>
        <n v="6352.0"/>
        <n v="1076.0"/>
        <n v="3547.0"/>
        <n v="1012.0"/>
        <n v="1418.0"/>
        <n v="8438.0"/>
        <n v="534.0"/>
        <n v="1762.0"/>
        <n v="152.0"/>
        <n v="5776.0"/>
        <n v="1024.0"/>
        <n v="352.0"/>
        <n v="5833.0"/>
        <n v="279.0"/>
        <n v="546.0"/>
        <n v="845.0"/>
        <n v="926.0"/>
        <n v="764.0"/>
        <n v="1643.0"/>
        <n v="3911.0"/>
        <n v="680.0"/>
        <n v="1061.0"/>
        <n v="6458.0"/>
        <n v="2180.0"/>
        <n v="5877.0"/>
        <n v="4922.0"/>
        <n v="218.0"/>
        <n v="1182.0"/>
        <n v="462.0"/>
        <n v="2213.0"/>
        <n v="117.0"/>
        <n v="946.0"/>
        <n v="601.0"/>
        <n v="396.0"/>
        <n v="1025.0"/>
        <n v="1199.0"/>
        <n v="541.0"/>
        <n v="7096.0"/>
        <n v="4672.0"/>
        <n v="1111.0"/>
        <n v="368.0"/>
        <n v="134.0"/>
        <n v="1201.0"/>
        <n v="4319.0"/>
        <n v="394.0"/>
        <n v="664.0"/>
        <n v="3519.0"/>
        <n v="5718.0"/>
        <n v="235.0"/>
        <n v="944.0"/>
        <n v="509.0"/>
        <n v="7609.0"/>
        <n v="721.0"/>
        <n v="527.0"/>
        <n v="83.0"/>
        <n v="425.0"/>
        <n v="3259.0"/>
        <n v="695.0"/>
        <n v="713.0"/>
        <n v="3268.0"/>
        <n v="3205.0"/>
        <n v="846.0"/>
        <n v="5804.0"/>
        <n v="2057.0"/>
        <n v="1629.0"/>
        <n v="619.0"/>
        <n v="36.0"/>
        <n v="470.0"/>
        <n v="533.0"/>
        <n v="526.0"/>
        <n v="236.0"/>
        <n v="2902.0"/>
        <n v="5529.0"/>
        <n v="791.0"/>
        <n v="1478.0"/>
        <n v="1636.0"/>
        <n v="4656.0"/>
        <n v="996.0"/>
        <n v="589.0"/>
        <n v="2623.0"/>
        <n v="424.0"/>
        <n v="858.0"/>
        <n v="291.0"/>
        <n v="1959.0"/>
        <n v="2458.0"/>
        <n v="253.0"/>
        <n v="777.0"/>
        <n v="552.0"/>
        <n v="4626.0"/>
        <n v="1315.0"/>
        <n v="1328.0"/>
        <n v="90.0"/>
        <n v="3925.0"/>
        <n v="4981.0"/>
        <n v="213.0"/>
        <n v="2752.0"/>
        <n v="648.0"/>
        <n v="752.0"/>
        <n v="81.0"/>
        <n v="4283.0"/>
        <n v="1009.0"/>
        <n v="3181.0"/>
        <n v="2274.0"/>
        <n v="1968.0"/>
        <n v="101.0"/>
        <n v="198.0"/>
        <n v="3224.0"/>
        <n v="191.0"/>
        <n v="1954.0"/>
        <n v="973.0"/>
        <n v="5433.0"/>
        <n v="4913.0"/>
        <n v="827.0"/>
        <n v="1087.0"/>
        <n v="579.0"/>
        <n v="712.0"/>
        <n v="1815.0"/>
        <n v="5006.0"/>
        <n v="3564.0"/>
        <n v="126.0"/>
        <n v="5889.0"/>
        <n v="5796.0"/>
        <n v="5347.0"/>
        <n v="3275.0"/>
        <n v="5310.0"/>
        <n v="2826.0"/>
        <n v="231.0"/>
        <n v="4678.0"/>
        <n v="2815.0"/>
        <n v="3569.0"/>
        <n v="2825.0"/>
        <n v="3235.0"/>
        <n v="4840.0"/>
        <n v="6135.0"/>
        <n v="5987.0"/>
        <n v="119.0"/>
        <n v="192.0"/>
        <n v="445.0"/>
        <n v="8184.0"/>
        <n v="136.0"/>
        <n v="775.0"/>
        <n v="613.0"/>
        <n v="2781.0"/>
        <n v="4123.0"/>
        <n v="953.0"/>
        <n v="1216.0"/>
        <n v="5765.0"/>
        <n v="21.0"/>
        <n v="2800.0"/>
        <n v="1717.0"/>
        <n v="3099.0"/>
        <n v="640.0"/>
        <n v="570.0"/>
        <n v="153.0"/>
        <n v="751.0"/>
        <n v="708.0"/>
        <n v="1283.0"/>
        <n v="4331.0"/>
        <n v="3648.0"/>
        <n v="880.0"/>
        <n v="419.0"/>
        <n v="5743.0"/>
        <n v="4424.0"/>
        <n v="4432.0"/>
        <n v="711.0"/>
        <n v="883.0"/>
        <n v="1006.0"/>
        <n v="890.0"/>
        <n v="7499.0"/>
        <n v="639.0"/>
        <n v="951.0"/>
        <n v="1730.0"/>
        <n v="1193.0"/>
        <n v="3693.0"/>
        <n v="2127.0"/>
        <n v="5156.0"/>
        <n v="444.0"/>
        <n v="4061.0"/>
        <n v="2045.0"/>
        <n v="582.0"/>
        <n v="2135.0"/>
        <n v="402.0"/>
        <n v="1177.0"/>
        <n v="876.0"/>
        <n v="597.0"/>
        <n v="1738.0"/>
        <n v="803.0"/>
        <n v="815.0"/>
        <n v="3899.0"/>
        <n v="1973.0"/>
        <n v="4790.0"/>
        <n v="7899.0"/>
        <n v="4318.0"/>
        <n v="1834.0"/>
        <n v="5709.0"/>
        <n v="1223.0"/>
        <n v="555.0"/>
        <n v="2708.0"/>
        <n v="561.0"/>
        <n v="233.0"/>
        <n v="835.0"/>
        <n v="1933.0"/>
        <n v="203.0"/>
        <n v="2029.0"/>
        <n v="1015.0"/>
        <n v="1013.0"/>
        <n v="3924.0"/>
        <n v="2958.0"/>
        <n v="1318.0"/>
        <n v="2850.0"/>
        <n v="43.0"/>
        <n v="4128.0"/>
        <n v="1513.0"/>
        <n v="987.0"/>
        <n v="851.0"/>
        <n v="3949.0"/>
        <n v="477.0"/>
        <n v="2534.0"/>
        <n v="726.0"/>
        <n v="303.0"/>
        <n v="82.0"/>
        <n v="3819.0"/>
        <n v="2599.0"/>
        <n v="1733.0"/>
        <n v="5385.0"/>
        <n v="6158.0"/>
        <n v="1175.0"/>
        <n v="730.0"/>
        <n v="1102.0"/>
        <n v="1857.0"/>
        <n v="487.0"/>
        <n v="5275.0"/>
        <n v="2181.0"/>
        <n v="4379.0"/>
        <n v="841.0"/>
        <n v="1755.0"/>
        <n v="1266.0"/>
        <n v="457.0"/>
        <n v="5937.0"/>
        <n v="480.0"/>
        <n v="6246.0"/>
        <n v="2835.0"/>
        <n v="440.0"/>
        <n v="4020.0"/>
        <n v="2714.0"/>
        <n v="388.0"/>
        <n v="3245.0"/>
        <n v="3695.0"/>
        <n v="397.0"/>
        <n v="268.0"/>
        <n v="501.0"/>
        <n v="347.0"/>
        <n v="181.0"/>
        <n v="1852.0"/>
        <n v="3368.0"/>
        <n v="1209.0"/>
        <n v="204.0"/>
        <n v="8751.0"/>
        <n v="585.0"/>
        <n v="3987.0"/>
        <n v="568.0"/>
        <n v="2615.0"/>
        <n v="1251.0"/>
        <n v="603.0"/>
        <n v="212.0"/>
        <n v="7050.0"/>
        <n v="427.0"/>
        <n v="1364.0"/>
        <n v="8069.0"/>
        <n v="392.0"/>
        <n v="66.0"/>
        <n v="1124.0"/>
        <n v="6235.0"/>
        <n v="1905.0"/>
        <n v="1736.0"/>
        <n v="147.0"/>
        <n v="638.0"/>
        <n v="5217.0"/>
        <n v="3274.0"/>
        <n v="5105.0"/>
        <n v="824.0"/>
        <n v="1909.0"/>
        <n v="469.0"/>
        <n v="3544.0"/>
        <n v="7237.0"/>
        <n v="2397.0"/>
        <n v="1148.0"/>
        <n v="127.0"/>
        <n v="5645.0"/>
        <n v="3011.0"/>
        <n v="9004.0"/>
        <n v="3350.0"/>
        <n v="3296.0"/>
        <n v="265.0"/>
        <n v="277.0"/>
        <n v="5849.0"/>
        <n v="264.0"/>
        <n v="3926.0"/>
        <n v="246.0"/>
        <n v="7990.0"/>
        <n v="166.0"/>
        <n v="584.0"/>
        <n v="2734.0"/>
        <n v="571.0"/>
        <n v="3955.0"/>
        <n v="210.0"/>
        <n v="1192.0"/>
        <n v="275.0"/>
        <n v="1054.0"/>
        <n v="120.0"/>
        <n v="853.0"/>
        <n v="2073.0"/>
        <n v="1725.0"/>
        <n v="6688.0"/>
        <n v="5468.0"/>
        <n v="2558.0"/>
        <n v="870.0"/>
        <n v="1330.0"/>
        <n v="869.0"/>
        <n v="245.0"/>
        <n v="1092.0"/>
        <n v="2935.0"/>
        <n v="885.0"/>
        <n v="864.0"/>
        <n v="2502.0"/>
        <n v="3950.0"/>
        <n v="143.0"/>
        <n v="668.0"/>
        <n v="1939.0"/>
        <n v="5935.0"/>
        <n v="1861.0"/>
        <n v="4063.0"/>
        <n v="1843.0"/>
        <n v="6274.0"/>
        <n v="3170.0"/>
        <n v="676.0"/>
        <n v="369.0"/>
        <n v="4900.0"/>
        <n v="1390.0"/>
        <n v="5644.0"/>
        <n v="1881.0"/>
        <n v="2994.0"/>
        <n v="5095.0"/>
        <n v="1782.0"/>
        <n v="4485.0"/>
        <n v="895.0"/>
        <n v="2071.0"/>
        <n v="370.0"/>
        <n v="698.0"/>
        <n v="2519.0"/>
        <n v="1635.0"/>
        <n v="2720.0"/>
        <n v="1759.0"/>
        <n v="7303.0"/>
        <n v="478.0"/>
        <n v="1084.0"/>
        <n v="702.0"/>
        <n v="1863.0"/>
        <n v="2883.0"/>
        <n v="1657.0"/>
        <n v="935.0"/>
        <n v="3853.0"/>
        <n v="1579.0"/>
        <n v="1671.0"/>
        <n v="180.0"/>
        <n v="1587.0"/>
        <n v="4535.0"/>
        <n v="1319.0"/>
        <n v="1557.0"/>
        <n v="8102.0"/>
        <n v="949.0"/>
        <n v="473.0"/>
        <n v="1832.0"/>
        <n v="6234.0"/>
        <n v="2171.0"/>
        <n v="506.0"/>
        <n v="627.0"/>
        <n v="281.0"/>
        <n v="3783.0"/>
        <n v="1519.0"/>
        <n v="472.0"/>
        <n v="976.0"/>
        <n v="8045.0"/>
        <n v="643.0"/>
        <n v="230.0"/>
        <n v="5206.0"/>
        <n v="2030.0"/>
        <n v="4768.0"/>
        <n v="3640.0"/>
        <n v="587.0"/>
        <n v="95.0"/>
        <n v="5384.0"/>
        <n v="23.0"/>
        <n v="2216.0"/>
        <n v="151.0"/>
        <n v="1980.0"/>
        <n v="3761.0"/>
        <n v="939.0"/>
        <n v="358.0"/>
        <n v="5567.0"/>
        <n v="5966.0"/>
        <n v="336.0"/>
        <n v="400.0"/>
        <n v="997.0"/>
        <n v="306.0"/>
        <n v="3960.0"/>
        <n v="660.0"/>
        <n v="1288.0"/>
        <n v="3203.0"/>
        <n v="4377.0"/>
        <n v="2299.0"/>
        <n v="5930.0"/>
        <n v="3051.0"/>
        <n v="1149.0"/>
        <n v="2335.0"/>
        <n v="2484.0"/>
        <n v="3383.0"/>
        <n v="4668.0"/>
        <n v="2733.0"/>
        <n v="292.0"/>
        <n v="6497.0"/>
        <n v="4448.0"/>
        <n v="6894.0"/>
        <n v="3037.0"/>
        <n v="642.0"/>
        <n v="1772.0"/>
        <n v="170.0"/>
        <n v="1711.0"/>
        <n v="4094.0"/>
        <n v="3619.0"/>
        <n v="2912.0"/>
        <n v="14.0"/>
        <n v="6772.0"/>
        <n v="2761.0"/>
        <n v="6997.0"/>
        <n v="86.0"/>
        <n v="2646.0"/>
        <n v="5822.0"/>
        <n v="1189.0"/>
        <n v="220.0"/>
        <n v="108.0"/>
        <n v="612.0"/>
        <n v="4105.0"/>
        <n v="1179.0"/>
        <n v="3704.0"/>
        <n v="332.0"/>
        <n v="4628.0"/>
        <n v="6732.0"/>
        <n v="2742.0"/>
        <n v="7072.0"/>
        <n v="7555.0"/>
        <n v="4384.0"/>
        <n v="1052.0"/>
        <n v="407.0"/>
        <n v="2008.0"/>
        <n v="4135.0"/>
        <n v="1244.0"/>
        <n v="2688.0"/>
        <n v="1763.0"/>
        <n v="157.0"/>
        <n v="817.0"/>
        <n v="131.0"/>
        <n v="2971.0"/>
        <n v="3626.0"/>
        <n v="521.0"/>
        <n v="3360.0"/>
        <n v="1998.0"/>
        <n v="7329.0"/>
        <n v="2925.0"/>
        <n v="2226.0"/>
        <n v="4742.0"/>
        <n v="1746.0"/>
        <n v="770.0"/>
        <n v="5151.0"/>
        <n v="1800.0"/>
        <n v="2198.0"/>
        <n v="5438.0"/>
        <n v="3920.0"/>
        <n v="219.0"/>
        <n v="6063.0"/>
        <n v="2142.0"/>
        <n v="4700.0"/>
        <n v="340.0"/>
        <n v="278.0"/>
        <n v="6176.0"/>
        <n v="386.0"/>
        <n v="789.0"/>
        <n v="55.0"/>
        <n v="2136.0"/>
        <n v="304.0"/>
        <n v="690.0"/>
        <n v="3357.0"/>
        <n v="7244.0"/>
        <n v="351.0"/>
        <n v="1802.0"/>
        <n v="1880.0"/>
        <n v="3863.0"/>
        <n v="2954.0"/>
        <n v="4926.0"/>
        <n v="282.0"/>
        <n v="3703.0"/>
        <n v="6146.0"/>
        <n v="363.0"/>
        <n v="4249.0"/>
        <n v="3345.0"/>
        <n v="6692.0"/>
        <n v="1716.0"/>
        <n v="1130.0"/>
        <n v="4344.0"/>
        <n v="1094.0"/>
        <n v="1957.0"/>
        <n v="3994.0"/>
        <n v="912.0"/>
        <n v="688.0"/>
        <n v="325.0"/>
        <n v="247.0"/>
        <n v="451.0"/>
        <n v="2763.0"/>
        <n v="436.0"/>
        <n v="1037.0"/>
        <n v="3618.0"/>
        <n v="1156.0"/>
        <n v="142.0"/>
        <n v="4480.0"/>
        <n v="2105.0"/>
        <n v="8693.0"/>
        <n v="1873.0"/>
        <n v="6413.0"/>
        <n v="5186.0"/>
        <n v="6245.0"/>
        <n v="4032.0"/>
        <n v="3441.0"/>
        <n v="1654.0"/>
        <n v="2145.0"/>
        <n v="599.0"/>
        <n v="1485.0"/>
        <n v="1181.0"/>
        <n v="248.0"/>
        <n v="2233.0"/>
        <n v="1813.0"/>
        <n v="104.0"/>
        <n v="1279.0"/>
        <n v="293.0"/>
        <n v="1145.0"/>
        <n v="2263.0"/>
        <n v="625.0"/>
        <n v="6825.0"/>
        <n v="2582.0"/>
        <n v="4575.0"/>
        <n v="3209.0"/>
        <n v="610.0"/>
        <n v="251.0"/>
        <n v="404.0"/>
        <n v="3012.0"/>
        <n v="3257.0"/>
        <n v="595.0"/>
        <n v="2070.0"/>
        <n v="7492.0"/>
        <n v="989.0"/>
        <n v="897.0"/>
        <n v="1184.0"/>
        <n v="5110.0"/>
        <n v="3543.0"/>
        <n v="3434.0"/>
        <n v="5361.0"/>
        <n v="2966.0"/>
        <n v="302.0"/>
        <n v="1033.0"/>
        <n v="2640.0"/>
        <n v="1937.0"/>
        <n v="5170.0"/>
        <n v="1100.0"/>
        <n v="437.0"/>
        <n v="812.0"/>
        <n v="631.0"/>
        <n v="2324.0"/>
        <n v="5014.0"/>
        <n v="1158.0"/>
        <n v="61.0"/>
        <n v="2715.0"/>
        <n v="3490.0"/>
        <n v="3093.0"/>
        <n v="337.0"/>
        <n v="6817.0"/>
        <n v="2913.0"/>
        <n v="5425.0"/>
        <n v="1888.0"/>
        <n v="376.0"/>
        <n v="234.0"/>
        <n v="486.0"/>
        <n v="122.0"/>
        <n v="1891.0"/>
        <n v="1167.0"/>
        <n v="2230.0"/>
        <n v="285.0"/>
        <n v="6454.0"/>
        <n v="410.0"/>
        <n v="100.0"/>
        <n v="164.0"/>
        <n v="1753.0"/>
        <n v="807.0"/>
        <n v="7514.0"/>
        <n v="1848.0"/>
        <n v="140.0"/>
        <n v="2009.0"/>
        <n v="969.0"/>
        <n v="1091.0"/>
        <n v="2056.0"/>
        <n v="590.0"/>
        <n v="1035.0"/>
        <n v="2465.0"/>
        <n v="252.0"/>
        <n v="1228.0"/>
        <n v="6856.0"/>
        <n v="7260.0"/>
        <n v="2090.0"/>
        <n v="488.0"/>
        <n v="308.0"/>
        <n v="97.0"/>
        <n v="6444.0"/>
        <n v="5307.0"/>
        <n v="3614.0"/>
        <n v="7284.0"/>
        <n v="360.0"/>
        <n v="784.0"/>
        <n v="32.0"/>
        <n v="475.0"/>
        <n v="2346.0"/>
        <n v="1934.0"/>
        <n v="819.0"/>
        <n v="5511.0"/>
        <n v="776.0"/>
        <n v="2651.0"/>
        <n v="653.0"/>
        <m/>
      </sharedItems>
    </cacheField>
    <cacheField name="Total Cost (INR)" numFmtId="0">
      <sharedItems containsString="0" containsBlank="1" containsNumber="1" containsInteger="1">
        <n v="415332.0"/>
        <n v="390930.0"/>
        <n v="69969.0"/>
        <n v="151226.0"/>
        <n v="169818.0"/>
        <n v="37101.0"/>
        <n v="161684.0"/>
        <n v="19920.0"/>
        <n v="63246.0"/>
        <n v="225013.0"/>
        <n v="31955.0"/>
        <n v="66400.0"/>
        <n v="98438.0"/>
        <n v="25315.0"/>
        <n v="178948.0"/>
        <n v="62997.0"/>
        <n v="303199.0"/>
        <n v="249083.0"/>
        <n v="39093.0"/>
        <n v="113710.0"/>
        <n v="400641.0"/>
        <n v="94703.0"/>
        <n v="65902.0"/>
        <n v="62167.0"/>
        <n v="267094.0"/>
        <n v="468120.0"/>
        <n v="152720.0"/>
        <n v="296974.0"/>
        <n v="22659.0"/>
        <n v="15770.0"/>
        <n v="70384.0"/>
        <n v="408194.0"/>
        <n v="181604.0"/>
        <n v="167992.0"/>
        <n v="216713.0"/>
        <n v="2822.0"/>
        <n v="195216.0"/>
        <n v="126326.0"/>
        <n v="69720.0"/>
        <n v="14774.0"/>
        <n v="14857.0"/>
        <n v="10209.0"/>
        <n v="58515.0"/>
        <n v="335901.0"/>
        <n v="493684.0"/>
        <n v="93458.0"/>
        <n v="59760.0"/>
        <n v="14691.0"/>
        <n v="381219.0"/>
        <n v="191149.0"/>
        <n v="439070.0"/>
        <n v="205010.0"/>
        <n v="12035.0"/>
        <n v="36022.0"/>
        <n v="132468.0"/>
        <n v="702844.0"/>
        <n v="151807.0"/>
        <n v="144337.0"/>
        <n v="122508.0"/>
        <n v="15355.0"/>
        <n v="28469.0"/>
        <n v="110888.0"/>
        <n v="600837.0"/>
        <n v="404210.0"/>
        <n v="11039.0"/>
        <n v="454010.0"/>
        <n v="13114.0"/>
        <n v="61005.0"/>
        <n v="37765.0"/>
        <n v="170482.0"/>
        <n v="16766.0"/>
        <n v="642171.0"/>
        <n v="41915.0"/>
        <n v="84909.0"/>
        <n v="13944.0"/>
        <n v="459737.0"/>
        <n v="102090.0"/>
        <n v="319135.0"/>
        <n v="266264.0"/>
        <n v="699524.0"/>
        <n v="245348.0"/>
        <n v="108564.0"/>
        <n v="221278.0"/>
        <n v="123504.0"/>
        <n v="390764.0"/>
        <n v="590628.0"/>
        <n v="423632.0"/>
        <n v="15189.0"/>
        <n v="200777.0"/>
        <n v="256968.0"/>
        <n v="250494.0"/>
        <n v="145914.0"/>
        <n v="103086.0"/>
        <n v="304610.0"/>
        <n v="238127.0"/>
        <n v="15272.0"/>
        <n v="25481.0"/>
        <n v="407281.0"/>
        <n v="71048.0"/>
        <n v="128567.0"/>
        <n v="190402.0"/>
        <n v="76028.0"/>
        <n v="213227.0"/>
        <n v="125662.0"/>
        <n v="29963.0"/>
        <n v="115121.0"/>
        <n v="462310.0"/>
        <n v="27058.0"/>
        <n v="57851.0"/>
        <n v="67562.0"/>
        <n v="83083.0"/>
        <n v="300626.0"/>
        <n v="288176.0"/>
        <n v="33947.0"/>
        <n v="29382.0"/>
        <n v="215302.0"/>
        <n v="230491.0"/>
        <n v="185588.0"/>
        <n v="120267.0"/>
        <n v="407198.0"/>
        <n v="88644.0"/>
        <n v="126492.0"/>
        <n v="40587.0"/>
        <n v="213808.0"/>
        <n v="463223.0"/>
        <n v="45235.0"/>
        <n v="165004.0"/>
        <n v="24568.0"/>
        <n v="382381.0"/>
        <n v="22078.0"/>
        <n v="362378.0"/>
        <n v="217128.0"/>
        <n v="309673.0"/>
        <n v="243688.0"/>
        <n v="527299.0"/>
        <n v="4648.0"/>
        <n v="210737.0"/>
        <n v="700686.0"/>
        <n v="51958.0"/>
        <n v="112631.0"/>
        <n v="98853.0"/>
        <n v="16351.0"/>
        <n v="63827.0"/>
        <n v="235803.0"/>
        <n v="103501.0"/>
        <n v="25813.0"/>
        <n v="21663.0"/>
        <n v="118192.0"/>
        <n v="441477.0"/>
        <n v="51211.0"/>
        <n v="156787.0"/>
        <n v="296061.0"/>
        <n v="32370.0"/>
        <n v="5976.0"/>
        <n v="391677.0"/>
        <n v="372587.0"/>
        <n v="45484.0"/>
        <n v="36603.0"/>
        <n v="132219.0"/>
        <n v="5644.0"/>
        <n v="26311.0"/>
        <n v="523564.0"/>
        <n v="17347.0"/>
        <n v="163925.0"/>
        <n v="685580.0"/>
        <n v="64989.0"/>
        <n v="50713.0"/>
        <n v="41417.0"/>
        <n v="70467.0"/>
        <n v="678608.0"/>
        <n v="319633.0"/>
        <n v="3818.0"/>
        <n v="37516.0"/>
        <n v="179280.0"/>
        <n v="52207.0"/>
        <n v="116283.0"/>
        <n v="58847.0"/>
        <n v="47476.0"/>
        <n v="14193.0"/>
        <n v="30959.0"/>
        <n v="81340.0"/>
        <n v="311748.0"/>
        <n v="139523.0"/>
        <n v="555270.0"/>
        <n v="7553.0"/>
        <n v="31623.0"/>
        <n v="4233.0"/>
        <n v="87067.0"/>
        <n v="60424.0"/>
        <n v="164174.0"/>
        <n v="201856.0"/>
        <n v="476337.0"/>
        <n v="73953.0"/>
        <n v="42662.0"/>
        <n v="49966.0"/>
        <n v="158364.0"/>
        <n v="175628.0"/>
        <n v="55195.0"/>
        <n v="19671.0"/>
        <n v="298800.0"/>
        <n v="146495.0"/>
        <n v="263774.0"/>
        <n v="379891.0"/>
        <n v="88478.0"/>
        <n v="576103.0"/>
        <n v="25647.0"/>
        <n v="421308.0"/>
        <n v="38014.0"/>
        <n v="274979.0"/>
        <n v="89225.0"/>
        <n v="25979.0"/>
        <n v="155791.0"/>
        <n v="572036.0"/>
        <n v="18343.0"/>
        <n v="397321.0"/>
        <n v="726665.0"/>
        <n v="101260.0"/>
        <n v="120765.0"/>
        <n v="55527.0"/>
        <n v="64823.0"/>
        <n v="479989.0"/>
        <n v="64076.0"/>
        <n v="20003.0"/>
        <n v="35524.0"/>
        <n v="90055.0"/>
        <n v="6391.0"/>
        <n v="139274.0"/>
        <n v="46895.0"/>
        <n v="361050.0"/>
        <n v="259458.0"/>
        <n v="94288.0"/>
        <n v="80178.0"/>
        <n v="474926.0"/>
        <n v="733139.0"/>
        <n v="340466.0"/>
        <n v="30793.0"/>
        <n v="428280.0"/>
        <n v="192477.0"/>
        <n v="8798.0"/>
        <n v="33034.0"/>
        <n v="258047.0"/>
        <n v="56191.0"/>
        <n v="34860.0"/>
        <n v="445627.0"/>
        <n v="35939.0"/>
        <n v="137780.0"/>
        <n v="60341.0"/>
        <n v="44737.0"/>
        <n v="242526.0"/>
        <n v="139938.0"/>
        <n v="9462.0"/>
        <n v="149317.0"/>
        <n v="299547.0"/>
        <n v="124417.0"/>
        <n v="527216.0"/>
        <n v="89308.0"/>
        <n v="294401.0"/>
        <n v="83996.0"/>
        <n v="117694.0"/>
        <n v="700354.0"/>
        <n v="44322.0"/>
        <n v="146246.0"/>
        <n v="12616.0"/>
        <n v="479408.0"/>
        <n v="84992.0"/>
        <n v="29216.0"/>
        <n v="484139.0"/>
        <n v="23157.0"/>
        <n v="45318.0"/>
        <n v="70135.0"/>
        <n v="76858.0"/>
        <n v="63412.0"/>
        <n v="136369.0"/>
        <n v="324613.0"/>
        <n v="56440.0"/>
        <n v="88063.0"/>
        <n v="536014.0"/>
        <n v="180940.0"/>
        <n v="487791.0"/>
        <n v="408526.0"/>
        <n v="18094.0"/>
        <n v="98106.0"/>
        <n v="38346.0"/>
        <n v="183679.0"/>
        <n v="9711.0"/>
        <n v="78518.0"/>
        <n v="49883.0"/>
        <n v="32868.0"/>
        <n v="85075.0"/>
        <n v="99517.0"/>
        <n v="44903.0"/>
        <n v="588968.0"/>
        <n v="387776.0"/>
        <n v="92213.0"/>
        <n v="30544.0"/>
        <n v="11122.0"/>
        <n v="99683.0"/>
        <n v="358477.0"/>
        <n v="32702.0"/>
        <n v="55112.0"/>
        <n v="292077.0"/>
        <n v="474594.0"/>
        <n v="19505.0"/>
        <n v="78352.0"/>
        <n v="42247.0"/>
        <n v="631547.0"/>
        <n v="59843.0"/>
        <n v="43741.0"/>
        <n v="6889.0"/>
        <n v="35275.0"/>
        <n v="270497.0"/>
        <n v="57685.0"/>
        <n v="59179.0"/>
        <n v="271244.0"/>
        <n v="266015.0"/>
        <n v="70218.0"/>
        <n v="481732.0"/>
        <n v="170731.0"/>
        <n v="135207.0"/>
        <n v="51377.0"/>
        <n v="2988.0"/>
        <n v="39010.0"/>
        <n v="44239.0"/>
        <n v="43658.0"/>
        <n v="19588.0"/>
        <n v="240866.0"/>
        <n v="458907.0"/>
        <n v="65653.0"/>
        <n v="122674.0"/>
        <n v="135788.0"/>
        <n v="386448.0"/>
        <n v="82668.0"/>
        <n v="48887.0"/>
        <n v="217709.0"/>
        <n v="35192.0"/>
        <n v="71214.0"/>
        <n v="24153.0"/>
        <n v="162597.0"/>
        <n v="204014.0"/>
        <n v="20999.0"/>
        <n v="64491.0"/>
        <n v="45816.0"/>
        <n v="383958.0"/>
        <n v="109145.0"/>
        <n v="110224.0"/>
        <n v="7470.0"/>
        <n v="325775.0"/>
        <n v="413423.0"/>
        <n v="17679.0"/>
        <n v="228416.0"/>
        <n v="53784.0"/>
        <n v="62416.0"/>
        <n v="6723.0"/>
        <n v="355489.0"/>
        <n v="83747.0"/>
        <n v="264023.0"/>
        <n v="188742.0"/>
        <n v="163344.0"/>
        <n v="8383.0"/>
        <n v="16434.0"/>
        <n v="267592.0"/>
        <n v="15853.0"/>
        <n v="162182.0"/>
        <n v="80759.0"/>
        <n v="450939.0"/>
        <n v="407779.0"/>
        <n v="68641.0"/>
        <n v="90221.0"/>
        <n v="48057.0"/>
        <n v="59096.0"/>
        <n v="150645.0"/>
        <n v="415498.0"/>
        <n v="295812.0"/>
        <n v="10458.0"/>
        <n v="488787.0"/>
        <n v="481068.0"/>
        <n v="443801.0"/>
        <n v="271825.0"/>
        <n v="440730.0"/>
        <n v="234558.0"/>
        <n v="19173.0"/>
        <n v="388274.0"/>
        <n v="233645.0"/>
        <n v="296227.0"/>
        <n v="234475.0"/>
        <n v="268505.0"/>
        <n v="401720.0"/>
        <n v="509205.0"/>
        <n v="496921.0"/>
        <n v="9877.0"/>
        <n v="15936.0"/>
        <n v="36935.0"/>
        <n v="679272.0"/>
        <n v="11288.0"/>
        <n v="64325.0"/>
        <n v="50879.0"/>
        <n v="230823.0"/>
        <n v="342209.0"/>
        <n v="79099.0"/>
        <n v="100928.0"/>
        <n v="478495.0"/>
        <n v="1743.0"/>
        <n v="232400.0"/>
        <n v="142511.0"/>
        <n v="257217.0"/>
        <n v="53120.0"/>
        <n v="47310.0"/>
        <n v="12699.0"/>
        <n v="62333.0"/>
        <n v="58764.0"/>
        <n v="106489.0"/>
        <n v="359473.0"/>
        <n v="302784.0"/>
        <n v="73040.0"/>
        <n v="34777.0"/>
        <n v="476669.0"/>
        <n v="367192.0"/>
        <n v="367856.0"/>
        <n v="59013.0"/>
        <n v="73289.0"/>
        <n v="83498.0"/>
        <n v="73870.0"/>
        <n v="622417.0"/>
        <n v="53037.0"/>
        <n v="78933.0"/>
        <n v="143590.0"/>
        <n v="99019.0"/>
        <n v="306519.0"/>
        <n v="176541.0"/>
        <n v="427948.0"/>
        <n v="36852.0"/>
        <n v="337063.0"/>
        <n v="169735.0"/>
        <n v="48306.0"/>
        <n v="177205.0"/>
        <n v="33366.0"/>
        <n v="97691.0"/>
        <n v="72708.0"/>
        <n v="49551.0"/>
        <n v="144254.0"/>
        <n v="66649.0"/>
        <n v="67645.0"/>
        <n v="323617.0"/>
        <n v="163759.0"/>
        <n v="397570.0"/>
        <n v="655617.0"/>
        <n v="358394.0"/>
        <n v="152222.0"/>
        <n v="473847.0"/>
        <n v="101509.0"/>
        <n v="46065.0"/>
        <n v="224764.0"/>
        <n v="46563.0"/>
        <n v="19339.0"/>
        <n v="69305.0"/>
        <n v="160439.0"/>
        <n v="16849.0"/>
        <n v="168407.0"/>
        <n v="84245.0"/>
        <n v="84079.0"/>
        <n v="325692.0"/>
        <n v="245514.0"/>
        <n v="109394.0"/>
        <n v="236550.0"/>
        <n v="3569.0"/>
        <n v="342624.0"/>
        <n v="125579.0"/>
        <n v="81921.0"/>
        <n v="70633.0"/>
        <n v="327767.0"/>
        <n v="39591.0"/>
        <n v="210322.0"/>
        <n v="60258.0"/>
        <n v="25149.0"/>
        <n v="6806.0"/>
        <n v="316977.0"/>
        <n v="215717.0"/>
        <n v="143839.0"/>
        <n v="446955.0"/>
        <n v="511114.0"/>
        <n v="97525.0"/>
        <n v="60590.0"/>
        <n v="91466.0"/>
        <n v="154131.0"/>
        <n v="40421.0"/>
        <n v="437825.0"/>
        <n v="181023.0"/>
        <n v="363457.0"/>
        <n v="69803.0"/>
        <n v="145665.0"/>
        <n v="105078.0"/>
        <n v="37931.0"/>
        <n v="492771.0"/>
        <n v="39840.0"/>
        <n v="518418.0"/>
        <n v="235305.0"/>
        <n v="36520.0"/>
        <n v="333660.0"/>
        <n v="225262.0"/>
        <n v="32204.0"/>
        <n v="269335.0"/>
        <n v="306685.0"/>
        <n v="32951.0"/>
        <n v="22244.0"/>
        <n v="41583.0"/>
        <n v="28801.0"/>
        <n v="15023.0"/>
        <n v="153716.0"/>
        <n v="279544.0"/>
        <n v="100347.0"/>
        <n v="16932.0"/>
        <n v="726333.0"/>
        <n v="48555.0"/>
        <n v="330921.0"/>
        <n v="47144.0"/>
        <n v="217045.0"/>
        <n v="103833.0"/>
        <n v="50049.0"/>
        <n v="17596.0"/>
        <n v="585150.0"/>
        <n v="35441.0"/>
        <n v="113212.0"/>
        <n v="669727.0"/>
        <n v="32536.0"/>
        <n v="5478.0"/>
        <n v="93292.0"/>
        <n v="517505.0"/>
        <n v="158115.0"/>
        <n v="144088.0"/>
        <n v="12201.0"/>
        <n v="52954.0"/>
        <n v="433011.0"/>
        <n v="271742.0"/>
        <n v="423715.0"/>
        <n v="68392.0"/>
        <n v="158447.0"/>
        <n v="38927.0"/>
        <n v="294152.0"/>
        <n v="600671.0"/>
        <n v="198951.0"/>
        <n v="95284.0"/>
        <n v="10541.0"/>
        <n v="468535.0"/>
        <n v="249913.0"/>
        <n v="747332.0"/>
        <n v="278050.0"/>
        <n v="273568.0"/>
        <n v="21995.0"/>
        <n v="22991.0"/>
        <n v="485467.0"/>
        <n v="21912.0"/>
        <n v="325858.0"/>
        <n v="20418.0"/>
        <n v="663170.0"/>
        <n v="13778.0"/>
        <n v="48472.0"/>
        <n v="226922.0"/>
        <n v="47393.0"/>
        <n v="328265.0"/>
        <n v="17430.0"/>
        <n v="98936.0"/>
        <n v="22825.0"/>
        <n v="87482.0"/>
        <n v="9960.0"/>
        <n v="70799.0"/>
        <n v="172059.0"/>
        <n v="143175.0"/>
        <n v="555104.0"/>
        <n v="453844.0"/>
        <n v="212314.0"/>
        <n v="72210.0"/>
        <n v="110390.0"/>
        <n v="72127.0"/>
        <n v="20335.0"/>
        <n v="90636.0"/>
        <n v="243605.0"/>
        <n v="73455.0"/>
        <n v="71712.0"/>
        <n v="207666.0"/>
        <n v="327850.0"/>
        <n v="11869.0"/>
        <n v="55444.0"/>
        <n v="160937.0"/>
        <n v="492605.0"/>
        <n v="154463.0"/>
        <n v="337229.0"/>
        <n v="152969.0"/>
        <n v="520742.0"/>
        <n v="263110.0"/>
        <n v="56108.0"/>
        <n v="30627.0"/>
        <n v="406700.0"/>
        <n v="115370.0"/>
        <n v="468452.0"/>
        <n v="156123.0"/>
        <n v="248502.0"/>
        <n v="422885.0"/>
        <n v="147906.0"/>
        <n v="372255.0"/>
        <n v="74285.0"/>
        <n v="171893.0"/>
        <n v="30710.0"/>
        <n v="57934.0"/>
        <n v="209077.0"/>
        <n v="135705.0"/>
        <n v="225760.0"/>
        <n v="145997.0"/>
        <n v="606149.0"/>
        <n v="39674.0"/>
        <n v="89972.0"/>
        <n v="58266.0"/>
        <n v="154629.0"/>
        <n v="239289.0"/>
        <n v="137531.0"/>
        <n v="77605.0"/>
        <n v="319799.0"/>
        <n v="131057.0"/>
        <n v="138693.0"/>
        <n v="14940.0"/>
        <n v="131721.0"/>
        <n v="376405.0"/>
        <n v="109477.0"/>
        <n v="129231.0"/>
        <n v="672466.0"/>
        <n v="78767.0"/>
        <n v="39259.0"/>
        <n v="152056.0"/>
        <n v="517422.0"/>
        <n v="180193.0"/>
        <n v="41998.0"/>
        <n v="52041.0"/>
        <n v="23323.0"/>
        <n v="313989.0"/>
        <n v="126077.0"/>
        <n v="39176.0"/>
        <n v="81008.0"/>
        <n v="667735.0"/>
        <n v="53369.0"/>
        <n v="19090.0"/>
        <n v="432098.0"/>
        <n v="168490.0"/>
        <n v="395744.0"/>
        <n v="302120.0"/>
        <n v="48721.0"/>
        <n v="7885.0"/>
        <n v="446872.0"/>
        <n v="1909.0"/>
        <n v="183928.0"/>
        <n v="12533.0"/>
        <n v="164340.0"/>
        <n v="312163.0"/>
        <n v="77937.0"/>
        <n v="29714.0"/>
        <n v="462061.0"/>
        <n v="495178.0"/>
        <n v="27888.0"/>
        <n v="33200.0"/>
        <n v="82751.0"/>
        <n v="25398.0"/>
        <n v="328680.0"/>
        <n v="54780.0"/>
        <n v="106904.0"/>
        <n v="265849.0"/>
        <n v="363291.0"/>
        <n v="190817.0"/>
        <n v="492190.0"/>
        <n v="253233.0"/>
        <n v="95367.0"/>
        <n v="193805.0"/>
        <n v="206172.0"/>
        <n v="280789.0"/>
        <n v="387444.0"/>
        <n v="226839.0"/>
        <n v="24236.0"/>
        <n v="539251.0"/>
        <n v="369184.0"/>
        <n v="572202.0"/>
        <n v="252071.0"/>
        <n v="53286.0"/>
        <n v="147076.0"/>
        <n v="14110.0"/>
        <n v="142013.0"/>
        <n v="339802.0"/>
        <n v="300377.0"/>
        <n v="241696.0"/>
        <n v="1162.0"/>
        <n v="562076.0"/>
        <n v="229163.0"/>
        <n v="580751.0"/>
        <n v="7138.0"/>
        <n v="219618.0"/>
        <n v="483226.0"/>
        <n v="98687.0"/>
        <n v="18260.0"/>
        <n v="8964.0"/>
        <n v="50796.0"/>
        <n v="340715.0"/>
        <n v="97857.0"/>
        <n v="307432.0"/>
        <n v="27556.0"/>
        <n v="384124.0"/>
        <n v="558756.0"/>
        <n v="227586.0"/>
        <n v="586976.0"/>
        <n v="627065.0"/>
        <n v="363872.0"/>
        <n v="87316.0"/>
        <n v="33781.0"/>
        <n v="166664.0"/>
        <n v="343205.0"/>
        <n v="103252.0"/>
        <n v="223104.0"/>
        <n v="146329.0"/>
        <n v="13031.0"/>
        <n v="67811.0"/>
        <n v="10873.0"/>
        <n v="246593.0"/>
        <n v="300958.0"/>
        <n v="43243.0"/>
        <n v="278880.0"/>
        <n v="165834.0"/>
        <n v="608307.0"/>
        <n v="242775.0"/>
        <n v="184758.0"/>
        <n v="393586.0"/>
        <n v="144918.0"/>
        <n v="63910.0"/>
        <n v="427533.0"/>
        <n v="149400.0"/>
        <n v="182434.0"/>
        <n v="451354.0"/>
        <n v="325360.0"/>
        <n v="18177.0"/>
        <n v="503229.0"/>
        <n v="177786.0"/>
        <n v="390100.0"/>
        <n v="28220.0"/>
        <n v="23074.0"/>
        <n v="512608.0"/>
        <n v="32038.0"/>
        <n v="65487.0"/>
        <n v="4565.0"/>
        <n v="177288.0"/>
        <n v="25232.0"/>
        <n v="57270.0"/>
        <n v="278631.0"/>
        <n v="601252.0"/>
        <n v="29133.0"/>
        <n v="149566.0"/>
        <n v="156040.0"/>
        <n v="320629.0"/>
        <n v="245182.0"/>
        <n v="408858.0"/>
        <n v="23406.0"/>
        <n v="307349.0"/>
        <n v="510118.0"/>
        <n v="30129.0"/>
        <n v="352667.0"/>
        <n v="277635.0"/>
        <n v="555436.0"/>
        <n v="142428.0"/>
        <n v="93790.0"/>
        <n v="360552.0"/>
        <n v="90802.0"/>
        <n v="162431.0"/>
        <n v="331502.0"/>
        <n v="75696.0"/>
        <n v="57104.0"/>
        <n v="26975.0"/>
        <n v="20501.0"/>
        <n v="37433.0"/>
        <n v="229329.0"/>
        <n v="36188.0"/>
        <n v="86071.0"/>
        <n v="300294.0"/>
        <n v="95948.0"/>
        <n v="11786.0"/>
        <n v="371840.0"/>
        <n v="174715.0"/>
        <n v="721519.0"/>
        <n v="155459.0"/>
        <n v="532279.0"/>
        <n v="430438.0"/>
        <n v="518335.0"/>
        <n v="334656.0"/>
        <n v="285603.0"/>
        <n v="137282.0"/>
        <n v="178035.0"/>
        <n v="49717.0"/>
        <n v="123255.0"/>
        <n v="98023.0"/>
        <n v="20584.0"/>
        <n v="185339.0"/>
        <n v="150479.0"/>
        <n v="8632.0"/>
        <n v="106157.0"/>
        <n v="24319.0"/>
        <n v="95035.0"/>
        <n v="187829.0"/>
        <n v="51875.0"/>
        <n v="566475.0"/>
        <n v="214306.0"/>
        <n v="379725.0"/>
        <n v="266347.0"/>
        <n v="50630.0"/>
        <n v="20833.0"/>
        <n v="33532.0"/>
        <n v="249996.0"/>
        <n v="270331.0"/>
        <n v="49385.0"/>
        <n v="171810.0"/>
        <n v="621836.0"/>
        <n v="82087.0"/>
        <n v="74451.0"/>
        <n v="98272.0"/>
        <n v="424130.0"/>
        <n v="294069.0"/>
        <n v="285022.0"/>
        <n v="444963.0"/>
        <n v="246178.0"/>
        <n v="25066.0"/>
        <n v="85739.0"/>
        <n v="219120.0"/>
        <n v="160771.0"/>
        <n v="429110.0"/>
        <n v="91300.0"/>
        <n v="36271.0"/>
        <n v="67396.0"/>
        <n v="52373.0"/>
        <n v="192892.0"/>
        <n v="416162.0"/>
        <n v="96114.0"/>
        <n v="5063.0"/>
        <n v="225345.0"/>
        <n v="289670.0"/>
        <n v="256719.0"/>
        <n v="27971.0"/>
        <n v="565811.0"/>
        <n v="241779.0"/>
        <n v="450275.0"/>
        <n v="156704.0"/>
        <n v="31208.0"/>
        <n v="19422.0"/>
        <n v="40338.0"/>
        <n v="10126.0"/>
        <n v="156953.0"/>
        <n v="96861.0"/>
        <n v="185090.0"/>
        <n v="23655.0"/>
        <n v="535682.0"/>
        <n v="34030.0"/>
        <n v="8300.0"/>
        <n v="13612.0"/>
        <n v="145499.0"/>
        <n v="66981.0"/>
        <n v="623662.0"/>
        <n v="153384.0"/>
        <n v="11620.0"/>
        <n v="166747.0"/>
        <n v="80427.0"/>
        <n v="90553.0"/>
        <n v="170648.0"/>
        <n v="48970.0"/>
        <n v="85905.0"/>
        <n v="204595.0"/>
        <n v="20916.0"/>
        <n v="101924.0"/>
        <n v="569048.0"/>
        <n v="602580.0"/>
        <n v="173470.0"/>
        <n v="40504.0"/>
        <n v="25564.0"/>
        <n v="8051.0"/>
        <n v="534852.0"/>
        <n v="440481.0"/>
        <n v="299962.0"/>
        <n v="604572.0"/>
        <n v="29880.0"/>
        <n v="65072.0"/>
        <n v="2656.0"/>
        <n v="39425.0"/>
        <n v="194718.0"/>
        <n v="160522.0"/>
        <n v="67977.0"/>
        <n v="457413.0"/>
        <n v="64408.0"/>
        <n v="220033.0"/>
        <n v="54199.0"/>
        <m/>
      </sharedItems>
    </cacheField>
    <cacheField name="Duration Hours" numFmtId="0">
      <sharedItems containsString="0" containsBlank="1" containsNumber="1">
        <n v="128.4999999999418"/>
        <n v="46.1333333333605"/>
        <n v="85.53333333326736"/>
        <n v="34.016666666662786"/>
        <n v="74.93333333329065"/>
        <n v="50.800000000046566"/>
        <n v="47.4833333332208"/>
        <n v="49.583333333430346"/>
        <n v="128.45000000012806"/>
        <n v="132.016666666721"/>
        <n v="78.70000000001164"/>
        <n v="86.6333333333605"/>
        <n v="66.50000000005821"/>
        <n v="56.53333333320916"/>
        <n v="102.93333333323244"/>
        <n v="98.38333333324408"/>
        <n v="135.06666666670935"/>
        <n v="60.899999999965075"/>
        <n v="31.883333333360497"/>
        <n v="85.69999999995343"/>
        <n v="50.20000000001164"/>
        <n v="107.88333333347691"/>
        <n v="90.733333333279"/>
        <n v="65.16666666674428"/>
        <n v="113.16666666674428"/>
        <n v="133.73333333339542"/>
        <n v="56.93333333329065"/>
        <n v="73.55000000016298"/>
        <n v="114.78333333326736"/>
        <n v="24.5166666667792"/>
        <n v="85.01666666666279"/>
        <n v="116.71666666661622"/>
        <n v="75.68333333329065"/>
        <n v="53.66666666662786"/>
        <n v="27.600000000034925"/>
        <n v="31.933333333174232"/>
        <n v="106.86666666681413"/>
        <n v="112.06666666682577"/>
        <n v="110.31666666670935"/>
        <n v="55.56666666670935"/>
        <n v="37.85000000009313"/>
        <n v="25.116666666639503"/>
        <n v="33.600000000034925"/>
        <n v="39.733333333279006"/>
        <n v="119.11666666675592"/>
        <n v="28.233333333337214"/>
        <n v="104.75000000005821"/>
        <n v="46.83333333337214"/>
        <n v="33.66666666674428"/>
        <n v="79.61666666669771"/>
        <n v="116.06666666659294"/>
        <n v="137.18333333329065"/>
        <n v="32.46666666667443"/>
        <n v="65.31666666653473"/>
        <n v="90.5999999998603"/>
        <n v="131.05000000004657"/>
        <n v="136.1333333333605"/>
        <n v="49.43333333329065"/>
        <n v="68.49999999994179"/>
        <n v="143.58333333337214"/>
        <n v="37.816666666651145"/>
        <n v="98.96666666655801"/>
        <n v="130.7666666666628"/>
        <n v="117.66666666674428"/>
        <n v="42.46666666661622"/>
        <n v="64.1166666666395"/>
        <n v="29.93333333346527"/>
        <n v="133.03333333338378"/>
        <n v="103.28333333332557"/>
        <n v="134.76666666660458"/>
        <n v="110.36666666652309"/>
        <n v="58.066666666651145"/>
        <n v="111.75"/>
        <n v="103.56666666653473"/>
        <n v="41.91666666674428"/>
        <n v="119.44999999995343"/>
        <n v="50.78333333332557"/>
        <n v="78.45000000006985"/>
        <n v="100.08333333337214"/>
        <n v="87.016666666721"/>
        <n v="125.33333333325572"/>
        <n v="64.98333333333721"/>
        <n v="86.49999999994179"/>
        <n v="55.54999999998836"/>
        <n v="42.18333333323244"/>
        <n v="93.11666666669771"/>
        <n v="90.11666666669771"/>
        <n v="63.68333333329065"/>
        <n v="103.68333333323244"/>
        <n v="26.616666666639503"/>
        <n v="51.98333333339542"/>
        <n v="137.26666666654637"/>
        <n v="113.51666666666279"/>
        <n v="108.20000000012806"/>
        <n v="127.38333333347691"/>
        <n v="96.24999999994179"/>
        <n v="69.63333333330229"/>
        <n v="85.80000000010477"/>
        <n v="135.03333333326736"/>
        <n v="48.21666666667443"/>
        <n v="104.49999999994179"/>
        <n v="48.84999999997672"/>
        <n v="63.199999999953434"/>
        <n v="91.8666666666395"/>
        <n v="64.91666666680248"/>
        <n v="96.68333333329065"/>
        <n v="63.600000000034925"/>
        <n v="129.2666666666628"/>
        <n v="29.366666666523088"/>
        <n v="57.18333333340706"/>
        <n v="74.983333333279"/>
        <n v="114.26666666666279"/>
        <n v="29.71666666661622"/>
        <n v="130.1500000000815"/>
        <n v="53.116666666581295"/>
        <n v="54.40000000008149"/>
        <n v="96.06666666670935"/>
        <n v="47.53333333338378"/>
        <n v="105.66666666674428"/>
        <n v="141.0"/>
        <n v="63.45000000006985"/>
        <n v="123.30000000010477"/>
        <n v="90.2333333332208"/>
        <n v="67.30000000004657"/>
        <n v="32.31666666653473"/>
        <n v="85.75000000011642"/>
        <n v="33.03333333344199"/>
        <n v="132.65000000002328"/>
        <n v="128.7500000000582"/>
        <n v="84.43333333334886"/>
        <n v="131.95000000001164"/>
        <n v="78.733333333279"/>
        <n v="45.09999999997672"/>
        <n v="142.18333333334886"/>
        <n v="70.33333333331393"/>
        <n v="93.81666666670935"/>
        <n v="40.59999999997672"/>
        <n v="97.55000000016298"/>
        <n v="93.33333333319752"/>
        <n v="89.0166666667792"/>
        <n v="130.20000000006985"/>
        <n v="74.86666666675592"/>
        <n v="102.31666666665114"/>
        <n v="32.8499999998603"/>
        <n v="98.60000000009313"/>
        <n v="96.766666666721"/>
        <n v="96.30000000010477"/>
        <n v="37.233333333337214"/>
        <n v="81.96666666667443"/>
        <n v="91.28333333332557"/>
        <n v="94.56666666670935"/>
        <n v="53.54999999993015"/>
        <n v="30.683333333290648"/>
        <n v="62.500000000116415"/>
        <n v="70.18333333334886"/>
        <n v="40.999999999883585"/>
        <n v="29.433333333407063"/>
        <n v="106.43333333329065"/>
        <n v="119.68333333334886"/>
        <n v="80.6333333333605"/>
        <n v="85.98333333333721"/>
        <n v="131.53333333338378"/>
        <n v="40.516666666720994"/>
        <n v="83.78333333332557"/>
        <n v="105.16666666668607"/>
        <n v="82.01666666666279"/>
        <n v="79.5"/>
        <n v="24.216666666674428"/>
        <n v="72.31666666665114"/>
        <n v="105.86666666669771"/>
        <n v="104.31666666670935"/>
        <n v="85.56666666653473"/>
        <n v="24.81666666653473"/>
        <n v="82.61666666669771"/>
        <n v="67.64999999996508"/>
        <n v="71.36666666652309"/>
        <n v="127.96666666679084"/>
        <n v="50.29999999998836"/>
        <n v="102.35000000009313"/>
        <n v="77.59999999991851"/>
        <n v="142.68333333340706"/>
        <n v="110.75000000005821"/>
        <n v="116.63333333318587"/>
        <n v="70.43333333329065"/>
        <n v="102.46666666679084"/>
        <n v="42.40000000008149"/>
        <n v="92.96666666655801"/>
        <n v="38.399999999965075"/>
        <n v="55.44999999983702"/>
        <n v="105.93333333340706"/>
        <n v="42.29999999993015"/>
        <n v="111.19999999995343"/>
        <n v="31.116666666639503"/>
        <n v="68.93333333346527"/>
        <n v="118.01666666666279"/>
        <n v="66.733333333279"/>
        <n v="56.41666666668607"/>
        <n v="126.08333333325572"/>
        <n v="118.41666666656965"/>
        <n v="107.55000000010477"/>
        <n v="120.91666666668607"/>
        <n v="65.6333333333605"/>
        <n v="141.8666666666977"/>
        <n v="92.41666666668607"/>
        <n v="32.6166666666395"/>
        <n v="133.3833333334769"/>
        <n v="139.45000000001164"/>
        <n v="53.94999999983702"/>
        <n v="115.06666666665114"/>
        <n v="136.1166666666395"/>
        <n v="41.45000000012806"/>
        <n v="93.1500000001397"/>
        <n v="44.6166666666395"/>
        <n v="119.25"/>
        <n v="110.49999999994179"/>
        <n v="111.08333333325572"/>
        <n v="77.90000000002328"/>
        <n v="34.533333333267365"/>
        <n v="99.83333333325572"/>
        <n v="36.76666666654637"/>
        <n v="127.76666666666279"/>
        <n v="75.5166666667792"/>
        <n v="61.21666666679084"/>
        <n v="49.58333333325572"/>
        <n v="135.3499999999185"/>
        <n v="109.03333333320916"/>
        <n v="139.08333333337214"/>
        <n v="130.96666666661622"/>
        <n v="32.36666666669771"/>
        <n v="50.916666666569654"/>
        <n v="62.08333333331393"/>
        <n v="133.2500000000582"/>
        <n v="44.83333333331393"/>
        <n v="114.733333333279"/>
        <n v="74.36666666669771"/>
        <n v="104.36666666669771"/>
        <n v="89.18333333329065"/>
        <n v="139.64999999996508"/>
        <n v="34.68333333340706"/>
        <n v="142.7666666666628"/>
        <n v="38.4000000001397"/>
        <n v="66.21666666667443"/>
        <n v="109.99999999988358"/>
        <n v="82.41666666674428"/>
        <n v="64.7333333332208"/>
        <n v="65.41666666668607"/>
        <n v="82.8666666666395"/>
        <n v="53.53333333338378"/>
        <n v="47.050000000046566"/>
        <n v="73.2666666667792"/>
        <n v="138.2666666666628"/>
        <n v="112.54999999998836"/>
        <n v="129.81666666670935"/>
        <n v="45.1500000001397"/>
        <n v="58.933333333348855"/>
        <n v="56.11666666675592"/>
        <n v="86.53333333320916"/>
        <n v="111.86666666669771"/>
        <n v="116.13333333330229"/>
        <n v="118.8666666666395"/>
        <n v="71.60000000009313"/>
        <n v="129.44999999989523"/>
        <n v="47.91666666674428"/>
        <n v="94.8833333333605"/>
        <n v="120.0"/>
        <n v="29.83333333331393"/>
        <n v="82.99999999988358"/>
        <n v="137.46666666667443"/>
        <n v="136.75000000011642"/>
        <n v="43.26666666660458"/>
        <n v="68.26666666654637"/>
        <n v="110.11666666675592"/>
        <n v="40.48333333345363"/>
        <n v="89.58333333337214"/>
        <n v="45.783333333267365"/>
        <n v="53.266666666720994"/>
        <n v="78.84999999997672"/>
        <n v="88.43333333329065"/>
        <n v="59.683333333348855"/>
        <n v="109.98333333333721"/>
        <n v="53.59999999991851"/>
        <n v="128.1333333333023"/>
        <n v="124.94999999989523"/>
        <n v="55.5"/>
        <n v="62.18333333346527"/>
        <n v="71.39999999996508"/>
        <n v="39.51666666660458"/>
        <n v="70.89999999990687"/>
        <n v="142.79999999993015"/>
        <n v="79.06666666665114"/>
        <n v="108.3833333333605"/>
        <n v="62.46666666667443"/>
        <n v="60.70000000001164"/>
        <n v="111.33333333337214"/>
        <n v="125.54999999993015"/>
        <n v="123.70000000001164"/>
        <n v="129.51666666660458"/>
        <n v="118.96666666679084"/>
        <n v="37.08333333337214"/>
        <n v="93.41666666662786"/>
        <n v="46.36666666675592"/>
        <n v="52.816666666651145"/>
        <n v="46.03333333338378"/>
        <n v="118.10000000009313"/>
        <n v="86.98333333345363"/>
        <n v="43.28333333332557"/>
        <n v="39.3666666666395"/>
        <n v="37.71666666667443"/>
        <n v="94.35000000003492"/>
        <n v="82.516666666721"/>
        <n v="106.31666666659294"/>
        <n v="135.1166666666977"/>
        <n v="39.86666666669771"/>
        <n v="30.600000000034925"/>
        <n v="117.08333333343035"/>
        <n v="105.01666666654637"/>
        <n v="140.66666666662786"/>
        <n v="120.46666666661622"/>
        <n v="92.04999999987194"/>
        <n v="103.30000000004657"/>
        <n v="57.41666666662786"/>
        <n v="57.50000000005821"/>
        <n v="91.39999999984866"/>
        <n v="116.38333333324408"/>
        <n v="34.3499999998603"/>
        <n v="44.46666666667443"/>
        <n v="73.45000000001164"/>
        <n v="32.58333333337214"/>
        <n v="64.40000000002328"/>
        <n v="34.89999999990687"/>
        <n v="103.16666666662786"/>
        <n v="100.80000000010477"/>
        <n v="129.68333333329065"/>
        <n v="41.050000000046566"/>
        <n v="70.516666666721"/>
        <n v="72.39999999990687"/>
        <n v="142.3499999998603"/>
        <n v="72.11666666669771"/>
        <n v="91.43333333346527"/>
        <n v="104.41666666651145"/>
        <n v="98.75000000005821"/>
        <n v="29.933333333290648"/>
        <n v="88.91666666662786"/>
        <n v="115.21666666679084"/>
        <n v="45.766666666720994"/>
        <n v="117.19999999995343"/>
        <n v="139.88333333318587"/>
        <n v="74.59999999991851"/>
        <n v="139.68333333323244"/>
        <n v="36.29999999993015"/>
        <n v="115.8833333333605"/>
        <n v="38.233333333279006"/>
        <n v="25.516666666720994"/>
        <n v="45.833333333430346"/>
        <n v="87.41666666662786"/>
        <n v="116.08333333331393"/>
        <n v="130.483333333279"/>
        <n v="92.29999999998836"/>
        <n v="107.83333333331393"/>
        <n v="50.36666666669771"/>
        <n v="119.983333333279"/>
        <n v="27.0"/>
        <n v="59.06666666676756"/>
        <n v="31.366666666581295"/>
        <n v="41.283333333267365"/>
        <n v="50.28333333344199"/>
        <n v="54.41666666662786"/>
        <n v="109.14999999990687"/>
        <n v="46.10000000009313"/>
        <n v="36.483333333337214"/>
        <n v="64.31666666659294"/>
        <n v="106.56666666670935"/>
        <n v="68.56666666665114"/>
        <n v="48.63333333330229"/>
        <n v="131.66666666662786"/>
        <n v="32.81666666659294"/>
        <n v="71.36666666669771"/>
        <n v="127.80000000010477"/>
        <n v="137.983333333279"/>
        <n v="123.83333333325572"/>
        <n v="105.55000000004657"/>
        <n v="61.16666666662786"/>
        <n v="121.38333333347691"/>
        <n v="108.78333333326736"/>
        <n v="32.34999999997672"/>
        <n v="124.28333333332557"/>
        <n v="49.816666666651145"/>
        <n v="53.333333333430346"/>
        <n v="44.15000000002328"/>
        <n v="68.29999999998836"/>
        <n v="124.81666666665114"/>
        <n v="73.1333333333605"/>
        <n v="91.93333333334886"/>
        <n v="104.06666666676756"/>
        <n v="28.316666666592937"/>
        <n v="108.53333333332557"/>
        <n v="126.35000000009313"/>
        <n v="113.88333333347691"/>
        <n v="80.16666666656965"/>
        <n v="101.93333333346527"/>
        <n v="35.01666666660458"/>
        <n v="120.03333333326736"/>
        <n v="103.29999999987194"/>
        <n v="49.649999999965075"/>
        <n v="81.93333333340706"/>
        <n v="28.033333333209157"/>
        <n v="92.91666666674428"/>
        <n v="48.3666666666395"/>
        <n v="82.88333333318587"/>
        <n v="83.56666666665114"/>
        <n v="118.81666666665114"/>
        <n v="112.41666666674428"/>
        <n v="134.233333333279"/>
        <n v="26.966666666732635"/>
        <n v="92.70000000006985"/>
        <n v="137.08333333331393"/>
        <n v="139.69999999995343"/>
        <n v="93.766666666721"/>
        <n v="103.15000000008149"/>
        <n v="123.0"/>
        <n v="68.83333333331393"/>
        <n v="48.71666666655801"/>
        <n v="74.3833333334187"/>
        <n v="109.88333333318587"/>
        <n v="54.81666666653473"/>
        <n v="132.71666666673264"/>
        <n v="45.600000000034925"/>
        <n v="138.44999999989523"/>
        <n v="87.21666666667443"/>
        <n v="132.1166666666977"/>
        <n v="45.86666666652309"/>
        <n v="92.96666666673264"/>
        <n v="142.95000000006985"/>
        <n v="45.96666666667443"/>
        <n v="97.3666666665813"/>
        <n v="45.18333333340706"/>
        <n v="128.96666666673264"/>
        <n v="98.233333333279"/>
        <n v="65.83333333331393"/>
        <n v="84.06666666653473"/>
        <n v="134.06666666659294"/>
        <n v="103.16666666680248"/>
        <n v="132.68333333346527"/>
        <n v="143.7666666667792"/>
        <n v="114.53333333332557"/>
        <n v="30.533333333325572"/>
        <n v="101.86666666675592"/>
        <n v="124.43333333329065"/>
        <n v="124.38333333330229"/>
        <n v="132.3666666666395"/>
        <n v="81.06666666653473"/>
        <n v="37.466666666732635"/>
        <n v="110.05000000004657"/>
        <n v="142.8666666666395"/>
        <n v="101.65000000008149"/>
        <n v="55.68333333323244"/>
        <n v="85.516666666721"/>
        <n v="128.43333333323244"/>
        <n v="137.90000000002328"/>
        <n v="99.24999999994179"/>
        <n v="143.55000000010477"/>
        <n v="134.66666666662786"/>
        <n v="114.89999999996508"/>
        <n v="64.19999999989523"/>
        <n v="73.28333333332557"/>
        <n v="69.33333333337214"/>
        <n v="57.11666666669771"/>
        <n v="46.40000000002328"/>
        <n v="116.91666666656965"/>
        <n v="110.06666666676756"/>
        <n v="122.31666666670935"/>
        <n v="84.14999999996508"/>
        <n v="64.54999999998836"/>
        <n v="114.24999999994179"/>
        <n v="123.016666666721"/>
        <n v="26.83333333331393"/>
        <n v="133.41666666674428"/>
        <n v="44.31666666670935"/>
        <n v="107.6333333333605"/>
        <n v="85.45000000001164"/>
        <n v="77.18333333329065"/>
        <n v="107.36666666652309"/>
        <n v="141.4000000000815"/>
        <n v="81.43333333334886"/>
        <n v="125.4000000001397"/>
        <n v="46.53333333344199"/>
        <n v="35.03333333332557"/>
        <n v="26.733333333337214"/>
        <n v="78.09999999997672"/>
        <n v="32.91666666674428"/>
        <n v="71.983333333279"/>
        <n v="88.1166666666395"/>
        <n v="96.9833333332208"/>
        <n v="104.58333333337214"/>
        <n v="86.44999999995343"/>
        <n v="113.73333333333721"/>
        <n v="26.266666666720994"/>
        <n v="69.0"/>
        <n v="71.80000000004657"/>
        <n v="104.10000000003492"/>
        <n v="99.53333333332557"/>
        <n v="42.88333333324408"/>
        <n v="46.233333333337214"/>
        <n v="69.56666666659294"/>
        <n v="105.11666666669771"/>
        <n v="37.8666666666395"/>
        <n v="53.90000000002328"/>
        <n v="61.58333333325572"/>
        <n v="135.23333333339542"/>
        <n v="88.78333333320916"/>
        <n v="132.06666666653473"/>
        <n v="31.73333333339542"/>
        <n v="52.56666666653473"/>
        <n v="96.70000000001164"/>
        <n v="38.01666666660458"/>
        <n v="54.416666666802485"/>
        <n v="25.400000000023283"/>
        <n v="137.06666666659294"/>
        <n v="102.31666666682577"/>
        <n v="142.35000000003492"/>
        <n v="41.93333333329065"/>
        <n v="60.783333333267365"/>
        <n v="61.06666666682577"/>
        <n v="52.8833333333605"/>
        <n v="87.733333333279"/>
        <n v="57.84999999997672"/>
        <n v="130.1166666666395"/>
        <n v="73.63333333324408"/>
        <n v="33.93333333323244"/>
        <n v="87.26666666666279"/>
        <n v="68.51666666666279"/>
        <n v="74.73333333333721"/>
        <n v="70.98333333333721"/>
        <n v="64.66666666668607"/>
        <n v="83.21666666655801"/>
        <n v="37.91666666662786"/>
        <n v="75.79999999998836"/>
        <n v="133.13333333318587"/>
        <n v="134.90000000002328"/>
        <n v="141.2499999999418"/>
        <n v="45.53333333332557"/>
        <n v="45.016666666720994"/>
        <n v="24.266666666662786"/>
        <n v="127.1166666666395"/>
        <n v="113.00000000005821"/>
        <n v="87.18333333323244"/>
        <n v="28.66666666668607"/>
        <n v="63.41666666662786"/>
        <n v="119.66666666662786"/>
        <n v="80.4000000001397"/>
        <n v="118.76666666666279"/>
        <n v="26.049999999871943"/>
        <n v="43.066666666651145"/>
        <n v="130.46666666673264"/>
        <n v="143.31666666670935"/>
        <n v="128.15000000002328"/>
        <n v="110.36666666669771"/>
        <n v="72.1500000001397"/>
        <n v="103.45000000001164"/>
        <n v="79.2666666667792"/>
        <n v="57.86666666669771"/>
        <n v="93.28333333320916"/>
        <n v="89.266666666721"/>
        <n v="88.88333333318587"/>
        <n v="143.4999999999418"/>
        <n v="27.9833333332208"/>
        <n v="83.43333333323244"/>
        <n v="90.08333333343035"/>
        <n v="98.81666666659294"/>
        <n v="126.06666666670935"/>
        <n v="139.533333333442"/>
        <n v="40.649999999965075"/>
        <n v="31.283333333325572"/>
        <n v="53.33333333325572"/>
        <n v="40.983333333337214"/>
        <n v="120.98333333339542"/>
        <n v="58.816666666651145"/>
        <n v="37.15000000008149"/>
        <n v="112.64999999996508"/>
        <n v="66.78333333344199"/>
        <n v="35.983333333279006"/>
        <n v="34.28333333332557"/>
        <n v="109.53333333326736"/>
        <n v="74.46666666667443"/>
        <n v="30.70000000001164"/>
        <n v="143.1166666665813"/>
        <n v="69.99999999994179"/>
        <n v="109.63333333324408"/>
        <n v="27.766666666720994"/>
        <n v="79.83333333319752"/>
        <n v="35.733333333337214"/>
        <n v="115.5"/>
        <n v="100.516666666721"/>
        <n v="61.25000000005821"/>
        <n v="71.00000000005821"/>
        <n v="112.8833333333605"/>
        <n v="82.90000000008149"/>
        <n v="129.16666666668607"/>
        <n v="61.483333333279006"/>
        <n v="132.58333333331393"/>
        <n v="24.016666666720994"/>
        <n v="103.91666666680248"/>
        <n v="102.60000000003492"/>
        <n v="46.15000000008149"/>
        <n v="136.18333333334886"/>
        <n v="31.400000000023283"/>
        <n v="55.26666666660458"/>
        <n v="65.25"/>
        <n v="101.45000000012806"/>
        <n v="98.51666666666279"/>
        <n v="41.15000000002328"/>
        <n v="107.36666666669771"/>
        <n v="66.51666666660458"/>
        <n v="119.05000000004657"/>
        <n v="111.38333333318587"/>
        <n v="110.79999999987194"/>
        <n v="96.1333333334187"/>
        <n v="55.983333333337214"/>
        <n v="82.69999999995343"/>
        <n v="85.29999999987194"/>
        <n v="142.7499999999418"/>
        <n v="26.800000000046566"/>
        <n v="98.64999999990687"/>
        <n v="59.916666666569654"/>
        <n v="25.100000000093132"/>
        <n v="77.46666666667443"/>
        <n v="45.28333333338378"/>
        <n v="35.48333333339542"/>
        <n v="37.933333333348855"/>
        <n v="99.94999999995343"/>
        <n v="82.54999999998836"/>
        <n v="37.300000000046566"/>
        <n v="92.68333333334886"/>
        <n v="135.65000000002328"/>
        <n v="113.96666666655801"/>
        <n v="125.28333333326736"/>
        <n v="127.30000000004657"/>
        <n v="38.33333333325572"/>
        <n v="129.96666666667443"/>
        <n v="31.700000000128057"/>
        <n v="117.09999999997672"/>
        <n v="115.24999999988358"/>
        <n v="66.63333333347691"/>
        <n v="46.633333333418705"/>
        <n v="38.216666666732635"/>
        <n v="128.983333333279"/>
        <n v="122.46666666667443"/>
        <n v="40.300000000046566"/>
        <n v="55.183333333348855"/>
        <n v="89.95000000001164"/>
        <n v="118.25000000005821"/>
        <n v="54.68333333329065"/>
        <n v="65.18333333329065"/>
        <n v="44.916666666569654"/>
        <n v="64.01666666666279"/>
        <n v="50.31666666670935"/>
        <n v="143.44999999995343"/>
        <n v="84.31666666665114"/>
        <n v="66.79999999998836"/>
        <n v="93.26666666666279"/>
        <n v="55.93333333317423"/>
        <n v="70.26666666660458"/>
        <n v="90.18333333340706"/>
        <n v="115.81666666665114"/>
        <n v="100.21666666661622"/>
        <n v="133.9833333333372"/>
        <n v="90.03333333326736"/>
        <n v="119.71666666661622"/>
        <n v="62.78333333332557"/>
        <n v="106.59999999997672"/>
        <n v="101.03333333332557"/>
        <n v="98.73333333333721"/>
        <n v="67.93333333334886"/>
        <n v="35.54999999993015"/>
        <n v="115.64999999996508"/>
        <n v="114.04999999998836"/>
        <n v="42.733333333279006"/>
        <n v="67.61666666652309"/>
        <n v="122.18333333329065"/>
        <n v="27.016666666720994"/>
        <n v="113.71666666661622"/>
        <n v="90.71666666655801"/>
        <n v="73.56666666653473"/>
        <n v="25.15000000008149"/>
        <n v="31.26666666660458"/>
        <n v="131.43333333340706"/>
        <n v="69.39999999990687"/>
        <n v="101.49999999994179"/>
        <n v="67.75000000011642"/>
        <n v="124.71666666667443"/>
        <n v="103.61666666669771"/>
        <n v="128.64999999990687"/>
        <n v="109.29999999987194"/>
        <n v="102.65000000002328"/>
        <n v="72.78333333344199"/>
        <n v="89.01666666660458"/>
        <n v="69.65000000002328"/>
        <n v="129.29999999993015"/>
        <n v="39.24999999994179"/>
        <n v="96.14999999996508"/>
        <n v="71.28333333344199"/>
        <n v="105.58333333331393"/>
        <n v="37.78333333338378"/>
        <n v="88.19999999989523"/>
        <n v="130.85000000009313"/>
        <n v="94.81666666665114"/>
        <n v="49.03333333338378"/>
        <n v="48.53333333332557"/>
        <n v="122.53333333338378"/>
        <n v="130.28333333332557"/>
        <n v="51.5166666667792"/>
        <n v="99.83333333343035"/>
        <n v="80.33333333343035"/>
        <n v="106.8666666666395"/>
        <n v="132.13333333324408"/>
        <n v="70.46666666655801"/>
        <n v="52.56666666670935"/>
        <n v="116.33333333325572"/>
        <n v="63.0"/>
        <n v="116.96666666655801"/>
        <n v="59.13333333330229"/>
        <n v="36.41666666662786"/>
        <n v="67.04999999993015"/>
        <n v="126.95000000012806"/>
        <n v="135.60000000003492"/>
        <n v="143.30000000016298"/>
        <n v="25.5"/>
        <n v="80.26666666654637"/>
        <n v="115.56666666653473"/>
        <n v="95.76666666660458"/>
        <n v="64.79999999993015"/>
        <n v="139.516666666721"/>
        <n v="63.91666666668607"/>
        <n v="75.55000000004657"/>
        <n v="52.983333333337214"/>
        <n v="90.98333333339542"/>
        <n v="50.90000000002328"/>
        <n v="38.283333333267365"/>
        <n v="114.78333333344199"/>
        <n v="115.91666666662786"/>
        <n v="28.61666666669771"/>
        <n v="60.41666666662786"/>
        <n v="142.10000000009313"/>
        <n v="90.96666666667443"/>
        <n v="90.44999999989523"/>
        <n v="61.74999999994179"/>
        <n v="135.56666666659294"/>
        <n v="42.68333333329065"/>
        <n v="117.3666666666395"/>
        <n v="137.8666666665813"/>
        <n v="112.43333333329065"/>
        <n v="110.18333333329065"/>
        <n v="121.35000000003492"/>
        <n v="122.91666666674428"/>
        <n v="89.4833333332208"/>
        <n v="26.233333333279006"/>
        <n v="54.71666666655801"/>
        <n v="126.766666666721"/>
        <n v="87.65000000002328"/>
        <n v="81.75"/>
        <n v="131.21666666673264"/>
        <n v="106.5"/>
        <n v="74.68333333317423"/>
        <n v="120.31666666665114"/>
        <n v="72.30000000010477"/>
        <n v="104.16666666656965"/>
        <n v="120.14999999996508"/>
        <n v="134.66666666680248"/>
        <n v="140.18333333329065"/>
        <n v="113.28333333344199"/>
        <n v="118.40000000002328"/>
        <n v="82.04999999993015"/>
        <n v="33.53333333332557"/>
        <n v="116.8666666665813"/>
        <n v="124.483333333279"/>
        <n v="46.68333333340706"/>
        <n v="33.51666666660458"/>
        <n v="76.00000000011642"/>
        <n v="132.14999999996508"/>
        <n v="57.149999999965075"/>
        <n v="32.31666666670935"/>
        <n v="96.53333333332557"/>
        <n v="25.2666666667792"/>
        <n v="85.64999999996508"/>
        <n v="106.53333333344199"/>
        <n v="113.34999999997672"/>
        <n v="118.38333333330229"/>
        <n v="93.03333333326736"/>
        <n v="53.03333333332557"/>
        <n v="28.04999999993015"/>
        <n v="38.13333333330229"/>
        <n v="50.25"/>
        <n v="58.8666666666395"/>
        <n v="99.54999999987194"/>
        <n v="63.99999999994179"/>
        <n v="134.216666666558"/>
        <n v="43.21666666661622"/>
        <n v="111.3833333333605"/>
        <n v="85.84999999991851"/>
        <n v="32.21666666655801"/>
        <n v="40.54999999998836"/>
        <n v="113.80000000004657"/>
        <n v="136.16666666662786"/>
        <n v="77.53333333320916"/>
        <n v="42.04999999998836"/>
        <n v="104.983333333279"/>
        <n v="49.533333333267365"/>
        <n v="97.38333333330229"/>
        <n v="44.850000000034925"/>
        <n v="70.81666666665114"/>
        <n v="55.249999999883585"/>
        <n v="82.81666666665114"/>
        <n v="113.29999999998836"/>
        <n v="57.3666666666395"/>
        <n v="120.6166666665813"/>
        <n v="92.0166666667792"/>
        <n v="98.08333333331393"/>
        <n v="49.41666666674428"/>
        <n v="50.6166666666395"/>
        <n v="93.01666666654637"/>
        <n v="35.43333333340706"/>
        <n v="137.20000000001164"/>
        <n v="116.6166666666395"/>
        <n v="142.40000000002328"/>
        <n v="67.08333333337214"/>
        <n v="127.46666666673264"/>
        <n v="69.3833333333605"/>
        <n v="48.51666666660458"/>
        <n v="115.56666666670935"/>
        <n v="31.233333333337214"/>
        <n v="64.8666666666395"/>
        <n v="67.73333333339542"/>
        <n v="73.95000000006985"/>
        <n v="133.43333333329065"/>
        <n v="36.250000000116415"/>
        <n v="82.8833333333605"/>
        <n v="48.75"/>
        <n v="123.53333333332557"/>
        <n v="60.81666666653473"/>
        <n v="123.65000000002328"/>
        <n v="126.1333333334187"/>
        <n v="31.54999999998836"/>
        <n v="107.8666666665813"/>
        <n v="106.85000000009313"/>
        <n v="63.266666666662786"/>
        <n v="32.7666666667792"/>
        <n v="50.83333333331393"/>
        <n v="95.7666666667792"/>
        <n v="93.34999999991851"/>
        <n v="111.49999999988358"/>
        <n v="46.61666666669771"/>
        <n v="74.83333333331393"/>
        <n v="62.75000000005821"/>
        <n v="101.36666666669771"/>
        <n v="35.800000000046566"/>
        <n v="94.1166666666395"/>
        <n v="56.48333333339542"/>
        <n v="70.73333333339542"/>
        <n v="133.56666666653473"/>
        <n v="82.03333333338378"/>
        <n v="81.6166666665813"/>
        <n v="105.94999999995343"/>
        <n v="52.583333333430346"/>
        <n v="133.21666666661622"/>
        <n v="134.43333333340706"/>
        <n v="131.3833333334187"/>
        <n v="29.750000000058208"/>
        <n v="93.88333333324408"/>
        <n v="48.86666666669771"/>
        <n v="65.75000000005821"/>
        <n v="38.449999999953434"/>
        <n v="103.84999999991851"/>
        <n v="34.01666666683741"/>
        <n v="60.733333333279006"/>
        <n v="96.98333333339542"/>
        <n v="51.93333333323244"/>
        <n v="75.11666666669771"/>
        <n v="62.26666666654637"/>
        <n v="35.13333333330229"/>
        <n v="70.91666666680248"/>
        <n v="48.91666666668607"/>
        <n v="58.61666666669771"/>
        <n v="111.41666666662786"/>
        <n v="143.983333333279"/>
        <n v="143.3833333334187"/>
        <n v="119.10000000003492"/>
        <n v="103.83333333337214"/>
        <n v="136.81666666665114"/>
        <n v="110.6333333333605"/>
        <n v="70.93333333334886"/>
        <n v="56.28333333344199"/>
        <n v="104.20000000001164"/>
        <n v="120.44999999989523"/>
        <n v="100.96666666661622"/>
        <n v="39.583333333488554"/>
        <n v="85.05000000010477"/>
        <n v="45.06666666670935"/>
        <n v="96.39999999990687"/>
        <n v="113.81666666676756"/>
        <n v="28.783333333209157"/>
        <n v="37.68333333323244"/>
        <n v="82.56666666670935"/>
        <n v="76.68333333340706"/>
        <n v="128.80000000004657"/>
        <n v="39.550000000046566"/>
        <n v="40.74999999994179"/>
        <n v="38.78333333332557"/>
        <n v="116.43333333323244"/>
        <n v="59.45000000012806"/>
        <n v="70.35000000003492"/>
        <n v="47.15000000002328"/>
        <n v="68.64999999990687"/>
        <n v="116.28333333326736"/>
        <n v="65.28333333326736"/>
        <n v="39.03333333344199"/>
        <n v="28.26666666660458"/>
        <n v="139.71666666667443"/>
        <n v="139.33333333331393"/>
        <n v="90.31666666665114"/>
        <n v="127.73333333339542"/>
        <n v="112.66666666668607"/>
        <n v="56.53333333338378"/>
        <n v="63.433333333348855"/>
        <n v="126.16666666668607"/>
        <n v="108.41666666662786"/>
        <n v="125.41666666668607"/>
        <n v="64.96666666679084"/>
        <n v="105.0"/>
        <n v="49.40000000002328"/>
        <n v="112.59999999997672"/>
        <n v="124.41666666656965"/>
        <n v="121.84999999991851"/>
        <n v="81.56666666659294"/>
        <n v="85.46666666673264"/>
        <n v="61.233333333337214"/>
        <n v="52.716666666499805"/>
        <n v="111.41666666680248"/>
        <n v="30.23333333339542"/>
        <n v="137.50000000011642"/>
        <n v="94.53333333344199"/>
        <n v="34.516666666720994"/>
        <n v="33.04999999998836"/>
        <n v="102.39999999990687"/>
        <n v="68.41666666668607"/>
        <n v="117.01666666654637"/>
        <n v="104.43333333340706"/>
        <n v="28.716666666674428"/>
        <n v="88.59999999997672"/>
        <n v="46.26666666660458"/>
        <n v="84.34999999991851"/>
        <n v="86.06666666676756"/>
        <n v="105.26666666666279"/>
        <n v="122.68333333334886"/>
        <n v="37.949999999895226"/>
        <n v="98.06666666676756"/>
        <m/>
      </sharedItems>
    </cacheField>
    <cacheField name="CPU Status" numFmtId="0">
      <sharedItems containsBlank="1">
        <s v="High"/>
        <s v="Normal"/>
        <s v="Underutilized"/>
        <m/>
      </sharedItems>
    </cacheField>
    <cacheField name="Memory Status" numFmtId="0">
      <sharedItems containsBlank="1">
        <s v="Normal"/>
        <s v="High"/>
        <s v="Underutilized"/>
        <m/>
      </sharedItems>
    </cacheField>
    <cacheField name="Network Total (GB)" numFmtId="0">
      <sharedItems containsString="0" containsBlank="1" containsNumber="1">
        <n v="148.80948590114713"/>
        <n v="18.24539860524237"/>
        <n v="43.59474778454751"/>
        <n v="106.34267727099359"/>
        <n v="23.242693880572915"/>
        <n v="128.78541174903512"/>
        <n v="51.38999967649579"/>
        <n v="137.49296503793448"/>
        <n v="33.115246552973986"/>
        <n v="135.48435825761408"/>
        <n v="118.3682681741193"/>
        <n v="178.51172118168324"/>
        <n v="31.963748332113028"/>
        <n v="95.96251096390188"/>
        <n v="129.61850500758737"/>
        <n v="35.027708603069186"/>
        <n v="118.75261708255857"/>
        <n v="135.63336271699518"/>
        <n v="50.94098440930247"/>
        <n v="95.24434246402234"/>
        <n v="58.355826701037586"/>
        <n v="60.07120500598103"/>
        <n v="71.70325419865549"/>
        <n v="184.56707130279392"/>
        <n v="65.27086642384529"/>
        <n v="145.16378740407526"/>
        <n v="164.4670120952651"/>
        <n v="170.7041787104681"/>
        <n v="109.24233684968203"/>
        <n v="74.1439153952524"/>
        <n v="167.61794009432197"/>
        <n v="182.29559741541743"/>
        <n v="47.28246991895139"/>
        <n v="27.684520634822547"/>
        <n v="190.35572942718863"/>
        <n v="73.52916849311441"/>
        <n v="91.72648317366838"/>
        <n v="113.34261943679303"/>
        <n v="156.2987474706024"/>
        <n v="77.18912260513753"/>
        <n v="92.96350508462638"/>
        <n v="132.39616294950247"/>
        <n v="68.52251823246479"/>
        <n v="167.27786935307086"/>
        <n v="76.88209216855466"/>
        <n v="137.80029215291142"/>
        <n v="173.93400031793863"/>
        <n v="172.8587303739041"/>
        <n v="99.60578037425876"/>
        <n v="68.47041661757976"/>
        <n v="86.96595224831253"/>
        <n v="43.32184346020222"/>
        <n v="98.22241902537644"/>
        <n v="69.85111545864493"/>
        <n v="147.84045279119164"/>
        <n v="79.61776235699654"/>
        <n v="26.6066284365952"/>
        <n v="155.25473099015653"/>
        <n v="178.9406693605706"/>
        <n v="170.12520305253565"/>
        <n v="131.64475614391267"/>
        <n v="187.15372327901423"/>
        <n v="85.47461579740047"/>
        <n v="68.23822155408561"/>
        <n v="186.52363070473075"/>
        <n v="125.34993583336473"/>
        <n v="102.52886554412544"/>
        <n v="159.1369951730594"/>
        <n v="12.68336856085807"/>
        <n v="174.35858251340687"/>
        <n v="132.4072094867006"/>
        <n v="17.67309480998665"/>
        <n v="166.20687621459365"/>
        <n v="150.52812693361193"/>
        <n v="120.17322413623333"/>
        <n v="25.292910002171993"/>
        <n v="41.915416929870844"/>
        <n v="183.74487776961178"/>
        <n v="81.89955041185021"/>
        <n v="133.60735102649778"/>
        <n v="14.473339575342834"/>
        <n v="90.54152932297438"/>
        <n v="112.66615029424429"/>
        <n v="174.03492154553533"/>
        <n v="36.982788293622434"/>
        <n v="36.64746377430856"/>
        <n v="44.31616345234215"/>
        <n v="37.1445197770372"/>
        <n v="15.341748284175992"/>
        <n v="165.43794372491539"/>
        <n v="60.62971227336675"/>
        <n v="83.32535244803876"/>
        <n v="32.07217702828348"/>
        <n v="125.43731611408293"/>
        <n v="26.65177614428103"/>
        <n v="79.2139318715781"/>
        <n v="60.05016506463289"/>
        <n v="64.95477249659598"/>
        <n v="31.785572106949985"/>
        <n v="46.61062255036086"/>
        <n v="150.60402232967317"/>
        <n v="92.03931256663054"/>
        <n v="164.0045891040936"/>
        <n v="174.3129334775731"/>
        <n v="187.84916815254837"/>
        <n v="82.73029750399292"/>
        <n v="88.36005316488445"/>
        <n v="40.178717534057796"/>
        <n v="22.011635966598988"/>
        <n v="44.36555986944586"/>
        <n v="130.49638725537807"/>
        <n v="26.145093041472137"/>
        <n v="124.45342749729753"/>
        <n v="19.373098770156503"/>
        <n v="80.66149090602994"/>
        <n v="79.5714748268947"/>
        <n v="181.68634732626379"/>
        <n v="139.94320903159678"/>
        <n v="146.95122172962874"/>
        <n v="141.3164067659527"/>
        <n v="28.512331360951066"/>
        <n v="22.61949472501874"/>
        <n v="78.26605229917914"/>
        <n v="21.95456963777542"/>
        <n v="111.10412631183863"/>
        <n v="20.627808446995914"/>
        <n v="163.42295596003532"/>
        <n v="55.032367723062634"/>
        <n v="43.32720224093646"/>
        <n v="52.851709708571434"/>
        <n v="12.076199478469789"/>
        <n v="27.56272281613201"/>
        <n v="75.61110356636345"/>
        <n v="170.84563010465354"/>
        <n v="28.491277602501214"/>
        <n v="10.284713207744062"/>
        <n v="71.41793540399522"/>
        <n v="89.2622619047761"/>
        <n v="79.03216604795307"/>
        <n v="160.33275766763836"/>
        <n v="9.282864701934159"/>
        <n v="30.903744622133672"/>
        <n v="189.0221742009744"/>
        <n v="52.205326293595135"/>
        <n v="55.99814522173256"/>
        <n v="28.865888429805636"/>
        <n v="112.75731854978949"/>
        <n v="151.9189635263756"/>
        <n v="29.332443656399846"/>
        <n v="13.157491418533027"/>
        <n v="46.27664387226105"/>
        <n v="170.81237991899252"/>
        <n v="76.98947781231254"/>
        <n v="77.07788585685194"/>
        <n v="98.90695383399725"/>
        <n v="125.55911657679826"/>
        <n v="130.46566262468696"/>
        <n v="113.77336367312819"/>
        <n v="50.48577811475843"/>
        <n v="166.09706101566553"/>
        <n v="76.17978030070662"/>
        <n v="117.53623200207949"/>
        <n v="80.66788781248033"/>
        <n v="132.4682554928586"/>
        <n v="18.910189882852137"/>
        <n v="149.5883465791121"/>
        <n v="56.050554676912725"/>
        <n v="108.0409624800086"/>
        <n v="127.42952616140246"/>
        <n v="105.49182360619307"/>
        <n v="122.57787455897778"/>
        <n v="183.71096444875002"/>
        <n v="159.9494559103623"/>
        <n v="15.513780677691102"/>
        <n v="13.076739259064198"/>
        <n v="4.176677445881069"/>
        <n v="126.09329547639936"/>
        <n v="186.15708178374916"/>
        <n v="151.06600059382617"/>
        <n v="114.93933857511729"/>
        <n v="21.869377128779888"/>
        <n v="134.05060337483883"/>
        <n v="104.392434024252"/>
        <n v="60.788242870010436"/>
        <n v="98.678077256307"/>
        <n v="46.87050398811698"/>
        <n v="133.9019276322797"/>
        <n v="194.15507571119815"/>
        <n v="134.4364561289549"/>
        <n v="51.2928396333009"/>
        <n v="34.16288826242089"/>
        <n v="49.83239269815385"/>
        <n v="173.23754872195423"/>
        <n v="31.1079436019063"/>
        <n v="186.01318213157356"/>
        <n v="103.40317183919251"/>
        <n v="116.247569616884"/>
        <n v="106.93590117339045"/>
        <n v="29.83020884077996"/>
        <n v="131.09503258299083"/>
        <n v="166.1114092580974"/>
        <n v="30.221528694964945"/>
        <n v="188.6108543528244"/>
        <n v="153.5179577851668"/>
        <n v="164.7671377034858"/>
        <n v="112.09749322291464"/>
        <n v="38.622601623646915"/>
        <n v="152.81827887147665"/>
        <n v="59.593225185759366"/>
        <n v="86.1309044919908"/>
        <n v="66.62032887060195"/>
        <n v="109.55598993971944"/>
        <n v="124.94051354099065"/>
        <n v="128.0771258957684"/>
        <n v="105.20990678761154"/>
        <n v="67.7271572323516"/>
        <n v="181.65453959908336"/>
        <n v="173.61273716576397"/>
        <n v="27.16122269630432"/>
        <n v="92.90214569214731"/>
        <n v="42.96684327814728"/>
        <n v="162.21862412709743"/>
        <n v="83.48272094503045"/>
        <n v="91.1359781967476"/>
        <n v="183.5378724457696"/>
        <n v="143.12490233965218"/>
        <n v="43.21490614116192"/>
        <n v="97.78570163995028"/>
        <n v="118.95151393581182"/>
        <n v="40.367885985411704"/>
        <n v="124.56859381496906"/>
        <n v="32.03092004545033"/>
        <n v="191.58450319431722"/>
        <n v="133.37714560888708"/>
        <n v="13.178545219823718"/>
        <n v="165.56891672313213"/>
        <n v="127.35461871232837"/>
        <n v="24.49526523333043"/>
        <n v="113.26822042558342"/>
        <n v="77.39631428103894"/>
        <n v="133.3292103977874"/>
        <n v="138.3707358026877"/>
        <n v="110.16397338639945"/>
        <n v="126.9340379210189"/>
        <n v="13.908738322556019"/>
        <n v="114.31839055381715"/>
        <n v="104.9080751631409"/>
        <n v="145.55157373752445"/>
        <n v="82.60495027899742"/>
        <n v="33.288731656968594"/>
        <n v="68.10651590581983"/>
        <n v="32.26163375657052"/>
        <n v="149.09767675213516"/>
        <n v="107.78903895709664"/>
        <n v="90.09302147012204"/>
        <n v="10.815178863704205"/>
        <n v="115.65011897590011"/>
        <n v="180.47267566155642"/>
        <n v="92.8550114678219"/>
        <n v="102.95117662567645"/>
        <n v="9.191382941789925"/>
        <n v="55.42354625556618"/>
        <n v="24.42383398860693"/>
        <n v="11.311679476872087"/>
        <n v="41.16507960110903"/>
        <n v="156.37210374418646"/>
        <n v="26.68440257292241"/>
        <n v="152.95883259084076"/>
        <n v="25.335500963963568"/>
        <n v="187.4861409040168"/>
        <n v="70.5739097846672"/>
        <n v="157.15624312497675"/>
        <n v="48.94657557550818"/>
        <n v="15.55804003868252"/>
        <n v="18.657964741811156"/>
        <n v="107.83484797738492"/>
        <n v="93.91865482088178"/>
        <n v="48.97619379684329"/>
        <n v="26.704202248714864"/>
        <n v="117.95552778616548"/>
        <n v="108.2979540610686"/>
        <n v="135.3036143090576"/>
        <n v="73.85366328526288"/>
        <n v="134.80765787046403"/>
        <n v="33.33046664297581"/>
        <n v="137.8455736450851"/>
        <n v="13.748356451280415"/>
        <n v="79.82947317976505"/>
        <n v="114.83871183265"/>
        <n v="172.52769091632217"/>
        <n v="3.5878515196964145"/>
        <n v="172.6991020468995"/>
        <n v="133.65941316634417"/>
        <n v="158.83648052159697"/>
        <n v="57.46186433453113"/>
        <n v="12.33611668087542"/>
        <n v="107.0967559851706"/>
        <n v="63.90896044764668"/>
        <n v="156.62075085937977"/>
        <n v="145.38364363275468"/>
        <n v="151.06037109531462"/>
        <n v="155.29769411031157"/>
        <n v="169.6649992177263"/>
        <n v="10.409250973723829"/>
        <n v="191.7606205418706"/>
        <n v="60.52940740343183"/>
        <n v="140.3282754411921"/>
        <n v="53.64407609216869"/>
        <n v="9.769758876413107"/>
        <n v="139.9527854155749"/>
        <n v="75.83103252016008"/>
        <n v="73.02815796155483"/>
        <n v="145.22111418657005"/>
        <n v="106.98153338301927"/>
        <n v="78.58321656659245"/>
        <n v="98.89531242474914"/>
        <n v="157.0416808873415"/>
        <n v="56.3847514661029"/>
        <n v="71.68640228267759"/>
        <n v="163.06273143924773"/>
        <n v="83.14325876906514"/>
        <n v="100.46809651702642"/>
        <n v="173.807477732189"/>
        <n v="9.759041795507073"/>
        <n v="137.104472046718"/>
        <n v="137.60442540235817"/>
        <n v="80.33758898451924"/>
        <n v="165.71850410290062"/>
        <n v="115.36626244802028"/>
        <n v="159.74215725716203"/>
        <n v="104.09711353015155"/>
        <n v="119.4849954713136"/>
        <n v="103.15591240301728"/>
        <n v="180.8164496337995"/>
        <n v="102.09111632406712"/>
        <n v="17.582399788312614"/>
        <n v="181.12610118463635"/>
        <n v="160.88475660420954"/>
        <n v="134.85567603074014"/>
        <n v="162.19916887395084"/>
        <n v="16.166555730625987"/>
        <n v="7.49393008928746"/>
        <n v="108.07712197769433"/>
        <n v="160.96466243639588"/>
        <n v="169.70470210257918"/>
        <n v="83.30662453919649"/>
        <n v="92.27479770686477"/>
        <n v="118.20142429415137"/>
        <n v="117.78436429798603"/>
        <n v="40.08368948753923"/>
        <n v="98.56502193026245"/>
        <n v="65.3739110045135"/>
        <n v="105.13273611292243"/>
        <n v="120.88604524545372"/>
        <n v="130.1636071037501"/>
        <n v="129.37899397034198"/>
        <n v="175.77783020492643"/>
        <n v="34.42370865959674"/>
        <n v="135.8937257407233"/>
        <n v="59.329251307062805"/>
        <n v="188.6208401080221"/>
        <n v="161.85455658007413"/>
        <n v="107.98433847445995"/>
        <n v="186.1365077989176"/>
        <n v="108.97898649424314"/>
        <n v="76.52305159252137"/>
        <n v="65.57471523247659"/>
        <n v="62.73863387107849"/>
        <n v="104.03013668395579"/>
        <n v="165.33166010305285"/>
        <n v="5.1442073388025165"/>
        <n v="92.39657705556601"/>
        <n v="170.48068563546985"/>
        <n v="88.00257081724703"/>
        <n v="107.33632668107748"/>
        <n v="144.87212647497654"/>
        <n v="167.75265736319125"/>
        <n v="148.54879387374967"/>
        <n v="105.18262582924217"/>
        <n v="75.4424364482984"/>
        <n v="8.171797599643469"/>
        <n v="175.06641790643334"/>
        <n v="101.35792631562799"/>
        <n v="123.72135022934526"/>
        <n v="186.60707597713917"/>
        <n v="97.94373767450452"/>
        <n v="149.64753802586347"/>
        <n v="112.82328981906176"/>
        <n v="35.88904717285186"/>
        <n v="65.63892687112093"/>
        <n v="86.5507861059159"/>
        <n v="172.72544042486697"/>
        <n v="88.78421580698341"/>
        <n v="103.32419616822153"/>
        <n v="152.80622038431466"/>
        <n v="182.23153252899647"/>
        <n v="98.98217947874218"/>
        <n v="63.54321336187422"/>
        <n v="119.78897111583501"/>
        <n v="8.865874085575342"/>
        <n v="124.73289518710226"/>
        <n v="123.27482292149216"/>
        <n v="75.833490553312"/>
        <n v="27.390839750878513"/>
        <n v="146.17523001041263"/>
        <n v="53.63550051022321"/>
        <n v="72.09213494788855"/>
        <n v="89.79030101094395"/>
        <n v="107.04662170354277"/>
        <n v="2.7873885314911604"/>
        <n v="2.968789679929614"/>
        <n v="54.01859435159713"/>
        <n v="102.88884458877146"/>
        <n v="124.75193688180298"/>
        <n v="158.26724978815764"/>
        <n v="78.92431702185422"/>
        <n v="65.09518431778997"/>
        <n v="88.59753091540188"/>
        <n v="104.44274418707937"/>
        <n v="39.88645678572357"/>
        <n v="144.64899304974824"/>
        <n v="111.1526242904365"/>
        <n v="109.98180497158319"/>
        <n v="48.56103546265513"/>
        <n v="115.32614207267761"/>
        <n v="105.74422523099929"/>
        <n v="58.08847098983824"/>
        <n v="165.03907156083733"/>
        <n v="63.91432484332472"/>
        <n v="131.4180118991062"/>
        <n v="144.39167937729508"/>
        <n v="78.13979047443718"/>
        <n v="173.05598631408066"/>
        <n v="165.09206210821867"/>
        <n v="31.666296581737697"/>
        <n v="88.10129010491073"/>
        <n v="16.962896964512765"/>
        <n v="40.76115049235523"/>
        <n v="102.9139451412484"/>
        <n v="65.11566593777388"/>
        <n v="128.3719805618748"/>
        <n v="127.36652911361307"/>
        <n v="152.38752171304077"/>
        <n v="19.54793362505734"/>
        <n v="99.1298125339672"/>
        <n v="179.68170752935112"/>
        <n v="135.80723427329212"/>
        <n v="133.64790738467127"/>
        <n v="106.03741721063852"/>
        <n v="147.27350610960275"/>
        <n v="70.53632438834757"/>
        <n v="102.39996629860252"/>
        <n v="153.84292500838637"/>
        <n v="29.437489366158843"/>
        <n v="160.89701695833355"/>
        <n v="148.24244252312928"/>
        <n v="57.91726773325354"/>
        <n v="23.31813434511423"/>
        <n v="134.33474324829876"/>
        <n v="157.27384717576206"/>
        <n v="63.50947622116655"/>
        <n v="119.6597678149119"/>
        <n v="100.24172682873905"/>
        <n v="137.15336305368692"/>
        <n v="28.12490892969072"/>
        <n v="78.98839598149061"/>
        <n v="78.33960612118244"/>
        <n v="76.62807045597583"/>
        <n v="137.6462551727891"/>
        <n v="96.44424550142139"/>
        <n v="137.92133524734527"/>
        <n v="170.04666295833886"/>
        <n v="88.02255295589566"/>
        <n v="174.20097365882248"/>
        <n v="60.4709895150736"/>
        <n v="58.804853533394635"/>
        <n v="128.63397451676428"/>
        <n v="172.25512326601893"/>
        <n v="147.31889117974788"/>
        <n v="188.6509686121717"/>
        <n v="142.44001027289778"/>
        <n v="165.74749217368662"/>
        <n v="54.18522167298943"/>
        <n v="33.31667977478355"/>
        <n v="31.00638119596988"/>
        <n v="163.0270334435627"/>
        <n v="174.8040206776932"/>
        <n v="128.92423016298562"/>
        <n v="92.6990513280034"/>
        <n v="22.006311386823654"/>
        <n v="136.03753185644746"/>
        <n v="127.00884977728128"/>
        <n v="34.09550825692713"/>
        <n v="114.826964343898"/>
        <n v="102.6170138400048"/>
        <n v="24.94374968111515"/>
        <n v="86.42171651963145"/>
        <n v="93.67366809863597"/>
        <n v="19.887337191030383"/>
        <n v="89.04123336076736"/>
        <n v="81.65204191673547"/>
        <n v="128.67987041641027"/>
        <n v="82.14096946734935"/>
        <n v="166.88988613151014"/>
        <n v="62.48200806602836"/>
        <n v="85.62307369243354"/>
        <n v="157.70539948809892"/>
        <n v="162.74283157847822"/>
        <n v="138.48006327915937"/>
        <n v="177.48034375719726"/>
        <n v="90.41763848531991"/>
        <n v="47.842501564882696"/>
        <n v="18.563710439950228"/>
        <n v="181.39189053233713"/>
        <n v="52.66069412138313"/>
        <n v="104.97101966291666"/>
        <n v="22.554068288765848"/>
        <n v="173.09939558804035"/>
        <n v="58.421208277344704"/>
        <n v="181.4009461775422"/>
        <n v="185.60542461369187"/>
        <n v="101.40819355193526"/>
        <n v="169.9912221422419"/>
        <n v="152.90733502805233"/>
        <n v="116.63338723313063"/>
        <n v="160.29995041992515"/>
        <n v="154.6908689122647"/>
        <n v="159.00843239482492"/>
        <n v="94.08463780675083"/>
        <n v="188.25551179423928"/>
        <n v="135.71233129035681"/>
        <n v="58.85696985106915"/>
        <n v="83.24992697872221"/>
        <n v="35.65488216187805"/>
        <n v="27.511058822274208"/>
        <n v="171.85773567389697"/>
        <n v="78.70570861455053"/>
        <n v="20.436170148663223"/>
        <n v="99.90138372965157"/>
        <n v="125.36993748880923"/>
        <n v="82.59604011196643"/>
        <n v="50.13720156531781"/>
        <n v="35.98337712697685"/>
        <n v="90.02309503592551"/>
        <n v="95.25487500801682"/>
        <n v="67.4149374300614"/>
        <n v="9.587214406579733"/>
        <n v="74.90858872886747"/>
        <n v="112.90746847167611"/>
        <n v="79.32204075995833"/>
        <n v="131.8003511596471"/>
        <n v="186.40578241460025"/>
        <n v="41.73374982737005"/>
        <n v="91.32311409432441"/>
        <n v="144.20186046604067"/>
        <n v="178.0649441126734"/>
        <n v="139.36266581062227"/>
        <n v="44.98746055550873"/>
        <n v="39.52914613112807"/>
        <n v="135.09084081090987"/>
        <n v="135.66505438648164"/>
        <n v="131.9156071022153"/>
        <n v="29.210109889507294"/>
        <n v="127.93337301537395"/>
        <n v="176.1328751342371"/>
        <n v="153.19543874356896"/>
        <n v="111.72156789712608"/>
        <n v="131.88481068704277"/>
        <n v="144.65657743997872"/>
        <n v="31.585249945521355"/>
        <n v="165.59293591603637"/>
        <n v="15.37095298524946"/>
        <n v="169.49175586365163"/>
        <n v="53.56274952366948"/>
        <n v="42.72135022934526"/>
        <n v="169.3374378979206"/>
        <n v="170.12439174298197"/>
        <n v="23.123679439537227"/>
        <n v="87.15405646711588"/>
        <n v="119.97579452954233"/>
        <n v="182.39185585081577"/>
        <n v="181.4858995359391"/>
        <n v="173.18426957726479"/>
        <n v="15.980150352232158"/>
        <n v="152.33350295946002"/>
        <n v="179.01264519616961"/>
        <n v="73.64374054037035"/>
        <n v="116.84686568193138"/>
        <n v="89.24794383533299"/>
        <n v="130.3653743006289"/>
        <n v="142.10531305987388"/>
        <n v="106.17935074400157"/>
        <n v="60.57660557702184"/>
        <n v="10.72211349196732"/>
        <n v="27.293961700983346"/>
        <n v="93.20308004785329"/>
        <n v="78.62900371477008"/>
        <n v="155.516751492396"/>
        <n v="156.52791562210768"/>
        <n v="109.43159655760974"/>
        <n v="102.21977141872048"/>
        <n v="179.35874055791646"/>
        <n v="104.9795090155676"/>
        <n v="53.74103539995849"/>
        <n v="171.3718632897362"/>
        <n v="149.9432144165039"/>
        <n v="163.65894446708262"/>
        <n v="120.65563354454935"/>
        <n v="156.52241381071508"/>
        <n v="149.86167453974485"/>
        <n v="56.416834068484604"/>
        <n v="102.08736110012978"/>
        <n v="78.34788522869349"/>
        <n v="114.34449219331145"/>
        <n v="73.74712785799056"/>
        <n v="144.61739780101925"/>
        <n v="28.424567877314985"/>
        <n v="29.349236301146448"/>
        <n v="119.71171167492867"/>
        <n v="120.26268510706723"/>
        <n v="81.68066026922315"/>
        <n v="67.80857238080353"/>
        <n v="171.35346404276788"/>
        <n v="173.42438944336027"/>
        <n v="14.339581354521215"/>
        <n v="98.09792237915099"/>
        <n v="21.723607980646193"/>
        <n v="158.2486585834995"/>
        <n v="99.92982036527246"/>
        <n v="31.962454237043858"/>
        <n v="148.8698854362592"/>
        <n v="127.24684817250818"/>
        <n v="152.1748819090426"/>
        <n v="25.500532274134457"/>
        <n v="56.310629995539784"/>
        <n v="11.591355317272246"/>
        <n v="52.180525596253574"/>
        <n v="53.8554804334417"/>
        <n v="166.5524475928396"/>
        <n v="45.33512815088034"/>
        <n v="181.76963967550546"/>
        <n v="35.747674128971994"/>
        <n v="186.065991316922"/>
        <n v="162.6062720315531"/>
        <n v="190.37165880668908"/>
        <n v="178.17105499375612"/>
        <n v="144.20165035501122"/>
        <n v="176.21265857014805"/>
        <n v="78.45620439015329"/>
        <n v="53.581513402983546"/>
        <n v="43.6441007880494"/>
        <n v="97.99714124575257"/>
        <n v="175.48714310582727"/>
        <n v="108.73806878458709"/>
        <n v="130.75575558748096"/>
        <n v="184.07886592578143"/>
        <n v="93.52199723757803"/>
        <n v="65.49027414713055"/>
        <n v="46.93896892853081"/>
        <n v="58.917256937362254"/>
        <n v="61.15825160127133"/>
        <n v="121.56261040177196"/>
        <n v="28.557482851669192"/>
        <n v="9.891660295426846"/>
        <n v="93.79177243355662"/>
        <n v="136.52129301521927"/>
        <n v="22.98215237352997"/>
        <n v="44.19984242878854"/>
        <n v="121.28073113877326"/>
        <n v="35.96222243178636"/>
        <n v="178.38429797720164"/>
        <n v="165.7354769492522"/>
        <n v="31.29612409695983"/>
        <n v="24.131323388777673"/>
        <n v="173.4905406748876"/>
        <n v="150.31524463836104"/>
        <n v="94.60988919902593"/>
        <n v="147.8715095585212"/>
        <n v="156.20993984211236"/>
        <n v="89.69909464474767"/>
        <n v="96.07745475135744"/>
        <n v="84.65993522386998"/>
        <n v="175.18996201641858"/>
        <n v="94.4676066255197"/>
        <n v="85.26015121303499"/>
        <n v="113.87624316755682"/>
        <n v="172.7894848641008"/>
        <n v="64.01964385062456"/>
        <n v="84.9799715615809"/>
        <n v="163.886318041943"/>
        <n v="170.70701110735536"/>
        <n v="65.86105187889189"/>
        <n v="173.13919699005783"/>
        <n v="122.97182112839073"/>
        <n v="37.33777024783194"/>
        <n v="127.19511251337826"/>
        <n v="144.90784398838878"/>
        <n v="169.28601392172277"/>
        <n v="187.4780530454591"/>
        <n v="69.0557224843651"/>
        <n v="148.1158239217475"/>
        <n v="168.67839181330055"/>
        <n v="138.04157331306487"/>
        <n v="14.518548419699073"/>
        <n v="94.22727360390127"/>
        <n v="136.59058582317084"/>
        <n v="6.531833086162806"/>
        <n v="161.59229258820415"/>
        <n v="142.83900172729045"/>
        <n v="68.42921385727823"/>
        <n v="78.08396631199867"/>
        <n v="153.6867803512141"/>
        <n v="64.80163133423775"/>
        <n v="152.14465656224638"/>
        <n v="181.82845098059624"/>
        <n v="115.1532513462007"/>
        <n v="116.75650320295244"/>
        <n v="163.1852092295885"/>
        <n v="37.917624302208424"/>
        <n v="159.19942817278206"/>
        <n v="31.576214381493628"/>
        <n v="169.77220315486193"/>
        <n v="100.67637664731592"/>
        <n v="17.88250928465277"/>
        <n v="49.943200666457415"/>
        <n v="120.38751035835594"/>
        <n v="178.1146857449785"/>
        <n v="165.60368973296136"/>
        <n v="159.97591744270176"/>
        <n v="37.539490105584264"/>
        <n v="7.516275921836495"/>
        <n v="7.096110590733588"/>
        <n v="71.37629137281328"/>
        <n v="143.50671103224158"/>
        <n v="19.966892852447927"/>
        <n v="57.361424717120826"/>
        <n v="91.01116793043911"/>
        <n v="165.84534539096057"/>
        <n v="64.6272684270516"/>
        <n v="124.48322909325361"/>
        <n v="20.54001203738153"/>
        <n v="117.5704049449414"/>
        <n v="13.454631551168859"/>
        <n v="17.63208283483982"/>
        <n v="87.21904844790697"/>
        <n v="144.77124411985278"/>
        <n v="192.88615167606622"/>
        <n v="110.89344925433397"/>
        <n v="92.71645687427372"/>
        <n v="128.83329493924975"/>
        <n v="33.21204672008753"/>
        <n v="176.85475649591535"/>
        <n v="121.24531500786543"/>
        <n v="166.9204176152125"/>
        <n v="84.96723377797753"/>
        <n v="60.05620162561536"/>
        <n v="181.499862132594"/>
        <n v="168.56142006255686"/>
        <n v="131.5905402712524"/>
        <n v="87.00105318054557"/>
        <n v="11.545767181552947"/>
        <n v="24.53380556590855"/>
        <n v="26.89003186393529"/>
        <n v="151.68743895180523"/>
        <n v="59.94240343943238"/>
        <n v="174.54078657738864"/>
        <n v="67.07916752342135"/>
        <n v="118.71571861207485"/>
        <n v="184.62396701332182"/>
        <n v="43.04261744953692"/>
        <n v="98.33613760769367"/>
        <n v="126.54115293733776"/>
        <n v="157.29216526355594"/>
        <n v="30.328310914337635"/>
        <n v="92.21654626261443"/>
        <n v="64.5645299050957"/>
        <n v="44.9420918347314"/>
        <n v="93.93593649473041"/>
        <n v="111.83768106810749"/>
        <n v="180.23516675271094"/>
        <n v="156.1167689934373"/>
        <n v="38.530216191895306"/>
        <n v="74.30817328114063"/>
        <n v="166.23752329312265"/>
        <n v="147.55712769180536"/>
        <n v="149.1419416256249"/>
        <n v="39.54541835002601"/>
        <n v="141.50347708538175"/>
        <n v="46.34107571281493"/>
        <n v="135.57342648040503"/>
        <n v="142.01217030920088"/>
        <n v="163.92620989866555"/>
        <n v="77.55136027373374"/>
        <n v="69.61271001957357"/>
        <n v="22.55015989486128"/>
        <n v="159.70530957356095"/>
        <n v="172.5105018755421"/>
        <n v="58.17248496506363"/>
        <n v="102.58978180307895"/>
        <n v="23.582916958257556"/>
        <n v="88.89249371178448"/>
        <n v="31.173883211798966"/>
        <n v="153.05325305834413"/>
        <n v="59.25117299333215"/>
        <n v="8.196229789406061"/>
        <n v="90.99762178957462"/>
        <n v="83.78750174958259"/>
        <n v="169.16096014343202"/>
        <n v="2.0923097264021635"/>
        <n v="89.2740584500134"/>
        <n v="26.829646902158856"/>
        <n v="92.38408019766212"/>
        <n v="78.19662659894675"/>
        <n v="180.95679446030408"/>
        <n v="66.79102552309632"/>
        <n v="110.38914646022022"/>
        <n v="139.32196608930826"/>
        <n v="145.89511335641146"/>
        <n v="44.12094632163644"/>
        <n v="70.2204895094037"/>
        <n v="43.050175226293504"/>
        <n v="141.99107389897108"/>
        <n v="36.796540836803615"/>
        <n v="70.63795476593077"/>
        <n v="170.5569667564705"/>
        <n v="33.9108895258978"/>
        <n v="59.34370133560151"/>
        <n v="40.334169743582606"/>
        <n v="22.541610631160438"/>
        <n v="115.05317395180464"/>
        <n v="80.9027095688507"/>
        <n v="85.16761611867696"/>
        <n v="38.93611052725464"/>
        <n v="171.0431000571698"/>
        <n v="188.30303308088332"/>
        <n v="141.0259565776214"/>
        <n v="103.4004965191707"/>
        <n v="108.40077389031649"/>
        <n v="185.52592421788722"/>
        <n v="106.19387799222022"/>
        <n v="131.82821736950427"/>
        <n v="54.38514605630189"/>
        <n v="108.70794711727649"/>
        <n v="6.577627236954868"/>
        <n v="154.27148450538516"/>
        <n v="174.11927181947976"/>
        <n v="105.64958075247705"/>
        <n v="85.7360461447388"/>
        <n v="52.072117457166314"/>
        <n v="38.61777153611183"/>
        <n v="118.90245157293975"/>
        <n v="183.06935382820666"/>
        <n v="66.25528088584542"/>
        <n v="64.28964680619538"/>
        <n v="180.85026356298476"/>
        <n v="122.90128915570676"/>
        <n v="133.5229519288987"/>
        <n v="120.19827653095126"/>
        <n v="135.34257120918483"/>
        <n v="125.45413079392165"/>
        <n v="136.76463306043297"/>
        <n v="167.10758527554572"/>
        <n v="71.62720358930528"/>
        <n v="25.323745175264776"/>
        <n v="147.45177287049592"/>
        <n v="147.8413801928982"/>
        <n v="68.35001932643354"/>
        <n v="55.70607678871602"/>
        <n v="152.66954524908215"/>
        <n v="26.782697268761694"/>
        <n v="122.24463287647814"/>
        <n v="149.2637114590034"/>
        <n v="22.25300030503422"/>
        <n v="45.77027007564902"/>
        <n v="31.955738798715174"/>
        <n v="72.79419175814837"/>
        <n v="45.461120835505426"/>
        <n v="176.52237447630614"/>
        <n v="62.90336279477924"/>
        <n v="49.80196206551045"/>
        <n v="129.94724131654948"/>
        <n v="163.65042364690453"/>
        <n v="148.45938210282475"/>
        <n v="52.66255787201226"/>
        <n v="90.88235830236226"/>
        <n v="60.98323477245867"/>
        <n v="90.60122336540371"/>
        <n v="132.48966548684984"/>
        <n v="134.33938364963979"/>
        <n v="109.87684464734048"/>
        <n v="81.67838774714619"/>
        <n v="25.146706298924983"/>
        <n v="96.6651718635112"/>
        <n v="123.89150170981884"/>
        <n v="163.4420630754903"/>
        <n v="30.547903012484312"/>
        <n v="140.44545876886696"/>
        <n v="132.3895357325673"/>
        <n v="142.01703966315836"/>
        <n v="132.18804794177413"/>
        <n v="74.64905137568712"/>
        <n v="134.99009210430086"/>
        <n v="125.01698830816895"/>
        <n v="112.14633157476783"/>
        <n v="60.81543604750186"/>
        <n v="148.84210888389498"/>
        <n v="58.13064708188176"/>
        <n v="176.19434622954577"/>
        <n v="94.37679481785744"/>
        <n v="26.656359365209937"/>
        <n v="85.36008199118078"/>
        <n v="164.84093873761594"/>
        <n v="67.38946895767003"/>
        <n v="85.34601319115609"/>
        <n v="48.84651244059205"/>
        <n v="120.76965747959912"/>
        <n v="161.45633513759822"/>
        <n v="13.434277765452862"/>
        <n v="144.40673103928566"/>
        <n v="147.17407422792166"/>
        <n v="121.8523022774607"/>
        <n v="153.86636610049754"/>
        <n v="21.106011103838682"/>
        <n v="126.59339779336005"/>
        <n v="131.23637857753783"/>
        <n v="120.26776853669435"/>
        <n v="42.84143916051835"/>
        <n v="84.30995718203485"/>
        <n v="65.90594294853508"/>
        <n v="78.8647889662534"/>
        <n v="171.7050875434652"/>
        <n v="109.38257813081145"/>
        <n v="85.90304870996624"/>
        <n v="29.307104696519673"/>
        <n v="69.98316158726811"/>
        <n v="48.798842657357454"/>
        <n v="168.76514735911041"/>
        <n v="110.96624609082937"/>
        <n v="105.18861895147711"/>
        <n v="77.07444157451391"/>
        <n v="103.68200231622905"/>
        <n v="144.88533517997712"/>
        <n v="12.434218443930149"/>
        <n v="81.38343488611281"/>
        <n v="149.83169776108116"/>
        <n v="23.52317786309868"/>
        <n v="52.07234644051641"/>
        <n v="62.28379620984197"/>
        <n v="19.021721239201725"/>
        <n v="186.07094762660563"/>
        <n v="184.87719585187733"/>
        <n v="43.83384590782225"/>
        <n v="72.05404990818352"/>
        <n v="33.15704414434731"/>
        <n v="34.26492841076106"/>
        <n v="134.83605204708874"/>
        <n v="141.69047424104065"/>
        <n v="86.02676837239414"/>
        <n v="38.561162650585175"/>
        <n v="13.351846906356514"/>
        <n v="37.84444518573582"/>
        <n v="130.98641914315522"/>
        <n v="64.31333981081843"/>
        <n v="111.4712850060314"/>
        <n v="91.55502614751458"/>
        <n v="172.8005211763084"/>
        <n v="62.350592692382634"/>
        <n v="16.445590033195913"/>
        <n v="99.89396380353719"/>
        <n v="151.39382544439286"/>
        <n v="40.45679770037532"/>
        <n v="102.0082476194948"/>
        <n v="36.691863330081105"/>
        <n v="100.61011078953743"/>
        <n v="66.87846598215401"/>
        <n v="170.4795259833336"/>
        <n v="119.86173843219876"/>
        <n v="177.02273292746395"/>
        <n v="149.45218433905393"/>
        <n v="129.366929220967"/>
        <n v="116.20018700230867"/>
        <n v="65.86563176382333"/>
        <n v="21.600685951299965"/>
        <n v="33.63793355599046"/>
        <n v="91.58440775051713"/>
        <n v="154.31008244585246"/>
        <n v="10.695116732269526"/>
        <n v="173.09658042155206"/>
        <n v="118.83784316852689"/>
        <n v="120.43862107209861"/>
        <n v="182.47852509189397"/>
        <n v="164.30920748785138"/>
        <n v="48.65954257454723"/>
        <n v="17.414146062918007"/>
        <n v="92.60250870324671"/>
        <n v="125.37977667152882"/>
        <n v="22.01940199546516"/>
        <n v="130.99095797818154"/>
        <n v="88.82661082502455"/>
        <n v="185.76511929091066"/>
        <m/>
      </sharedItems>
    </cacheField>
    <cacheField name="Cost Tier" numFmtId="0">
      <sharedItems containsBlank="1">
        <s v="High Cost"/>
        <s v="Normal Cost"/>
        <m/>
      </sharedItems>
    </cacheField>
    <cacheField name="Efficiency Score" numFmtId="0">
      <sharedItems containsString="0" containsBlank="1" containsNumber="1">
        <n v="0.019639709918811938"/>
        <n v="0.010817793466861075"/>
        <n v="0.10148065571896124"/>
        <n v="0.06093859521510851"/>
        <n v="0.03077706721313406"/>
        <n v="0.17184172933344116"/>
        <n v="0.023044951881447766"/>
        <n v="0.16378012048192772"/>
        <n v="0.03642918129209752"/>
        <n v="0.033064756258527284"/>
        <n v="0.14839618213112188"/>
        <n v="0.013795180722891567"/>
        <n v="0.03476299802921636"/>
        <n v="0.14943709263282637"/>
        <n v="0.021232425062029193"/>
        <n v="0.1060526691747226"/>
        <n v="0.015905395466343886"/>
        <n v="0.030146577646808496"/>
        <n v="0.08970915509170439"/>
        <n v="0.06829654383959195"/>
        <n v="0.016502305056147526"/>
        <n v="0.07353515728118434"/>
        <n v="0.06388273497010713"/>
        <n v="0.10733990702462723"/>
        <n v="0.020307457299677263"/>
        <n v="0.010668204733828934"/>
        <n v="0.05906561026715557"/>
        <n v="0.01853192535373467"/>
        <n v="0.17346308310163733"/>
        <n v="0.23332276474318328"/>
        <n v="0.10249488520118208"/>
        <n v="0.012719442226000383"/>
        <n v="0.03434946366820114"/>
        <n v="0.029804990713843516"/>
        <n v="0.02660200357154393"/>
        <n v="0.6607016300496102"/>
        <n v="0.01488863617736251"/>
        <n v="0.05192121970140747"/>
        <n v="0.054388984509466436"/>
        <n v="0.06849871395695141"/>
        <n v="0.2763680420004039"/>
        <n v="0.34954451954158094"/>
        <n v="0.12054174143382039"/>
        <n v="0.015532850452960842"/>
        <n v="0.013520794678377262"/>
        <n v="0.06062616362430182"/>
        <n v="0.08420348058902276"/>
        <n v="0.521373630113675"/>
        <n v="0.010184434668786184"/>
        <n v="0.00840443842238254"/>
        <n v="0.015883572095565627"/>
        <n v="0.01014828544949027"/>
        <n v="0.11649356044869132"/>
        <n v="0.09812059297096218"/>
        <n v="0.547431832593532"/>
        <n v="0.04775492949240571"/>
        <n v="0.004606996716198759"/>
        <n v="0.03182000830001252"/>
        <n v="0.03786970769795687"/>
        <n v="0.06217145002775329"/>
        <n v="0.4346792575708238"/>
        <n v="0.28901612280023886"/>
        <n v="0.06297345068898347"/>
        <n v="0.01266982559329735"/>
        <n v="0.00573340590287227"/>
        <n v="0.6337530573421506"/>
        <n v="0.016847646527609526"/>
        <n v="0.43712825987494286"/>
        <n v="0.028063273502171956"/>
        <n v="0.20029127499007018"/>
        <n v="0.013212538567121455"/>
        <n v="0.11350351902660147"/>
        <n v="0.005792070959292774"/>
        <n v="0.15134200167004655"/>
        <n v="0.05187318187706839"/>
        <n v="0.09423817719859029"/>
        <n v="0.49616322432587495"/>
        <n v="0.011333653806415407"/>
        <n v="0.02629052796552062"/>
        <n v="0.016510254281103608"/>
        <n v="0.007580822041282338"/>
        <n v="0.009839548035521298"/>
        <n v="0.01587744754389683"/>
        <n v="0.033860211488154456"/>
        <n v="0.021949764549571125"/>
        <n v="0.034395647104547226"/>
        <n v="0.018998679509883206"/>
        <n v="0.00893201812308255"/>
        <n v="0.007842891943951356"/>
        <n v="0.1963921258805715"/>
        <n v="0.002960996528486829"/>
        <n v="0.014597148283054702"/>
        <n v="0.01966314562424649"/>
        <n v="0.033262743807996493"/>
        <n v="0.03694973129231904"/>
        <n v="0.00596828731821017"/>
        <n v="0.030947771567272922"/>
        <n v="0.4020756940806705"/>
        <n v="0.1767591538793611"/>
        <n v="0.009144791924985454"/>
        <n v="0.12800501069699358"/>
        <n v="0.019892351847674752"/>
        <n v="0.029295910757239946"/>
        <n v="0.07709659599095071"/>
        <n v="0.019448756489562766"/>
        <n v="0.0349389632506247"/>
        <n v="0.02899166238236806"/>
        <n v="0.21439775723392182"/>
        <n v="0.04683333188558125"/>
        <n v="0.007211611256516191"/>
        <n v="0.12900066523763767"/>
        <n v="0.11239217991045965"/>
        <n v="0.05770995530031674"/>
        <n v="0.06200426079944152"/>
        <n v="0.002271925914591552"/>
        <n v="0.01734877297207262"/>
        <n v="0.14982178101157687"/>
        <n v="0.18587910965897486"/>
        <n v="0.0295654476038309"/>
        <n v="0.031205122976602124"/>
        <n v="0.011345022307476778"/>
        <n v="0.06455636209434008"/>
        <n v="0.011618426416632693"/>
        <n v="0.0905701457515455"/>
        <n v="0.05965594662113019"/>
        <n v="0.09915736565895485"/>
        <n v="0.021470197560428048"/>
        <n v="0.010347068258700454"/>
        <n v="0.12320106112523489"/>
        <n v="0.04050204843518945"/>
        <n v="0.13379192445457508"/>
        <n v="0.013107345814776362"/>
        <n v="0.09704230455657216"/>
        <n v="0.021607271964633613"/>
        <n v="0.026546553185217935"/>
        <n v="0.02033112347540793"/>
        <n v="0.010771970716654082"/>
        <n v="0.013534067009419705"/>
        <n v="1.9652538726333908"/>
        <n v="0.013652087673260985"/>
        <n v="0.007319255700841748"/>
        <n v="0.18310943454328496"/>
        <n v="0.043185268709325146"/>
        <n v="0.06816687404529959"/>
        <n v="0.3006543942266528"/>
        <n v="0.10519059332257509"/>
        <n v="0.030765087806346823"/>
        <n v="0.06856938580303572"/>
        <n v="0.4044221579053645"/>
        <n v="0.19548289621508544"/>
        <n v="0.24320269584083462"/>
        <n v="0.05143326113442534"/>
        <n v="0.002086178894936769"/>
        <n v="0.11242701763293043"/>
        <n v="0.02540389190430329"/>
        <n v="0.017243068151495806"/>
        <n v="0.15339820821748534"/>
        <n v="0.4395080321285141"/>
        <n v="0.013470282911684884"/>
        <n v="0.011719410500097964"/>
        <n v="0.08610720253275878"/>
        <n v="0.19337212796765293"/>
        <n v="0.05093821614140176"/>
        <n v="0.6498051027639972"/>
        <n v="0.21570825890312037"/>
        <n v="0.006394633702851991"/>
        <n v="0.47950654291808387"/>
        <n v="0.020866249809364038"/>
        <n v="0.011849091280375739"/>
        <n v="0.0817753773715552"/>
        <n v="0.09297418807800761"/>
        <n v="0.1781514836902721"/>
        <n v="0.06410092667489747"/>
        <n v="0.009098035979534576"/>
        <n v="0.012894475851992753"/>
        <n v="1.3064431639601886"/>
        <n v="0.2006743789316558"/>
        <n v="0.016248326639892906"/>
        <n v="0.02868389296454498"/>
        <n v="0.043587626738216256"/>
        <n v="0.1159277448298129"/>
        <n v="0.12630592299267"/>
        <n v="0.3354470513633481"/>
        <n v="0.03226848412416422"/>
        <n v="0.050799114826653544"/>
        <n v="0.0029254397782824586"/>
        <n v="0.15195165520124662"/>
        <n v="0.016377228127262174"/>
        <n v="0.2923323729701414"/>
        <n v="0.0047139229563995895"/>
        <n v="0.7581755593803786"/>
        <n v="0.22749264775637984"/>
        <n v="1.1469407039924404"/>
        <n v="0.07093962121125111"/>
        <n v="0.05422514232755197"/>
        <n v="0.033223896597512396"/>
        <n v="0.01770073715916297"/>
        <n v="0.0049240348744691255"/>
        <n v="0.054426460048950014"/>
        <n v="0.08044629881393277"/>
        <n v="0.10990473521994958"/>
        <n v="0.022631406127655275"/>
        <n v="0.04992085544446217"/>
        <n v="0.1018932874354561"/>
        <n v="0.3432209852066494"/>
        <n v="0.02592536813922356"/>
        <n v="0.061524284105259563"/>
        <n v="0.030230424530090155"/>
        <n v="0.008698547741325802"/>
        <n v="0.03887407039037953"/>
        <n v="0.01456770751063612"/>
        <n v="0.23217140406285333"/>
        <n v="0.007870726404435709"/>
        <n v="0.16755668964065873"/>
        <n v="0.019941522807196185"/>
        <n v="0.035735500140095265"/>
        <n v="0.15672038804568925"/>
        <n v="0.3133492436198468"/>
        <n v="0.03318548568274162"/>
        <n v="0.004154458810284668"/>
        <n v="0.2532573733849425"/>
        <n v="0.01116729294449576"/>
        <n v="0.007264695561228353"/>
        <n v="0.053061426031996844"/>
        <n v="0.019330931975323973"/>
        <n v="0.042321753381237955"/>
        <n v="0.1124523703006649"/>
        <n v="0.005507417878326378"/>
        <n v="0.07525438541731694"/>
        <n v="0.2477878318252262"/>
        <n v="0.11268438238937056"/>
        <n v="0.10473044250735662"/>
        <n v="0.2857142857142857"/>
        <n v="0.024588221778652157"/>
        <n v="0.08516899456232009"/>
        <n v="0.012654756958869964"/>
        <n v="0.03141548921212682"/>
        <n v="0.04515951128457492"/>
        <n v="0.06500536306717554"/>
        <n v="0.011763937960861271"/>
        <n v="0.004638956596225272"/>
        <n v="0.009691129217014326"/>
        <n v="0.09963303348163544"/>
        <n v="0.009292985897076677"/>
        <n v="0.03021140188178328"/>
        <n v="0.4814162309615822"/>
        <n v="0.17683295998062606"/>
        <n v="0.005115347204191485"/>
        <n v="0.12599882543467816"/>
        <n v="0.0752514645738919"/>
        <n v="0.19205393000573723"/>
        <n v="0.01295926862600336"/>
        <n v="0.1262277748407023"/>
        <n v="0.02319277108433735"/>
        <n v="0.15111615651049867"/>
        <n v="0.11528488722980978"/>
        <n v="0.03341085079537864"/>
        <n v="0.021631008017836472"/>
        <n v="0.8629253857535405"/>
        <n v="0.010618348881908959"/>
        <n v="0.00842104911750076"/>
        <n v="0.03860003054244998"/>
        <n v="0.015358980000606962"/>
        <n v="0.1734321902996602"/>
        <n v="0.03173847807587226"/>
        <n v="0.01882466431839566"/>
        <n v="0.047472498690413825"/>
        <n v="0.04448400088364743"/>
        <n v="0.007721095331789352"/>
        <n v="0.0498962140697622"/>
        <n v="0.023416025053676685"/>
        <n v="0.6215519974635383"/>
        <n v="0.005387895070587057"/>
        <n v="0.05813488328313253"/>
        <n v="0.0155736582694414"/>
        <n v="0.015980947620414798"/>
        <n v="0.042218563695776895"/>
        <n v="0.2547609794014769"/>
        <n v="0.16117216117216115"/>
        <n v="0.07770727881941969"/>
        <n v="0.04878477191704181"/>
        <n v="0.1111934649593137"/>
        <n v="0.06057461739838232"/>
        <n v="0.012095941937014229"/>
        <n v="0.05031006378454997"/>
        <n v="0.05054336100291837"/>
        <n v="0.013197416485390308"/>
        <n v="0.028810655465900295"/>
        <n v="0.005890842594471812"/>
        <n v="0.01462575209411396"/>
        <n v="0.39300320548248036"/>
        <n v="0.02451430085825536"/>
        <n v="0.21355552078443646"/>
        <n v="0.017870850777715473"/>
        <n v="0.9774997425599835"/>
        <n v="0.041353574976438524"/>
        <n v="0.10186837199045767"/>
        <n v="0.14905074844833882"/>
        <n v="0.031448721716132826"/>
        <n v="0.027839464614086033"/>
        <n v="0.12665078057145404"/>
        <n v="0.011359700357235028"/>
        <n v="0.010696897177752105"/>
        <n v="0.035537288668625905"/>
        <n v="0.17664680460974333"/>
        <n v="0.396601330695918"/>
        <n v="0.05595738491016522"/>
        <n v="0.005845563313685396"/>
        <n v="0.21989480765702404"/>
        <n v="0.16800333865582814"/>
        <n v="0.019529096779273957"/>
        <n v="0.008237567268022774"/>
        <n v="0.285849782107152"/>
        <n v="0.08316316111905248"/>
        <n v="0.026735626198309936"/>
        <n v="0.005603700120497762"/>
        <n v="0.1277258827264676"/>
        <n v="0.15856976292265837"/>
        <n v="1.0606764407025693"/>
        <n v="0.21825655563430194"/>
        <n v="0.033475417472282505"/>
        <n v="0.13699401924243737"/>
        <n v="0.03936865474319639"/>
        <n v="0.08350935297994222"/>
        <n v="0.01121868133488667"/>
        <n v="0.03075390485498938"/>
        <n v="0.014882223931185738"/>
        <n v="0.008816105220329976"/>
        <n v="0.028407260544365112"/>
        <n v="0.0413070329198932"/>
        <n v="0.17225606789030112"/>
        <n v="0.728413654618474"/>
        <n v="0.09561650858754164"/>
        <n v="0.1444878952960058"/>
        <n v="0.07474002473773421"/>
        <n v="0.38755870941392695"/>
        <n v="0.07329744509954712"/>
        <n v="0.026128635839014227"/>
        <n v="0.016227688834556893"/>
        <n v="0.06395747338278525"/>
        <n v="0.024316481079935438"/>
        <n v="0.025296786166671574"/>
        <n v="0.0033264501304185816"/>
        <n v="0.10569990806599894"/>
        <n v="0.08327367193732485"/>
        <n v="0.02300088650446238"/>
        <n v="0.14840020459195272"/>
        <n v="0.08048277024180639"/>
        <n v="0.13462095805904029"/>
        <n v="0.04524991236000663"/>
        <n v="0.02324350289686002"/>
        <n v="0.41547216534120673"/>
        <n v="0.0606828859840908"/>
        <n v="0.15995503754147022"/>
        <n v="0.007275535345011694"/>
        <n v="0.06262311603829766"/>
        <n v="0.03187599796777471"/>
        <n v="0.9912985274431056"/>
        <n v="0.017384698027779907"/>
        <n v="0.018017865479182344"/>
        <n v="0.34770066180213816"/>
        <n v="0.01914489352759877"/>
        <n v="0.10293953592146361"/>
        <n v="0.019548888270667038"/>
        <n v="0.06088182517303256"/>
        <n v="1.275174773166741"/>
        <n v="0.01051931283387109"/>
        <n v="0.05874240271293299"/>
        <n v="0.02736693394136117"/>
        <n v="0.03488359771539986"/>
        <n v="0.008266186075024167"/>
        <n v="0.02108433734939759"/>
        <n v="0.8019205535011332"/>
        <n v="0.5590239746866253"/>
        <n v="0.017401491823372896"/>
        <n v="0.2639248091843815"/>
        <n v="0.024460174372001826"/>
        <n v="0.04163003504253395"/>
        <n v="0.0032509940368874723"/>
        <n v="0.4094343475597305"/>
        <n v="0.01856397705619956"/>
        <n v="0.029428475692370448"/>
        <n v="0.10542999966748318"/>
        <n v="0.04381255592317456"/>
        <n v="0.10206274536347637"/>
        <n v="0.0588768296325799"/>
        <n v="0.01553076067754839"/>
        <n v="0.013843251795059023"/>
        <n v="0.8013482501434309"/>
        <n v="0.10665081852071966"/>
        <n v="0.014389703490477449"/>
        <n v="0.00719336975230113"/>
        <n v="0.01595534935703164"/>
        <n v="0.3103600844054183"/>
        <n v="0.010929826174928723"/>
        <n v="0.0048238150341478915"/>
        <n v="0.02493626309910555"/>
        <n v="0.029321282372771585"/>
        <n v="0.39576487769258856"/>
        <n v="0.47740112994350287"/>
        <n v="0.018696626749668037"/>
        <n v="0.006557225052411442"/>
        <n v="0.03257720045367973"/>
        <n v="0.017920378628551753"/>
        <n v="0.028482780680243094"/>
        <n v="0.030470568518277123"/>
        <n v="0.009446878422782037"/>
        <n v="0.011809585530385601"/>
        <n v="0.012859186872762472"/>
        <n v="0.6735850966892781"/>
        <n v="0.3051267570281124"/>
        <n v="0.04369838906186544"/>
        <n v="0.014549399945824352"/>
        <n v="0.5673281360737066"/>
        <n v="0.13563155849203265"/>
        <n v="0.18217732266750525"/>
        <n v="0.017069356173344947"/>
        <n v="0.012029198530722452"/>
        <n v="0.0680918848531587"/>
        <n v="0.04239655992390615"/>
        <n v="0.01808482847260682"/>
        <n v="3.1288009179575442"/>
        <n v="0.02273881239242685"/>
        <n v="0.06358456540196898"/>
        <n v="0.034336766232402983"/>
        <n v="0.036172816265060234"/>
        <n v="0.0510145846544071"/>
        <n v="0.14630087393191504"/>
        <n v="0.25765808331364676"/>
        <n v="0.07587473729806042"/>
        <n v="0.12985841671771833"/>
        <n v="0.03559053047732629"/>
        <n v="0.008249576463322698"/>
        <n v="0.019231531388712742"/>
        <n v="0.05758488499452356"/>
        <n v="0.21436581648790867"/>
        <n v="0.01376741512454135"/>
        <n v="0.015392492211159283"/>
        <n v="0.0068885650906876615"/>
        <n v="0.0634690661379696"/>
        <n v="0.10115559514321878"/>
        <n v="0.04965956692000164"/>
        <n v="0.07012144003449185"/>
        <n v="0.035961824827399486"/>
        <n v="0.00631811149117071"/>
        <n v="0.1171823444010785"/>
        <n v="0.06043733292792621"/>
        <n v="0.032265478097360537"/>
        <n v="0.026005110130379018"/>
        <n v="0.02308339776653323"/>
        <n v="0.03599730374247342"/>
        <n v="0.010011730397151057"/>
        <n v="0.09203028329534353"/>
        <n v="0.012508047457003587"/>
        <n v="0.020434795416384367"/>
        <n v="0.1392891152237817"/>
        <n v="0.0198019243249344"/>
        <n v="0.2692261583648025"/>
        <n v="0.04442067334759599"/>
        <n v="0.11654150849975242"/>
        <n v="0.14258391801501422"/>
        <n v="0.06915097576234587"/>
        <n v="0.039472042369708984"/>
        <n v="0.08981380065717415"/>
        <n v="0.0987092902861446"/>
        <n v="0.088683340534783"/>
        <n v="0.07582969916475718"/>
        <n v="0.018152631042250563"/>
        <n v="0.03341801061315714"/>
        <n v="0.01765475262217974"/>
        <n v="0.11687127057124395"/>
        <n v="0.0034715390235457587"/>
        <n v="0.019140945439934817"/>
        <n v="0.41104648478973366"/>
        <n v="0.19887414827850727"/>
        <n v="0.027154419203531684"/>
        <n v="0.005413139684328485"/>
        <n v="0.026061728516683248"/>
        <n v="0.06954303701291654"/>
        <n v="0.029030449716146715"/>
        <n v="0.19346906341945325"/>
        <n v="0.3343502766430529"/>
        <n v="0.08350768342832408"/>
        <n v="0.0044004263302563585"/>
        <n v="0.26520861772212"/>
        <n v="0.052429530838979374"/>
        <n v="0.052857736364175914"/>
        <n v="0.09705158244032398"/>
        <n v="0.02522014664161232"/>
        <n v="0.03656003323639385"/>
        <n v="0.0471003894180668"/>
        <n v="0.02764531811456352"/>
        <n v="0.8426730176520034"/>
        <n v="0.008726767535257309"/>
        <n v="0.05084050677262918"/>
        <n v="0.0769643925245053"/>
        <n v="0.06873557685501111"/>
        <n v="0.026765964846979712"/>
        <n v="0.12343714480563765"/>
        <n v="0.012468976141345177"/>
        <n v="0.0688954163762488"/>
        <n v="0.025748502994011976"/>
        <n v="0.274802179013082"/>
        <n v="0.9875844842785777"/>
        <n v="0.31062277278126593"/>
        <n v="0.16221309820286736"/>
        <n v="0.019924158535161857"/>
        <n v="0.01995438467992787"/>
        <n v="0.05234672098665869"/>
        <n v="0.00929735655714781"/>
        <n v="0.010009508641907675"/>
        <n v="0.09215073058190208"/>
        <n v="0.03500390450691655"/>
        <n v="0.2914080564682974"/>
        <n v="0.0966413599603895"/>
        <n v="0.06374499814138589"/>
        <n v="0.04593170744366805"/>
        <n v="0.21991044259172213"/>
        <n v="0.00569405584423"/>
        <n v="0.009788811366511437"/>
        <n v="0.01822774083316596"/>
        <n v="0.12851166855292753"/>
        <n v="0.011083650842686987"/>
        <n v="0.05406459963075049"/>
        <n v="0.16211014737286122"/>
        <n v="0.010189317147315892"/>
        <n v="0.12231425702811245"/>
        <n v="0.011318086949141427"/>
        <n v="0.03115955887040224"/>
        <n v="0.13543263964950714"/>
        <n v="0.02750854162920338"/>
        <n v="0.0324106342726277"/>
        <n v="0.023315073114861806"/>
        <n v="0.05859520556452613"/>
        <n v="0.011422577830582733"/>
        <n v="0.015828945008722305"/>
        <n v="0.04917908409456465"/>
        <n v="0.22938770005394715"/>
        <n v="0.017208115196398605"/>
        <n v="0.027366451605781807"/>
        <n v="0.12903109443763078"/>
        <n v="0.07605638693100934"/>
        <n v="0.010119138679213602"/>
        <n v="0.265692604672835"/>
        <n v="0.02800294048765255"/>
        <n v="0.010332899293134532"/>
        <n v="0.02439534814194744"/>
        <n v="0.297867942357666"/>
        <n v="0.004855211039564497"/>
        <n v="0.11062712388013593"/>
        <n v="0.016763819763629385"/>
        <n v="0.1449495163753606"/>
        <n v="0.022140569927895138"/>
        <n v="0.06323615806150261"/>
        <n v="0.06580551059961239"/>
        <n v="0.24400431916344623"/>
        <n v="0.0031017687772366058"/>
        <n v="0.1028610930842809"/>
        <n v="0.03735911387485426"/>
        <n v="0.009962268207792129"/>
        <n v="0.1992254733218589"/>
        <n v="0.6758853596202994"/>
        <n v="0.02120224670925696"/>
        <n v="0.005141979304547782"/>
        <n v="0.03826012712266388"/>
        <n v="0.20901788974078134"/>
        <n v="0.042487924046416076"/>
        <n v="0.29911482665355293"/>
        <n v="0.05869245005098766"/>
        <n v="0.01028033929853976"/>
        <n v="0.018031809584090792"/>
        <n v="0.016332912452945967"/>
        <n v="0.1263890513510352"/>
        <n v="0.02836595202181171"/>
        <n v="0.19641893801217664"/>
        <n v="0.02132740895863363"/>
        <n v="0.01571991988959014"/>
        <n v="0.031869656347542866"/>
        <n v="0.0517033289954242"/>
        <n v="0.24342153891640186"/>
        <n v="0.5654112513044304"/>
        <n v="0.008809373899495234"/>
        <n v="0.021481475553492616"/>
        <n v="0.007476596746827381"/>
        <n v="0.02203380686926812"/>
        <n v="0.03147846239326237"/>
        <n v="0.17899522618776995"/>
        <n v="0.11883247274813541"/>
        <n v="0.3389804706189379"/>
        <n v="0.0148836069186989"/>
        <n v="0.2438846294267981"/>
        <n v="0.0028478662484886052"/>
        <n v="0.4171564306004506"/>
        <n v="0.19266180367729424"/>
        <n v="0.0035051344300858"/>
        <n v="0.47695601683843813"/>
        <n v="0.14667230566100015"/>
        <n v="0.026837415499598987"/>
        <n v="0.10095372734370055"/>
        <n v="0.07251980896559211"/>
        <n v="0.014070948776141226"/>
        <n v="0.30479059093516925"/>
        <n v="0.060549243955688524"/>
        <n v="0.29303352021949186"/>
        <n v="0.3376122672508215"/>
        <n v="0.0740666651425436"/>
        <n v="0.317570281124498"/>
        <n v="0.13750194211782651"/>
        <n v="0.02282356633480376"/>
        <n v="0.026624759909202024"/>
        <n v="0.008234492995907073"/>
        <n v="0.006107825596460458"/>
        <n v="0.03024294205751858"/>
        <n v="0.07081429164935604"/>
        <n v="0.05675434858404679"/>
        <n v="0.02372950448410182"/>
        <n v="0.15261044176706826"/>
        <n v="0.041246689866485504"/>
        <n v="0.22308827145315957"/>
        <n v="0.04622335495829472"/>
        <n v="0.02673795693848648"/>
        <n v="0.08595738887754407"/>
        <n v="0.06007362784471218"/>
        <n v="0.008609979486290487"/>
        <n v="0.001316150678664023"/>
        <n v="0.5341225040020221"/>
        <n v="0.12131159368010966"/>
        <n v="0.050905012520427256"/>
        <n v="0.007756721917154718"/>
        <n v="0.06600108298361987"/>
        <n v="0.04349909039705301"/>
        <n v="0.018147905429248375"/>
        <n v="0.047140270250835135"/>
        <n v="0.0134654012927707"/>
        <n v="0.024301622895366956"/>
        <n v="0.07381300349326299"/>
        <n v="0.09488359943840403"/>
        <n v="0.009763953774280796"/>
        <n v="0.06420213227008753"/>
        <n v="0.01185393594220966"/>
        <n v="0.012096231817221038"/>
        <n v="0.0038852806013633698"/>
        <n v="0.01176915709944784"/>
        <n v="0.05527159141616973"/>
        <n v="0.0255228270943305"/>
        <n v="0.05814767449687016"/>
        <n v="0.02636814762672127"/>
        <n v="0.12976229241289483"/>
        <n v="0.1068025684399489"/>
        <n v="0.028597119721442337"/>
        <n v="0.045808923768468374"/>
        <n v="0.027270109851169386"/>
        <n v="0.1878386910085758"/>
        <n v="0.026962882798961623"/>
        <n v="0.006212168955157891"/>
        <n v="0.10343045823461208"/>
        <n v="0.0687324945538612"/>
        <n v="0.1156506367349741"/>
        <n v="0.23821671049016915"/>
        <n v="0.04504006363618726"/>
        <n v="0.005984395438152193"/>
        <n v="0.05025412452465263"/>
        <n v="0.04374718123832228"/>
        <n v="0.01080991497784546"/>
        <n v="0.04853231799903859"/>
        <n v="0.009852696242780817"/>
        <n v="0.2291707546799576"/>
        <n v="0.40937081659973223"/>
        <n v="0.012771441497214151"/>
        <n v="0.03166541401902506"/>
        <n v="0.008376615613501415"/>
        <n v="0.05457310667994191"/>
        <n v="0.014984794670009518"/>
        <n v="0.0066858398788935056"/>
        <n v="0.05253747305449259"/>
        <n v="0.0827186512118019"/>
        <n v="0.045123411192338064"/>
        <n v="0.04970865996738045"/>
        <n v="0.015519247345493621"/>
        <n v="0.038344996753480985"/>
        <n v="0.1229939520929568"/>
        <n v="0.11046098268672777"/>
        <n v="0.14618616816018523"/>
        <n v="0.027937284427161462"/>
        <n v="0.02463177264687453"/>
        <n v="0.0716254849908107"/>
        <n v="0.33140482722971093"/>
        <n v="0.06151244321548489"/>
        <n v="0.004715942701820333"/>
        <n v="0.07629141048375068"/>
        <n v="0.1178493132717495"/>
        <n v="0.12763226820324777"/>
        <n v="0.018826747635952955"/>
        <n v="0.010781055255504777"/>
        <n v="0.010336227460176275"/>
        <n v="0.04640910008750084"/>
        <n v="0.021791010194624656"/>
        <n v="0.050245274111779314"/>
        <n v="0.2379835129993659"/>
        <n v="0.014287088920317227"/>
        <n v="3.07386066003143"/>
        <n v="0.021910747683876297"/>
        <n v="0.3509135881273438"/>
        <n v="0.030938907143726418"/>
        <n v="0.02368153817076335"/>
        <n v="0.046832698204960416"/>
        <n v="0.1997711516456889"/>
        <n v="0.014345508493467314"/>
        <n v="0.014423096341113701"/>
        <n v="0.020996148796817212"/>
        <n v="0.14199655765920827"/>
        <n v="0.1721385542168675"/>
        <n v="0.18093940243001605"/>
        <n v="0.04212637913741224"/>
        <n v="0.26515867391133163"/>
        <n v="0.126417434443657"/>
        <n v="0.007635085797736399"/>
        <n v="0.07810332238043081"/>
        <n v="0.04991861857367358"/>
        <n v="0.01447626284093602"/>
        <n v="0.01963990299787223"/>
        <n v="0.027945623293522064"/>
        <n v="0.0080802129259026"/>
        <n v="0.006756623346878172"/>
        <n v="0.05710570742500026"/>
        <n v="0.047658729134955245"/>
        <n v="0.023303358360980155"/>
        <n v="0.007124566845567312"/>
        <n v="0.06464736702320302"/>
        <n v="0.01059378903789967"/>
        <n v="0.017765904452056305"/>
        <n v="0.20952302360125433"/>
        <n v="0.011581805133416534"/>
        <n v="0.012757865996359538"/>
        <n v="0.004921338967707208"/>
        <n v="0.017877899480701863"/>
        <n v="0.053203468077919154"/>
        <n v="0.04685672713427072"/>
        <n v="0.0978384124734231"/>
        <n v="0.028423454190813515"/>
        <n v="0.007351339897940566"/>
        <n v="0.01768943694091092"/>
        <n v="0.019385922812127632"/>
        <n v="6.629518072289157"/>
        <n v="0.007877048655341981"/>
        <n v="0.024836033740176205"/>
        <n v="0.012847158248543695"/>
        <n v="0.3072289156626506"/>
        <n v="1.1950126085738304"/>
        <n v="0.038220910854301564"/>
        <n v="0.05447699890470975"/>
        <n v="0.008481538658929776"/>
        <n v="0.05647653692988945"/>
        <n v="0.48603504928806135"/>
        <n v="0.17027214288463757"/>
        <n v="0.8333891120035698"/>
        <n v="0.04024923222300969"/>
        <n v="0.01088886606107744"/>
        <n v="0.06846214374035582"/>
        <n v="0.012973600666163572"/>
        <n v="0.12804833793003337"/>
        <n v="0.014858483198133937"/>
        <n v="0.0054827151744231825"/>
        <n v="0.013522360777903737"/>
        <n v="0.011530284032055825"/>
        <n v="0.008458453270394616"/>
        <n v="0.018090152581127433"/>
        <n v="0.29319371727748694"/>
        <n v="0.058757378330147936"/>
        <n v="0.052206926565577905"/>
        <n v="0.6284033772886823"/>
        <n v="0.16411592315206772"/>
        <n v="0.031518504296068735"/>
        <n v="0.02437173118107254"/>
        <n v="0.06913183279742766"/>
        <n v="0.020710072432587493"/>
        <n v="0.025921040941986894"/>
        <n v="0.536144578313253"/>
        <n v="0.09575142675967024"/>
        <n v="0.7494711671111929"/>
        <n v="0.02160645273791227"/>
        <n v="0.027043640640886768"/>
        <n v="0.17369285202229262"/>
        <n v="0.00972640562248996"/>
        <n v="0.7710843373493976"/>
        <n v="0.031200704144852657"/>
        <n v="0.014722553879180386"/>
        <n v="0.009399036999409839"/>
        <n v="0.4448781039651565"/>
        <n v="0.06532079701875397"/>
        <n v="0.06563816240572043"/>
        <n v="0.01679359578783361"/>
        <n v="0.019522191329420246"/>
        <n v="0.006952337652496779"/>
        <n v="0.015880900235272596"/>
        <n v="0.04237568832029147"/>
        <n v="0.12857925207322796"/>
        <n v="0.01186107271251576"/>
        <n v="0.015649263721552877"/>
        <n v="0.035314141004418036"/>
        <n v="0.020969128444635474"/>
        <n v="0.007019916400295058"/>
        <n v="0.3566320074819827"/>
        <n v="0.011867360585339874"/>
        <n v="0.2933563908631371"/>
        <n v="0.04391796879394328"/>
        <n v="0.010107664701358626"/>
        <n v="0.03730056703239758"/>
        <n v="0.15976257973068747"/>
        <n v="0.30521366039698367"/>
        <n v="0.005129650727261377"/>
        <n v="0.3492506611813106"/>
        <n v="0.19294275547787001"/>
        <n v="0.09979843327683358"/>
        <n v="1.6013143483023"/>
        <n v="0.022624204683904154"/>
        <n v="0.1869847812301839"/>
        <n v="0.12951807228915663"/>
        <n v="0.013291772990083658"/>
        <n v="0.009846121093983886"/>
        <n v="0.17876634744104625"/>
        <n v="0.05691467312089646"/>
        <n v="0.01458920789541143"/>
        <n v="0.042778545522964236"/>
        <n v="0.015634892664107114"/>
        <n v="0.0361119494905825"/>
        <n v="0.021352156494430834"/>
        <n v="0.12808681534649236"/>
        <n v="0.012910404784137903"/>
        <n v="0.5634847080630213"/>
        <n v="0.010385832297625255"/>
        <n v="0.12285505658999635"/>
        <n v="0.012772672237549871"/>
        <n v="0.029034523745205036"/>
        <n v="0.09345103185017298"/>
        <n v="0.011110190913084496"/>
        <n v="0.03954980762209678"/>
        <n v="0.07018871947968866"/>
        <n v="0.013502906654241276"/>
        <n v="0.0651355421686747"/>
        <n v="0.06619898240126869"/>
        <n v="0.004805117249786064"/>
        <n v="0.010179602377623869"/>
        <n v="0.010533873098804835"/>
        <n v="0.025324984147114777"/>
        <n v="0.0429129307929392"/>
        <n v="0.2553104726598703"/>
        <n v="0.2896200185356812"/>
        <n v="0.026546813053702368"/>
        <n v="0.08169262415515721"/>
        <n v="0.011472600499718745"/>
        <n v="0.08527688736597767"/>
        <n v="0.08569088310813165"/>
        <n v="0.010331541755746035"/>
        <n v="0.07982969942051944"/>
        <n v="0.5189706193193827"/>
        <n v="0.5176904802307823"/>
        <n v="0.009110101118760757"/>
        <n v="0.03082162378731076"/>
        <n v="0.0013014210297996312"/>
        <n v="0.03536302176136473"/>
        <n v="0.009006554833085656"/>
        <n v="0.013105255576877506"/>
        <n v="0.004963971176941553"/>
        <n v="0.014613513578122012"/>
        <n v="0.03034982125537897"/>
        <n v="0.03496088343701286"/>
        <n v="0.024110427724885555"/>
        <n v="0.13846370456785406"/>
        <n v="0.25183207055024215"/>
        <n v="0.05564480142793397"/>
        <n v="0.25067374762206723"/>
        <n v="0.03647613315242341"/>
        <n v="0.2375638919313618"/>
        <n v="0.2454090555771473"/>
        <n v="0.010005989025515406"/>
        <n v="0.03851700237242406"/>
        <n v="0.18223815507428487"/>
        <n v="0.7234128822984245"/>
        <n v="0.12366530341549685"/>
        <n v="0.1215446053878435"/>
        <n v="0.01081267746143811"/>
        <n v="0.0371101293367371"/>
        <n v="0.3093260413668325"/>
        <n v="0.06367654022202346"/>
        <n v="0.027139046686081487"/>
        <n v="0.10104096385542169"/>
        <n v="0.0011968754137428835"/>
        <n v="0.019124522878500836"/>
        <n v="0.021404964118770162"/>
        <n v="0.027325256150810787"/>
        <n v="0.020082303547853803"/>
        <n v="0.10125419711633418"/>
        <n v="0.15715451447223155"/>
        <n v="0.16372420374567578"/>
        <n v="0.019506312100993614"/>
        <n v="0.024912052261856762"/>
        <n v="0.06797610610509264"/>
        <n v="0.023627844712182062"/>
        <n v="0.00575714497069967"/>
        <n v="0.06364588789942378"/>
        <n v="0.016311886939928036"/>
        <n v="0.04867631059354475"/>
        <n v="0.037620074894171275"/>
        <n v="0.009783556928300286"/>
        <n v="0.015878926374422328"/>
        <n v="0.022463178280974806"/>
        <n v="0.3146529781096216"/>
        <n v="0.5745991484735935"/>
        <n v="0.010693023914347934"/>
        <n v="0.03062418250209198"/>
        <n v="0.2570414106758159"/>
        <n v="0.00275879906028407"/>
        <n v="0.0790946943631253"/>
        <n v="0.004278477546549836"/>
        <n v="0.037497434238761965"/>
        <n v="0.017180909323949566"/>
        <n v="0.024069444145095587"/>
        <n v="0.13630360367645075"/>
        <n v="0.026566265060240964"/>
        <n v="0.20015990736400985"/>
        <n v="0.06263724850139474"/>
        <n v="0.042722395127260226"/>
        <n v="0.020340397735520394"/>
        <n v="0.008517115930815404"/>
        <n v="0.028377298161470825"/>
        <n v="0.045456437147553944"/>
        <n v="0.19996419243407196"/>
        <n v="1.342682204226743"/>
        <n v="0.2215909090909091"/>
        <n v="0.020433113670150216"/>
        <n v="0.006781855214554493"/>
        <n v="0.014036748351310186"/>
        <n v="0.2674198276786672"/>
        <n v="0.008690180996834633"/>
        <n v="0.02057664230557658"/>
        <n v="0.012436844150796735"/>
        <n v="0.019747421890953645"/>
        <n v="0.21478467059728276"/>
        <n v="0.13327669652970855"/>
        <n v="0.16752725186460127"/>
        <n v="0.07303287222965939"/>
        <n v="0.5953486075449338"/>
        <n v="0.14978151600111134"/>
        <n v="0.020158901072295527"/>
        <n v="0.07315121669196065"/>
        <n v="0.16610923188020218"/>
        <n v="0.11144578313253012"/>
        <n v="0.025870472179982062"/>
        <n v="0.017794046139715813"/>
        <n v="0.21532445571760728"/>
        <n v="0.010400760152478523"/>
        <n v="0.18289744343226563"/>
        <n v="0.7966265060240965"/>
        <n v="0.32607258301498676"/>
        <n v="0.06696716937680793"/>
        <n v="0.008560558021559925"/>
        <n v="0.022790534642849778"/>
        <n v="0.05411236022155537"/>
        <n v="0.01935452653989452"/>
        <n v="0.003868281216428129"/>
        <n v="0.024670109007458408"/>
        <n v="0.5640275387263339"/>
        <n v="0.016303141885611133"/>
        <n v="0.0657428475511955"/>
        <n v="0.5935131253490785"/>
        <n v="0.04141221163296633"/>
        <n v="0.022177230322066477"/>
        <n v="0.15328772717990607"/>
        <n v="0.04698795180722891"/>
        <n v="0.24475986136326125"/>
        <n v="0.02702656467655612"/>
        <n v="0.18983075157773951"/>
        <n v="0.05616930261763667"/>
        <n v="0.011275850191899453"/>
        <n v="0.0059535663314414684"/>
        <n v="0.03477834784112527"/>
        <n v="0.04536588978866284"/>
        <n v="0.22686199342825852"/>
        <n v="1.011675568252391"/>
        <n v="0.010888058752701681"/>
        <n v="0.009272817669774632"/>
        <n v="0.01991085537501417"/>
        <n v="0.5464903090623363"/>
        <n v="0.22474817301994862"/>
        <n v="0.007076907299709546"/>
        <n v="0.2025937081659973"/>
        <n v="0.19077433328820903"/>
        <n v="0.10932505532333416"/>
        <n v="0.015389810362526337"/>
        <n v="1.1353539156626506"/>
        <n v="0.1822447685478757"/>
        <n v="0.014728992697131234"/>
        <n v="0.027064826005158173"/>
        <n v="0.4048682037795854"/>
        <n v="0.1374141253659326"/>
        <n v="0.013035265722662014"/>
        <n v="0.047206868711961246"/>
        <n v="0.018772184172374144"/>
        <n v="0.05141238768242956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_Tables" cacheId="0" dataCaption="" compact="0" compactData="0">
  <location ref="A1:B28" firstHeaderRow="0" firstDataRow="1" firstDataCol="0"/>
  <pivotFields>
    <pivotField name="Resource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t="default"/>
      </items>
    </pivotField>
    <pivotField name="Service Name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Usage 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t="default"/>
      </items>
    </pivotField>
    <pivotField name="Usage Unit" compact="0" outline="0" multipleItemSelectionAllowed="1" showAll="0">
      <items>
        <item x="0"/>
        <item x="1"/>
        <item x="2"/>
        <item x="3"/>
        <item t="default"/>
      </items>
    </pivotField>
    <pivotField name="Region/Zon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CPU Utilization (%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t="default"/>
      </items>
    </pivotField>
    <pivotField name="Memory Utilization (%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t="default"/>
      </items>
    </pivotField>
    <pivotField name="Network Inbound Data (Bytes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t="default"/>
      </items>
    </pivotField>
    <pivotField name="Network Outbound Data (Bytes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t="default"/>
      </items>
    </pivotField>
    <pivotField name="Usage Start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t="default"/>
      </items>
    </pivotField>
    <pivotField name="Usage End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t="default"/>
      </items>
    </pivotField>
    <pivotField name="Cost per Quantity ($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t="default"/>
      </items>
    </pivotField>
    <pivotField name="Unrounded Cost ($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t="default"/>
      </items>
    </pivotField>
    <pivotField name="Rounded Cost ($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t="default"/>
      </items>
    </pivotField>
    <pivotField name="Total Cost (INR)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t="default"/>
      </items>
    </pivotField>
    <pivotField name="Duration Hou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t="default"/>
      </items>
    </pivotField>
    <pivotField name="CPU Status" compact="0" outline="0" multipleItemSelectionAllowed="1" showAll="0">
      <items>
        <item x="0"/>
        <item x="1"/>
        <item x="2"/>
        <item x="3"/>
        <item t="default"/>
      </items>
    </pivotField>
    <pivotField name="Memory Status" compact="0" outline="0" multipleItemSelectionAllowed="1" showAll="0">
      <items>
        <item x="0"/>
        <item x="1"/>
        <item x="2"/>
        <item x="3"/>
        <item t="default"/>
      </items>
    </pivotField>
    <pivotField name="Network Total (GB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t="default"/>
      </items>
    </pivotField>
    <pivotField name="Cost Tier" compact="0" outline="0" multipleItemSelectionAllowed="1" showAll="0">
      <items>
        <item x="0"/>
        <item x="1"/>
        <item x="2"/>
        <item t="default"/>
      </items>
    </pivotField>
    <pivotField name="Efficiency Sco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  <pivotField name=" 5" compact="0" outline="0" multipleItemSelectionAllowed="1" showAll="0">
      <items>
        <item x="0"/>
        <item t="default"/>
      </items>
    </pivotField>
  </pivotFields>
  <rowFields>
    <field x="1"/>
  </rowFields>
  <dataFields>
    <dataField name="SUM of Total Cost (INR)" fld="14" baseField="0"/>
  </dataFields>
</pivotTableDefinition>
</file>

<file path=xl/pivotTables/pivotTable2.xml><?xml version="1.0" encoding="utf-8"?>
<pivotTableDefinition xmlns="http://schemas.openxmlformats.org/spreadsheetml/2006/main" name="Pivot_Tables 2" cacheId="1" dataCaption="" compact="0" compactData="0">
  <location ref="G1:H15" firstHeaderRow="0" firstDataRow="1" firstDataCol="0"/>
  <pivotFields>
    <pivotField name="Resource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t="default"/>
      </items>
    </pivotField>
    <pivotField name="Service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Usage 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t="default"/>
      </items>
    </pivotField>
    <pivotField name="Usage Unit" compact="0" outline="0" multipleItemSelectionAllowed="1" showAll="0">
      <items>
        <item x="0"/>
        <item x="1"/>
        <item x="2"/>
        <item x="3"/>
        <item t="default"/>
      </items>
    </pivotField>
    <pivotField name="Region/Zone" axis="axisRow" compact="0" outline="0" multipleItemSelectionAllowed="1" showAll="0" sortType="descending">
      <items>
        <item x="10"/>
        <item x="8"/>
        <item x="3"/>
        <item x="2"/>
        <item x="5"/>
        <item x="9"/>
        <item x="1"/>
        <item x="0"/>
        <item x="6"/>
        <item x="4"/>
        <item x="11"/>
        <item x="7"/>
        <item x="12"/>
        <item t="default"/>
      </items>
    </pivotField>
    <pivotField name="CPU Utilization (%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t="default"/>
      </items>
    </pivotField>
    <pivotField name="Memory Utilization (%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t="default"/>
      </items>
    </pivotField>
    <pivotField name="Network Inbound Data (Bytes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t="default"/>
      </items>
    </pivotField>
    <pivotField name="Network Outbound Data (Bytes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t="default"/>
      </items>
    </pivotField>
    <pivotField name="Usage Start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t="default"/>
      </items>
    </pivotField>
    <pivotField name="Usage End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t="default"/>
      </items>
    </pivotField>
    <pivotField name="Cost per Quantity ($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t="default"/>
      </items>
    </pivotField>
    <pivotField name="Unrounded Cost ($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t="default"/>
      </items>
    </pivotField>
    <pivotField name="Rounded Cost ($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t="default"/>
      </items>
    </pivotField>
    <pivotField name="Total Cost (INR)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t="default"/>
      </items>
    </pivotField>
    <pivotField name="Duration Hou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t="default"/>
      </items>
    </pivotField>
    <pivotField name="CPU Status" compact="0" outline="0" multipleItemSelectionAllowed="1" showAll="0">
      <items>
        <item x="0"/>
        <item x="1"/>
        <item x="2"/>
        <item x="3"/>
        <item t="default"/>
      </items>
    </pivotField>
    <pivotField name="Memory Status" compact="0" outline="0" multipleItemSelectionAllowed="1" showAll="0">
      <items>
        <item x="0"/>
        <item x="1"/>
        <item x="2"/>
        <item x="3"/>
        <item t="default"/>
      </items>
    </pivotField>
    <pivotField name="Network Total (GB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t="default"/>
      </items>
    </pivotField>
    <pivotField name="Cost Tier" compact="0" outline="0" multipleItemSelectionAllowed="1" showAll="0">
      <items>
        <item x="0"/>
        <item x="1"/>
        <item x="2"/>
        <item t="default"/>
      </items>
    </pivotField>
    <pivotField name="Efficiency Sco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t="default"/>
      </items>
    </pivotField>
  </pivotFields>
  <rowFields>
    <field x="4"/>
  </rowFields>
  <dataFields>
    <dataField name="SUM of Total Cost (INR)" fld="14" baseField="0"/>
  </dataFields>
</pivotTableDefinition>
</file>

<file path=xl/pivotTables/pivotTable3.xml><?xml version="1.0" encoding="utf-8"?>
<pivotTableDefinition xmlns="http://schemas.openxmlformats.org/spreadsheetml/2006/main" name="Pivot_Tables 3" cacheId="1" dataCaption="" compact="0" compactData="0">
  <location ref="M1:N6" firstHeaderRow="0" firstDataRow="1" firstDataCol="0"/>
  <pivotFields>
    <pivotField name="Resource 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t="default"/>
      </items>
    </pivotField>
    <pivotField name="Service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Usage 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t="default"/>
      </items>
    </pivotField>
    <pivotField name="Usage Unit" compact="0" outline="0" multipleItemSelectionAllowed="1" showAll="0">
      <items>
        <item x="0"/>
        <item x="1"/>
        <item x="2"/>
        <item x="3"/>
        <item t="default"/>
      </items>
    </pivotField>
    <pivotField name="Region/Zon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CPU Utilization (%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t="default"/>
      </items>
    </pivotField>
    <pivotField name="Memory Utilization (%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t="default"/>
      </items>
    </pivotField>
    <pivotField name="Network Inbound Data (Bytes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t="default"/>
      </items>
    </pivotField>
    <pivotField name="Network Outbound Data (Bytes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t="default"/>
      </items>
    </pivotField>
    <pivotField name="Usage Start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t="default"/>
      </items>
    </pivotField>
    <pivotField name="Usage End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t="default"/>
      </items>
    </pivotField>
    <pivotField name="Cost per Quantity ($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t="default"/>
      </items>
    </pivotField>
    <pivotField name="Unrounded Cost ($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t="default"/>
      </items>
    </pivotField>
    <pivotField name="Rounded Cost ($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t="default"/>
      </items>
    </pivotField>
    <pivotField name="Total Cost (INR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t="default"/>
      </items>
    </pivotField>
    <pivotField name="Duration Hou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t="default"/>
      </items>
    </pivotField>
    <pivotField name="CPU Status" axis="axisRow" compact="0" outline="0" multipleItemSelectionAllowed="1" showAll="0" sortType="descending">
      <items>
        <item x="2"/>
        <item x="1"/>
        <item x="0"/>
        <item x="3"/>
        <item t="default"/>
      </items>
    </pivotField>
    <pivotField name="Memory Status" compact="0" outline="0" multipleItemSelectionAllowed="1" showAll="0">
      <items>
        <item x="0"/>
        <item x="1"/>
        <item x="2"/>
        <item x="3"/>
        <item t="default"/>
      </items>
    </pivotField>
    <pivotField name="Network Total (GB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t="default"/>
      </items>
    </pivotField>
    <pivotField name="Cost Tier" compact="0" outline="0" multipleItemSelectionAllowed="1" showAll="0">
      <items>
        <item x="0"/>
        <item x="1"/>
        <item x="2"/>
        <item t="default"/>
      </items>
    </pivotField>
    <pivotField name="Efficiency Sco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t="default"/>
      </items>
    </pivotField>
  </pivotFields>
  <rowFields>
    <field x="16"/>
  </rowFields>
  <dataFields>
    <dataField name="COUNTA of Resource ID" fld="0" subtotal="count" baseField="0"/>
  </dataFields>
</pivotTableDefinition>
</file>

<file path=xl/pivotTables/pivotTable4.xml><?xml version="1.0" encoding="utf-8"?>
<pivotTableDefinition xmlns="http://schemas.openxmlformats.org/spreadsheetml/2006/main" name="Pivot_Tables 4" cacheId="1" dataCaption="" compact="0" compactData="0">
  <location ref="R1:S1003" firstHeaderRow="0" firstDataRow="1" firstDataCol="0"/>
  <pivotFields>
    <pivotField name="Resource ID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Service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Usage 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t="default"/>
      </items>
    </pivotField>
    <pivotField name="Usage Unit" compact="0" outline="0" multipleItemSelectionAllowed="1" showAll="0">
      <items>
        <item x="0"/>
        <item x="1"/>
        <item x="2"/>
        <item x="3"/>
        <item t="default"/>
      </items>
    </pivotField>
    <pivotField name="Region/Zon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CPU Utilization (%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t="default"/>
      </items>
    </pivotField>
    <pivotField name="Memory Utilization (%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t="default"/>
      </items>
    </pivotField>
    <pivotField name="Network Inbound Data (Bytes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t="default"/>
      </items>
    </pivotField>
    <pivotField name="Network Outbound Data (Bytes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t="default"/>
      </items>
    </pivotField>
    <pivotField name="Usage Start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t="default"/>
      </items>
    </pivotField>
    <pivotField name="Usage End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t="default"/>
      </items>
    </pivotField>
    <pivotField name="Cost per Quantity ($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t="default"/>
      </items>
    </pivotField>
    <pivotField name="Unrounded Cost ($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t="default"/>
      </items>
    </pivotField>
    <pivotField name="Rounded Cost ($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t="default"/>
      </items>
    </pivotField>
    <pivotField name="Total Cost (INR)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t="default"/>
      </items>
    </pivotField>
    <pivotField name="Duration Hou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t="default"/>
      </items>
    </pivotField>
    <pivotField name="CPU Status" compact="0" outline="0" multipleItemSelectionAllowed="1" showAll="0">
      <items>
        <item x="0"/>
        <item x="1"/>
        <item x="2"/>
        <item x="3"/>
        <item t="default"/>
      </items>
    </pivotField>
    <pivotField name="Memory Status" compact="0" outline="0" multipleItemSelectionAllowed="1" showAll="0">
      <items>
        <item x="0"/>
        <item x="1"/>
        <item x="2"/>
        <item x="3"/>
        <item t="default"/>
      </items>
    </pivotField>
    <pivotField name="Network Total (GB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t="default"/>
      </items>
    </pivotField>
    <pivotField name="Cost Tier" compact="0" outline="0" multipleItemSelectionAllowed="1" showAll="0">
      <items>
        <item x="0"/>
        <item x="1"/>
        <item x="2"/>
        <item t="default"/>
      </items>
    </pivotField>
    <pivotField name="Efficiency Sco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t="default"/>
      </items>
    </pivotField>
  </pivotFields>
  <rowFields>
    <field x="0"/>
  </rowFields>
  <dataFields>
    <dataField name="SUM of Total Cost (INR)" fld="14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pivotTable" Target="../pivotTables/pivotTable4.xml"/><Relationship Id="rId5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0"/>
    <col customWidth="1" min="2" max="2" width="17.25"/>
    <col customWidth="1" min="3" max="3" width="12.5"/>
    <col customWidth="1" min="4" max="4" width="9.25"/>
    <col customWidth="1" min="5" max="5" width="19.13"/>
    <col customWidth="1" min="6" max="6" width="15.25"/>
    <col customWidth="1" min="7" max="7" width="17.75"/>
    <col customWidth="1" min="8" max="8" width="23.38"/>
    <col customWidth="1" min="9" max="9" width="24.63"/>
    <col customWidth="1" min="10" max="11" width="14.13"/>
    <col customWidth="1" min="12" max="12" width="16.5"/>
    <col customWidth="1" min="13" max="13" width="15.63"/>
    <col customWidth="1" min="14" max="14" width="14.13"/>
    <col customWidth="1" min="15" max="15" width="12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 t="s">
        <v>15</v>
      </c>
      <c r="B2" s="1" t="s">
        <v>16</v>
      </c>
      <c r="C2" s="1">
        <v>954.9843</v>
      </c>
      <c r="D2" s="1" t="s">
        <v>17</v>
      </c>
      <c r="E2" s="1" t="s">
        <v>18</v>
      </c>
      <c r="F2" s="1">
        <v>92.72</v>
      </c>
      <c r="G2" s="1">
        <v>70.42</v>
      </c>
      <c r="H2" s="1">
        <v>7.7097035547E10</v>
      </c>
      <c r="I2" s="1">
        <v>8.2685933273E10</v>
      </c>
      <c r="J2" s="2">
        <v>45299.933333333334</v>
      </c>
      <c r="K2" s="2">
        <v>45481.2875</v>
      </c>
      <c r="L2" s="1">
        <v>5.24</v>
      </c>
      <c r="M2" s="1">
        <v>5004.12</v>
      </c>
      <c r="N2" s="1">
        <v>5004.0</v>
      </c>
      <c r="O2" s="1">
        <v>415332.0</v>
      </c>
    </row>
    <row r="3">
      <c r="A3" s="1" t="s">
        <v>19</v>
      </c>
      <c r="B3" s="1" t="s">
        <v>20</v>
      </c>
      <c r="C3" s="1">
        <v>479.6348</v>
      </c>
      <c r="D3" s="1" t="s">
        <v>21</v>
      </c>
      <c r="E3" s="1" t="s">
        <v>22</v>
      </c>
      <c r="F3" s="1">
        <v>37.78</v>
      </c>
      <c r="G3" s="1">
        <v>46.8</v>
      </c>
      <c r="H3" s="1">
        <v>8.239357017E9</v>
      </c>
      <c r="I3" s="1">
        <v>1.1351490561E10</v>
      </c>
      <c r="J3" s="1" t="s">
        <v>23</v>
      </c>
      <c r="K3" s="1" t="s">
        <v>24</v>
      </c>
      <c r="L3" s="1">
        <v>9.82</v>
      </c>
      <c r="M3" s="1">
        <v>4710.01</v>
      </c>
      <c r="N3" s="1">
        <v>4710.0</v>
      </c>
      <c r="O3" s="1">
        <v>390930.0</v>
      </c>
    </row>
    <row r="4">
      <c r="A4" s="1" t="s">
        <v>25</v>
      </c>
      <c r="B4" s="1" t="s">
        <v>26</v>
      </c>
      <c r="C4" s="1">
        <v>114.4129</v>
      </c>
      <c r="D4" s="1" t="s">
        <v>21</v>
      </c>
      <c r="E4" s="1" t="s">
        <v>27</v>
      </c>
      <c r="F4" s="1">
        <v>82.54</v>
      </c>
      <c r="G4" s="1">
        <v>59.47</v>
      </c>
      <c r="H4" s="1">
        <v>2.3358691883E10</v>
      </c>
      <c r="I4" s="1">
        <v>2.345081212E10</v>
      </c>
      <c r="J4" s="1" t="s">
        <v>28</v>
      </c>
      <c r="K4" s="1" t="s">
        <v>29</v>
      </c>
      <c r="L4" s="1">
        <v>7.37</v>
      </c>
      <c r="M4" s="1">
        <v>843.22</v>
      </c>
      <c r="N4" s="1">
        <v>843.0</v>
      </c>
      <c r="O4" s="1">
        <v>69969.0</v>
      </c>
    </row>
    <row r="5">
      <c r="A5" s="1" t="s">
        <v>30</v>
      </c>
      <c r="B5" s="1" t="s">
        <v>31</v>
      </c>
      <c r="C5" s="1">
        <v>413.193</v>
      </c>
      <c r="D5" s="1" t="s">
        <v>21</v>
      </c>
      <c r="E5" s="1" t="s">
        <v>32</v>
      </c>
      <c r="F5" s="1">
        <v>86.68</v>
      </c>
      <c r="G5" s="1">
        <v>97.63</v>
      </c>
      <c r="H5" s="1">
        <v>5.3404385778E10</v>
      </c>
      <c r="I5" s="1">
        <v>6.0780194484E10</v>
      </c>
      <c r="J5" s="1" t="s">
        <v>33</v>
      </c>
      <c r="K5" s="1" t="s">
        <v>34</v>
      </c>
      <c r="L5" s="1">
        <v>4.41</v>
      </c>
      <c r="M5" s="1">
        <v>1822.18</v>
      </c>
      <c r="N5" s="1">
        <v>1822.0</v>
      </c>
      <c r="O5" s="1">
        <v>151226.0</v>
      </c>
    </row>
    <row r="6">
      <c r="A6" s="1" t="s">
        <v>35</v>
      </c>
      <c r="B6" s="1" t="s">
        <v>36</v>
      </c>
      <c r="C6" s="1">
        <v>335.9892</v>
      </c>
      <c r="D6" s="1" t="s">
        <v>21</v>
      </c>
      <c r="E6" s="1" t="s">
        <v>37</v>
      </c>
      <c r="F6" s="1">
        <v>82.95</v>
      </c>
      <c r="G6" s="1">
        <v>21.58</v>
      </c>
      <c r="H6" s="1">
        <v>1.0795270461E10</v>
      </c>
      <c r="I6" s="1">
        <v>1.4161382061E10</v>
      </c>
      <c r="J6" s="1" t="s">
        <v>38</v>
      </c>
      <c r="K6" s="1" t="s">
        <v>39</v>
      </c>
      <c r="L6" s="1">
        <v>6.09</v>
      </c>
      <c r="M6" s="1">
        <v>2046.17</v>
      </c>
      <c r="N6" s="1">
        <v>2046.0</v>
      </c>
      <c r="O6" s="1">
        <v>169818.0</v>
      </c>
    </row>
    <row r="7">
      <c r="A7" s="1" t="s">
        <v>40</v>
      </c>
      <c r="B7" s="1" t="s">
        <v>41</v>
      </c>
      <c r="C7" s="1">
        <v>50.8</v>
      </c>
      <c r="D7" s="1" t="s">
        <v>42</v>
      </c>
      <c r="E7" s="1" t="s">
        <v>18</v>
      </c>
      <c r="F7" s="1">
        <v>32.36</v>
      </c>
      <c r="G7" s="1">
        <v>95.15</v>
      </c>
      <c r="H7" s="1">
        <v>6.7970493743E10</v>
      </c>
      <c r="I7" s="1">
        <v>7.0311789173E10</v>
      </c>
      <c r="J7" s="1" t="s">
        <v>43</v>
      </c>
      <c r="K7" s="1" t="s">
        <v>44</v>
      </c>
      <c r="L7" s="1">
        <v>8.8</v>
      </c>
      <c r="M7" s="1">
        <v>447.04</v>
      </c>
      <c r="N7" s="1">
        <v>447.0</v>
      </c>
      <c r="O7" s="1">
        <v>37101.0</v>
      </c>
    </row>
    <row r="8">
      <c r="A8" s="1" t="s">
        <v>45</v>
      </c>
      <c r="B8" s="1" t="s">
        <v>46</v>
      </c>
      <c r="C8" s="1">
        <v>333.6126</v>
      </c>
      <c r="D8" s="1" t="s">
        <v>17</v>
      </c>
      <c r="E8" s="1" t="s">
        <v>22</v>
      </c>
      <c r="F8" s="1">
        <v>12.21</v>
      </c>
      <c r="G8" s="1">
        <v>62.31</v>
      </c>
      <c r="H8" s="1">
        <v>2.7515142149E10</v>
      </c>
      <c r="I8" s="1">
        <v>2.7664449839E10</v>
      </c>
      <c r="J8" s="1" t="s">
        <v>47</v>
      </c>
      <c r="K8" s="1" t="s">
        <v>48</v>
      </c>
      <c r="L8" s="1">
        <v>5.84</v>
      </c>
      <c r="M8" s="1">
        <v>1948.3</v>
      </c>
      <c r="N8" s="1">
        <v>1948.0</v>
      </c>
      <c r="O8" s="1">
        <v>161684.0</v>
      </c>
    </row>
    <row r="9">
      <c r="A9" s="1" t="s">
        <v>49</v>
      </c>
      <c r="B9" s="1" t="s">
        <v>41</v>
      </c>
      <c r="C9" s="1">
        <v>49.5833</v>
      </c>
      <c r="D9" s="1" t="s">
        <v>42</v>
      </c>
      <c r="E9" s="1" t="s">
        <v>37</v>
      </c>
      <c r="F9" s="1">
        <v>59.18</v>
      </c>
      <c r="G9" s="1">
        <v>6.07</v>
      </c>
      <c r="H9" s="1">
        <v>6.907912595E10</v>
      </c>
      <c r="I9" s="1">
        <v>7.8552821117E10</v>
      </c>
      <c r="J9" s="1" t="s">
        <v>50</v>
      </c>
      <c r="K9" s="1" t="s">
        <v>51</v>
      </c>
      <c r="L9" s="1">
        <v>4.84</v>
      </c>
      <c r="M9" s="1">
        <v>239.98</v>
      </c>
      <c r="N9" s="1">
        <v>240.0</v>
      </c>
      <c r="O9" s="1">
        <v>19920.0</v>
      </c>
    </row>
    <row r="10">
      <c r="A10" s="1" t="s">
        <v>52</v>
      </c>
      <c r="B10" s="1" t="s">
        <v>53</v>
      </c>
      <c r="C10" s="1">
        <v>384.7979</v>
      </c>
      <c r="D10" s="1" t="s">
        <v>17</v>
      </c>
      <c r="E10" s="1" t="s">
        <v>54</v>
      </c>
      <c r="F10" s="1">
        <v>36.67</v>
      </c>
      <c r="G10" s="1">
        <v>9.41</v>
      </c>
      <c r="H10" s="1">
        <v>1.4639390405E10</v>
      </c>
      <c r="I10" s="1">
        <v>2.0917834831E10</v>
      </c>
      <c r="J10" s="2">
        <v>45511.81597222222</v>
      </c>
      <c r="K10" s="1" t="s">
        <v>55</v>
      </c>
      <c r="L10" s="1">
        <v>1.98</v>
      </c>
      <c r="M10" s="1">
        <v>761.9</v>
      </c>
      <c r="N10" s="1">
        <v>762.0</v>
      </c>
      <c r="O10" s="1">
        <v>63246.0</v>
      </c>
    </row>
    <row r="11">
      <c r="A11" s="1" t="s">
        <v>56</v>
      </c>
      <c r="B11" s="1" t="s">
        <v>57</v>
      </c>
      <c r="C11" s="1">
        <v>533.6245</v>
      </c>
      <c r="D11" s="1" t="s">
        <v>17</v>
      </c>
      <c r="E11" s="1" t="s">
        <v>58</v>
      </c>
      <c r="F11" s="1">
        <v>96.4</v>
      </c>
      <c r="G11" s="1">
        <v>52.4</v>
      </c>
      <c r="H11" s="1">
        <v>7.2632018521E10</v>
      </c>
      <c r="I11" s="1">
        <v>7.2843203438E10</v>
      </c>
      <c r="J11" s="2">
        <v>45419.39236111111</v>
      </c>
      <c r="K11" s="2">
        <v>45572.893055555556</v>
      </c>
      <c r="L11" s="1">
        <v>5.08</v>
      </c>
      <c r="M11" s="1">
        <v>2710.81</v>
      </c>
      <c r="N11" s="1">
        <v>2711.0</v>
      </c>
      <c r="O11" s="1">
        <v>225013.0</v>
      </c>
    </row>
    <row r="12">
      <c r="A12" s="1" t="s">
        <v>59</v>
      </c>
      <c r="B12" s="1" t="s">
        <v>60</v>
      </c>
      <c r="C12" s="1">
        <v>78.7</v>
      </c>
      <c r="D12" s="1" t="s">
        <v>42</v>
      </c>
      <c r="E12" s="1" t="s">
        <v>22</v>
      </c>
      <c r="F12" s="1">
        <v>68.28</v>
      </c>
      <c r="G12" s="1">
        <v>26.56</v>
      </c>
      <c r="H12" s="1">
        <v>6.0327278928E10</v>
      </c>
      <c r="I12" s="1">
        <v>6.6769681245E10</v>
      </c>
      <c r="J12" s="2">
        <v>45542.60625</v>
      </c>
      <c r="K12" s="2">
        <v>45633.885416666664</v>
      </c>
      <c r="L12" s="1">
        <v>4.89</v>
      </c>
      <c r="M12" s="1">
        <v>384.84</v>
      </c>
      <c r="N12" s="1">
        <v>385.0</v>
      </c>
      <c r="O12" s="1">
        <v>31955.0</v>
      </c>
    </row>
    <row r="13">
      <c r="A13" s="1" t="s">
        <v>61</v>
      </c>
      <c r="B13" s="1" t="s">
        <v>62</v>
      </c>
      <c r="C13" s="1">
        <v>86.6333</v>
      </c>
      <c r="D13" s="1" t="s">
        <v>42</v>
      </c>
      <c r="E13" s="1" t="s">
        <v>22</v>
      </c>
      <c r="F13" s="1">
        <v>12.91</v>
      </c>
      <c r="G13" s="1">
        <v>5.41</v>
      </c>
      <c r="H13" s="1">
        <v>9.2616000746E10</v>
      </c>
      <c r="I13" s="1">
        <v>9.9059500361E10</v>
      </c>
      <c r="J13" s="1" t="s">
        <v>63</v>
      </c>
      <c r="K13" s="1" t="s">
        <v>64</v>
      </c>
      <c r="L13" s="1">
        <v>9.23</v>
      </c>
      <c r="M13" s="1">
        <v>799.63</v>
      </c>
      <c r="N13" s="1">
        <v>800.0</v>
      </c>
      <c r="O13" s="1">
        <v>66400.0</v>
      </c>
    </row>
    <row r="14">
      <c r="A14" s="1" t="s">
        <v>65</v>
      </c>
      <c r="B14" s="1" t="s">
        <v>66</v>
      </c>
      <c r="C14" s="1">
        <v>290.0492</v>
      </c>
      <c r="D14" s="1" t="s">
        <v>17</v>
      </c>
      <c r="E14" s="1" t="s">
        <v>32</v>
      </c>
      <c r="F14" s="1">
        <v>53.93</v>
      </c>
      <c r="G14" s="1">
        <v>14.51</v>
      </c>
      <c r="H14" s="1">
        <v>1.5213923507E10</v>
      </c>
      <c r="I14" s="1">
        <v>1.9106889929E10</v>
      </c>
      <c r="J14" s="1" t="s">
        <v>67</v>
      </c>
      <c r="K14" s="1" t="s">
        <v>68</v>
      </c>
      <c r="L14" s="1">
        <v>4.09</v>
      </c>
      <c r="M14" s="1">
        <v>1186.3</v>
      </c>
      <c r="N14" s="1">
        <v>1186.0</v>
      </c>
      <c r="O14" s="1">
        <v>98438.0</v>
      </c>
    </row>
    <row r="15">
      <c r="A15" s="1" t="s">
        <v>69</v>
      </c>
      <c r="B15" s="1" t="s">
        <v>20</v>
      </c>
      <c r="C15" s="1">
        <v>96.9514</v>
      </c>
      <c r="D15" s="1" t="s">
        <v>17</v>
      </c>
      <c r="E15" s="1" t="s">
        <v>70</v>
      </c>
      <c r="F15" s="1">
        <v>73.72</v>
      </c>
      <c r="G15" s="1">
        <v>1.94</v>
      </c>
      <c r="H15" s="1">
        <v>4.7714907583E10</v>
      </c>
      <c r="I15" s="1">
        <v>5.5324053975E10</v>
      </c>
      <c r="J15" s="1" t="s">
        <v>71</v>
      </c>
      <c r="K15" s="1" t="s">
        <v>72</v>
      </c>
      <c r="L15" s="1">
        <v>3.15</v>
      </c>
      <c r="M15" s="1">
        <v>305.4</v>
      </c>
      <c r="N15" s="1">
        <v>305.0</v>
      </c>
      <c r="O15" s="1">
        <v>25315.0</v>
      </c>
    </row>
    <row r="16">
      <c r="A16" s="1" t="s">
        <v>73</v>
      </c>
      <c r="B16" s="1" t="s">
        <v>46</v>
      </c>
      <c r="C16" s="1">
        <v>657.3878</v>
      </c>
      <c r="D16" s="1" t="s">
        <v>17</v>
      </c>
      <c r="E16" s="1" t="s">
        <v>74</v>
      </c>
      <c r="F16" s="1">
        <v>43.57</v>
      </c>
      <c r="G16" s="1">
        <v>32.42</v>
      </c>
      <c r="H16" s="1">
        <v>6.4719533732E10</v>
      </c>
      <c r="I16" s="1">
        <v>7.4457276259E10</v>
      </c>
      <c r="J16" s="2">
        <v>45358.98472222222</v>
      </c>
      <c r="K16" s="2">
        <v>45511.27361111111</v>
      </c>
      <c r="L16" s="1">
        <v>3.28</v>
      </c>
      <c r="M16" s="1">
        <v>2156.23</v>
      </c>
      <c r="N16" s="1">
        <v>2156.0</v>
      </c>
      <c r="O16" s="1">
        <v>178948.0</v>
      </c>
    </row>
    <row r="17">
      <c r="A17" s="1" t="s">
        <v>75</v>
      </c>
      <c r="B17" s="1" t="s">
        <v>62</v>
      </c>
      <c r="C17" s="1">
        <v>98.3833</v>
      </c>
      <c r="D17" s="1" t="s">
        <v>42</v>
      </c>
      <c r="E17" s="1" t="s">
        <v>70</v>
      </c>
      <c r="F17" s="1">
        <v>47.61</v>
      </c>
      <c r="G17" s="1">
        <v>86.01</v>
      </c>
      <c r="H17" s="1">
        <v>1.4130706238E10</v>
      </c>
      <c r="I17" s="1">
        <v>2.3480009488E10</v>
      </c>
      <c r="J17" s="1" t="s">
        <v>76</v>
      </c>
      <c r="K17" s="1" t="s">
        <v>77</v>
      </c>
      <c r="L17" s="1">
        <v>7.71</v>
      </c>
      <c r="M17" s="1">
        <v>758.54</v>
      </c>
      <c r="N17" s="1">
        <v>759.0</v>
      </c>
      <c r="O17" s="1">
        <v>62997.0</v>
      </c>
    </row>
    <row r="18">
      <c r="A18" s="1" t="s">
        <v>78</v>
      </c>
      <c r="B18" s="1" t="s">
        <v>79</v>
      </c>
      <c r="C18" s="1">
        <v>713.5354</v>
      </c>
      <c r="D18" s="1" t="s">
        <v>21</v>
      </c>
      <c r="E18" s="1" t="s">
        <v>70</v>
      </c>
      <c r="F18" s="1">
        <v>93.56</v>
      </c>
      <c r="G18" s="1">
        <v>2.89</v>
      </c>
      <c r="H18" s="1">
        <v>6.105357266E10</v>
      </c>
      <c r="I18" s="1">
        <v>6.6456079011E10</v>
      </c>
      <c r="J18" s="1" t="s">
        <v>80</v>
      </c>
      <c r="K18" s="1" t="s">
        <v>81</v>
      </c>
      <c r="L18" s="1">
        <v>5.12</v>
      </c>
      <c r="M18" s="1">
        <v>3653.3</v>
      </c>
      <c r="N18" s="1">
        <v>3653.0</v>
      </c>
      <c r="O18" s="1">
        <v>303199.0</v>
      </c>
    </row>
    <row r="19">
      <c r="A19" s="1" t="s">
        <v>82</v>
      </c>
      <c r="B19" s="1" t="s">
        <v>83</v>
      </c>
      <c r="C19" s="1">
        <v>609.9901</v>
      </c>
      <c r="D19" s="1" t="s">
        <v>17</v>
      </c>
      <c r="E19" s="1" t="s">
        <v>74</v>
      </c>
      <c r="F19" s="1">
        <v>98.66</v>
      </c>
      <c r="G19" s="1">
        <v>51.52</v>
      </c>
      <c r="H19" s="1">
        <v>7.0591459011E10</v>
      </c>
      <c r="I19" s="1">
        <v>7.5043755268E10</v>
      </c>
      <c r="J19" s="2">
        <v>45480.03611111111</v>
      </c>
      <c r="K19" s="2">
        <v>45542.57361111111</v>
      </c>
      <c r="L19" s="1">
        <v>4.92</v>
      </c>
      <c r="M19" s="1">
        <v>3001.15</v>
      </c>
      <c r="N19" s="1">
        <v>3001.0</v>
      </c>
      <c r="O19" s="1">
        <v>249083.0</v>
      </c>
    </row>
    <row r="20">
      <c r="A20" s="1" t="s">
        <v>84</v>
      </c>
      <c r="B20" s="1" t="s">
        <v>20</v>
      </c>
      <c r="C20" s="1">
        <v>61.3889</v>
      </c>
      <c r="D20" s="1" t="s">
        <v>17</v>
      </c>
      <c r="E20" s="1" t="s">
        <v>37</v>
      </c>
      <c r="F20" s="1">
        <v>20.25</v>
      </c>
      <c r="G20" s="1">
        <v>49.89</v>
      </c>
      <c r="H20" s="1">
        <v>2.4459345122E10</v>
      </c>
      <c r="I20" s="1">
        <v>3.0238120394E10</v>
      </c>
      <c r="J20" s="1" t="s">
        <v>85</v>
      </c>
      <c r="K20" s="1" t="s">
        <v>86</v>
      </c>
      <c r="L20" s="1">
        <v>7.68</v>
      </c>
      <c r="M20" s="1">
        <v>471.47</v>
      </c>
      <c r="N20" s="1">
        <v>471.0</v>
      </c>
      <c r="O20" s="1">
        <v>39093.0</v>
      </c>
    </row>
    <row r="21">
      <c r="A21" s="1" t="s">
        <v>87</v>
      </c>
      <c r="B21" s="1" t="s">
        <v>53</v>
      </c>
      <c r="C21" s="1">
        <v>194.6074</v>
      </c>
      <c r="D21" s="1" t="s">
        <v>21</v>
      </c>
      <c r="E21" s="1" t="s">
        <v>27</v>
      </c>
      <c r="F21" s="1">
        <v>71.48</v>
      </c>
      <c r="G21" s="1">
        <v>83.84</v>
      </c>
      <c r="H21" s="1">
        <v>5.0023921405E10</v>
      </c>
      <c r="I21" s="1">
        <v>5.2243912598E10</v>
      </c>
      <c r="J21" s="2">
        <v>45480.51111111111</v>
      </c>
      <c r="K21" s="2">
        <v>45603.08194444444</v>
      </c>
      <c r="L21" s="1">
        <v>7.04</v>
      </c>
      <c r="M21" s="1">
        <v>1370.04</v>
      </c>
      <c r="N21" s="1">
        <v>1370.0</v>
      </c>
      <c r="O21" s="1">
        <v>113710.0</v>
      </c>
    </row>
    <row r="22">
      <c r="A22" s="1" t="s">
        <v>88</v>
      </c>
      <c r="B22" s="1" t="s">
        <v>20</v>
      </c>
      <c r="C22" s="1">
        <v>590.1037</v>
      </c>
      <c r="D22" s="1" t="s">
        <v>17</v>
      </c>
      <c r="E22" s="1" t="s">
        <v>27</v>
      </c>
      <c r="F22" s="1">
        <v>55.53</v>
      </c>
      <c r="G22" s="1">
        <v>76.7</v>
      </c>
      <c r="H22" s="1">
        <v>2.7785646604E10</v>
      </c>
      <c r="I22" s="1">
        <v>3.4873445199E10</v>
      </c>
      <c r="J22" s="1" t="s">
        <v>89</v>
      </c>
      <c r="K22" s="1" t="s">
        <v>90</v>
      </c>
      <c r="L22" s="1">
        <v>8.18</v>
      </c>
      <c r="M22" s="1">
        <v>4827.05</v>
      </c>
      <c r="N22" s="1">
        <v>4827.0</v>
      </c>
      <c r="O22" s="1">
        <v>400641.0</v>
      </c>
    </row>
    <row r="23">
      <c r="A23" s="1" t="s">
        <v>91</v>
      </c>
      <c r="B23" s="1" t="s">
        <v>57</v>
      </c>
      <c r="C23" s="1">
        <v>152.1866</v>
      </c>
      <c r="D23" s="1" t="s">
        <v>17</v>
      </c>
      <c r="E23" s="1" t="s">
        <v>58</v>
      </c>
      <c r="F23" s="1">
        <v>78.9</v>
      </c>
      <c r="G23" s="1">
        <v>60.38</v>
      </c>
      <c r="H23" s="1">
        <v>3.1595229818E10</v>
      </c>
      <c r="I23" s="1">
        <v>3.2905735415E10</v>
      </c>
      <c r="J23" s="1" t="s">
        <v>92</v>
      </c>
      <c r="K23" s="1" t="s">
        <v>93</v>
      </c>
      <c r="L23" s="1">
        <v>7.5</v>
      </c>
      <c r="M23" s="1">
        <v>1141.4</v>
      </c>
      <c r="N23" s="1">
        <v>1141.0</v>
      </c>
      <c r="O23" s="1">
        <v>94703.0</v>
      </c>
    </row>
    <row r="24">
      <c r="A24" s="1" t="s">
        <v>94</v>
      </c>
      <c r="B24" s="1" t="s">
        <v>60</v>
      </c>
      <c r="C24" s="1">
        <v>90.7333</v>
      </c>
      <c r="D24" s="1" t="s">
        <v>42</v>
      </c>
      <c r="E24" s="1" t="s">
        <v>54</v>
      </c>
      <c r="F24" s="1">
        <v>22.41</v>
      </c>
      <c r="G24" s="1">
        <v>61.79</v>
      </c>
      <c r="H24" s="1">
        <v>3.5788463783E10</v>
      </c>
      <c r="I24" s="1">
        <v>4.1202319167E10</v>
      </c>
      <c r="J24" s="2">
        <v>45420.55416666667</v>
      </c>
      <c r="K24" s="2">
        <v>45543.33472222222</v>
      </c>
      <c r="L24" s="1">
        <v>8.75</v>
      </c>
      <c r="M24" s="1">
        <v>793.92</v>
      </c>
      <c r="N24" s="1">
        <v>794.0</v>
      </c>
      <c r="O24" s="1">
        <v>65902.0</v>
      </c>
    </row>
    <row r="25">
      <c r="A25" s="1" t="s">
        <v>95</v>
      </c>
      <c r="B25" s="1" t="s">
        <v>53</v>
      </c>
      <c r="C25" s="1">
        <v>389.9843</v>
      </c>
      <c r="D25" s="1" t="s">
        <v>17</v>
      </c>
      <c r="E25" s="1" t="s">
        <v>32</v>
      </c>
      <c r="F25" s="1">
        <v>97.47</v>
      </c>
      <c r="G25" s="1">
        <v>35.99</v>
      </c>
      <c r="H25" s="1">
        <v>9.6990383791E10</v>
      </c>
      <c r="I25" s="3">
        <v>1.01187E11</v>
      </c>
      <c r="J25" s="1" t="s">
        <v>96</v>
      </c>
      <c r="K25" s="1" t="s">
        <v>97</v>
      </c>
      <c r="L25" s="1">
        <v>1.92</v>
      </c>
      <c r="M25" s="1">
        <v>748.77</v>
      </c>
      <c r="N25" s="1">
        <v>749.0</v>
      </c>
      <c r="O25" s="1">
        <v>62167.0</v>
      </c>
    </row>
    <row r="26">
      <c r="A26" s="1" t="s">
        <v>98</v>
      </c>
      <c r="B26" s="1" t="s">
        <v>99</v>
      </c>
      <c r="C26" s="1">
        <v>389.6408</v>
      </c>
      <c r="D26" s="1" t="s">
        <v>21</v>
      </c>
      <c r="E26" s="1" t="s">
        <v>27</v>
      </c>
      <c r="F26" s="1">
        <v>65.57</v>
      </c>
      <c r="G26" s="1">
        <v>42.91</v>
      </c>
      <c r="H26" s="1">
        <v>3.1182295135E10</v>
      </c>
      <c r="I26" s="1">
        <v>3.8901764033E10</v>
      </c>
      <c r="J26" s="2">
        <v>45633.3875</v>
      </c>
      <c r="K26" s="1" t="s">
        <v>100</v>
      </c>
      <c r="L26" s="1">
        <v>8.26</v>
      </c>
      <c r="M26" s="1">
        <v>3218.43</v>
      </c>
      <c r="N26" s="1">
        <v>3218.0</v>
      </c>
      <c r="O26" s="1">
        <v>267094.0</v>
      </c>
    </row>
    <row r="27">
      <c r="A27" s="1" t="s">
        <v>101</v>
      </c>
      <c r="B27" s="1" t="s">
        <v>83</v>
      </c>
      <c r="C27" s="1">
        <v>902.3603</v>
      </c>
      <c r="D27" s="1" t="s">
        <v>21</v>
      </c>
      <c r="E27" s="1" t="s">
        <v>18</v>
      </c>
      <c r="F27" s="1">
        <v>27.7</v>
      </c>
      <c r="G27" s="1">
        <v>72.18</v>
      </c>
      <c r="H27" s="1">
        <v>7.5263901953E10</v>
      </c>
      <c r="I27" s="1">
        <v>8.0604527913E10</v>
      </c>
      <c r="J27" s="1" t="s">
        <v>102</v>
      </c>
      <c r="K27" s="1" t="s">
        <v>103</v>
      </c>
      <c r="L27" s="1">
        <v>6.25</v>
      </c>
      <c r="M27" s="1">
        <v>5639.75</v>
      </c>
      <c r="N27" s="1">
        <v>5640.0</v>
      </c>
      <c r="O27" s="1">
        <v>468120.0</v>
      </c>
    </row>
    <row r="28">
      <c r="A28" s="1" t="s">
        <v>104</v>
      </c>
      <c r="B28" s="1" t="s">
        <v>36</v>
      </c>
      <c r="C28" s="1">
        <v>355.828</v>
      </c>
      <c r="D28" s="1" t="s">
        <v>21</v>
      </c>
      <c r="E28" s="1" t="s">
        <v>105</v>
      </c>
      <c r="F28" s="1">
        <v>89.39</v>
      </c>
      <c r="G28" s="1">
        <v>91.02</v>
      </c>
      <c r="H28" s="1">
        <v>8.4041157244E10</v>
      </c>
      <c r="I28" s="1">
        <v>9.2553952311E10</v>
      </c>
      <c r="J28" s="1" t="s">
        <v>106</v>
      </c>
      <c r="K28" s="1" t="s">
        <v>107</v>
      </c>
      <c r="L28" s="1">
        <v>5.17</v>
      </c>
      <c r="M28" s="1">
        <v>1839.63</v>
      </c>
      <c r="N28" s="1">
        <v>1840.0</v>
      </c>
      <c r="O28" s="1">
        <v>152720.0</v>
      </c>
    </row>
    <row r="29">
      <c r="A29" s="1" t="s">
        <v>108</v>
      </c>
      <c r="B29" s="1" t="s">
        <v>26</v>
      </c>
      <c r="C29" s="1">
        <v>477.7508</v>
      </c>
      <c r="D29" s="1" t="s">
        <v>17</v>
      </c>
      <c r="E29" s="1" t="s">
        <v>18</v>
      </c>
      <c r="F29" s="1">
        <v>63.32</v>
      </c>
      <c r="G29" s="1">
        <v>46.75</v>
      </c>
      <c r="H29" s="1">
        <v>8.8256196324E10</v>
      </c>
      <c r="I29" s="1">
        <v>9.5036019889E10</v>
      </c>
      <c r="J29" s="2">
        <v>45298.82708333333</v>
      </c>
      <c r="K29" s="2">
        <v>45389.89166666667</v>
      </c>
      <c r="L29" s="1">
        <v>7.49</v>
      </c>
      <c r="M29" s="1">
        <v>3578.35</v>
      </c>
      <c r="N29" s="1">
        <v>3578.0</v>
      </c>
      <c r="O29" s="1">
        <v>296974.0</v>
      </c>
    </row>
    <row r="30">
      <c r="A30" s="1" t="s">
        <v>109</v>
      </c>
      <c r="B30" s="1" t="s">
        <v>99</v>
      </c>
      <c r="C30" s="1">
        <v>31.5518</v>
      </c>
      <c r="D30" s="1" t="s">
        <v>17</v>
      </c>
      <c r="E30" s="1" t="s">
        <v>54</v>
      </c>
      <c r="F30" s="1">
        <v>62.15</v>
      </c>
      <c r="G30" s="1">
        <v>16.46</v>
      </c>
      <c r="H30" s="1">
        <v>5.4485062086E10</v>
      </c>
      <c r="I30" s="1">
        <v>6.2813003941E10</v>
      </c>
      <c r="J30" s="2">
        <v>45573.711805555555</v>
      </c>
      <c r="K30" s="1" t="s">
        <v>110</v>
      </c>
      <c r="L30" s="1">
        <v>8.65</v>
      </c>
      <c r="M30" s="1">
        <v>272.92</v>
      </c>
      <c r="N30" s="1">
        <v>273.0</v>
      </c>
      <c r="O30" s="1">
        <v>22659.0</v>
      </c>
    </row>
    <row r="31">
      <c r="A31" s="1" t="s">
        <v>111</v>
      </c>
      <c r="B31" s="1" t="s">
        <v>112</v>
      </c>
      <c r="C31" s="1">
        <v>24.5167</v>
      </c>
      <c r="D31" s="1" t="s">
        <v>42</v>
      </c>
      <c r="E31" s="1" t="s">
        <v>54</v>
      </c>
      <c r="F31" s="1">
        <v>63.68</v>
      </c>
      <c r="G31" s="1">
        <v>9.91</v>
      </c>
      <c r="H31" s="1">
        <v>3.4927527769E10</v>
      </c>
      <c r="I31" s="1">
        <v>4.4683895186E10</v>
      </c>
      <c r="J31" s="1" t="s">
        <v>113</v>
      </c>
      <c r="K31" s="1" t="s">
        <v>114</v>
      </c>
      <c r="L31" s="1">
        <v>7.74</v>
      </c>
      <c r="M31" s="1">
        <v>189.76</v>
      </c>
      <c r="N31" s="1">
        <v>190.0</v>
      </c>
      <c r="O31" s="1">
        <v>15770.0</v>
      </c>
    </row>
    <row r="32">
      <c r="A32" s="1" t="s">
        <v>115</v>
      </c>
      <c r="B32" s="1" t="s">
        <v>60</v>
      </c>
      <c r="C32" s="1">
        <v>85.0167</v>
      </c>
      <c r="D32" s="1" t="s">
        <v>42</v>
      </c>
      <c r="E32" s="1" t="s">
        <v>27</v>
      </c>
      <c r="F32" s="1">
        <v>67.5</v>
      </c>
      <c r="G32" s="1">
        <v>76.78</v>
      </c>
      <c r="H32" s="1">
        <v>8.7269231137E10</v>
      </c>
      <c r="I32" s="1">
        <v>9.2709161595E10</v>
      </c>
      <c r="J32" s="1" t="s">
        <v>116</v>
      </c>
      <c r="K32" s="1" t="s">
        <v>117</v>
      </c>
      <c r="L32" s="1">
        <v>9.97</v>
      </c>
      <c r="M32" s="1">
        <v>847.62</v>
      </c>
      <c r="N32" s="1">
        <v>848.0</v>
      </c>
      <c r="O32" s="1">
        <v>70384.0</v>
      </c>
    </row>
    <row r="33">
      <c r="A33" s="1" t="s">
        <v>118</v>
      </c>
      <c r="B33" s="1" t="s">
        <v>16</v>
      </c>
      <c r="C33" s="1">
        <v>832.1664</v>
      </c>
      <c r="D33" s="1" t="s">
        <v>17</v>
      </c>
      <c r="E33" s="1" t="s">
        <v>58</v>
      </c>
      <c r="F33" s="1">
        <v>23.65</v>
      </c>
      <c r="G33" s="1">
        <v>80.19</v>
      </c>
      <c r="H33" s="1">
        <v>9.3395407276E10</v>
      </c>
      <c r="I33" s="3">
        <v>1.02343E11</v>
      </c>
      <c r="J33" s="1" t="s">
        <v>119</v>
      </c>
      <c r="K33" s="1" t="s">
        <v>120</v>
      </c>
      <c r="L33" s="1">
        <v>5.91</v>
      </c>
      <c r="M33" s="1">
        <v>4918.1</v>
      </c>
      <c r="N33" s="1">
        <v>4918.0</v>
      </c>
      <c r="O33" s="1">
        <v>408194.0</v>
      </c>
    </row>
    <row r="34">
      <c r="A34" s="1" t="s">
        <v>121</v>
      </c>
      <c r="B34" s="1" t="s">
        <v>122</v>
      </c>
      <c r="C34" s="1">
        <v>298.0653</v>
      </c>
      <c r="D34" s="1" t="s">
        <v>21</v>
      </c>
      <c r="E34" s="1" t="s">
        <v>123</v>
      </c>
      <c r="F34" s="1">
        <v>66.82</v>
      </c>
      <c r="G34" s="1">
        <v>57.94</v>
      </c>
      <c r="H34" s="1">
        <v>2.4527235493E10</v>
      </c>
      <c r="I34" s="1">
        <v>2.6241930001E10</v>
      </c>
      <c r="J34" s="2">
        <v>45329.524305555555</v>
      </c>
      <c r="K34" s="2">
        <v>45419.677777777775</v>
      </c>
      <c r="L34" s="1">
        <v>7.34</v>
      </c>
      <c r="M34" s="1">
        <v>2187.8</v>
      </c>
      <c r="N34" s="1">
        <v>2188.0</v>
      </c>
      <c r="O34" s="1">
        <v>181604.0</v>
      </c>
    </row>
    <row r="35">
      <c r="A35" s="1" t="s">
        <v>124</v>
      </c>
      <c r="B35" s="1" t="s">
        <v>99</v>
      </c>
      <c r="C35" s="1">
        <v>868.8778</v>
      </c>
      <c r="D35" s="1" t="s">
        <v>17</v>
      </c>
      <c r="E35" s="1" t="s">
        <v>70</v>
      </c>
      <c r="F35" s="1">
        <v>72.08</v>
      </c>
      <c r="G35" s="1">
        <v>28.06</v>
      </c>
      <c r="H35" s="1">
        <v>1.3159648227E10</v>
      </c>
      <c r="I35" s="1">
        <v>1.6566379456E10</v>
      </c>
      <c r="J35" s="1" t="s">
        <v>125</v>
      </c>
      <c r="K35" s="1" t="s">
        <v>126</v>
      </c>
      <c r="L35" s="1">
        <v>2.33</v>
      </c>
      <c r="M35" s="1">
        <v>2024.49</v>
      </c>
      <c r="N35" s="1">
        <v>2024.0</v>
      </c>
      <c r="O35" s="1">
        <v>167992.0</v>
      </c>
    </row>
    <row r="36">
      <c r="A36" s="1" t="s">
        <v>127</v>
      </c>
      <c r="B36" s="1" t="s">
        <v>128</v>
      </c>
      <c r="C36" s="1">
        <v>306.7861</v>
      </c>
      <c r="D36" s="1" t="s">
        <v>21</v>
      </c>
      <c r="E36" s="1" t="s">
        <v>18</v>
      </c>
      <c r="F36" s="1">
        <v>19.59</v>
      </c>
      <c r="G36" s="1">
        <v>95.71</v>
      </c>
      <c r="H36" s="1">
        <v>9.8160908124E10</v>
      </c>
      <c r="I36" s="3">
        <v>1.06232E11</v>
      </c>
      <c r="J36" s="2">
        <v>45572.96875</v>
      </c>
      <c r="K36" s="2">
        <v>45633.11875</v>
      </c>
      <c r="L36" s="1">
        <v>8.51</v>
      </c>
      <c r="M36" s="1">
        <v>2610.75</v>
      </c>
      <c r="N36" s="1">
        <v>2611.0</v>
      </c>
      <c r="O36" s="1">
        <v>216713.0</v>
      </c>
    </row>
    <row r="37">
      <c r="A37" s="1" t="s">
        <v>129</v>
      </c>
      <c r="B37" s="1" t="s">
        <v>62</v>
      </c>
      <c r="C37" s="1">
        <v>31.9333</v>
      </c>
      <c r="D37" s="1" t="s">
        <v>42</v>
      </c>
      <c r="E37" s="1" t="s">
        <v>22</v>
      </c>
      <c r="F37" s="1">
        <v>5.7</v>
      </c>
      <c r="G37" s="1">
        <v>31.59</v>
      </c>
      <c r="H37" s="1">
        <v>3.5137713111E10</v>
      </c>
      <c r="I37" s="1">
        <v>4.3813630384E10</v>
      </c>
      <c r="J37" s="1" t="s">
        <v>130</v>
      </c>
      <c r="K37" s="1" t="s">
        <v>131</v>
      </c>
      <c r="L37" s="1">
        <v>1.05</v>
      </c>
      <c r="M37" s="1">
        <v>33.53</v>
      </c>
      <c r="N37" s="1">
        <v>34.0</v>
      </c>
      <c r="O37" s="1">
        <v>2822.0</v>
      </c>
    </row>
    <row r="38">
      <c r="A38" s="1" t="s">
        <v>132</v>
      </c>
      <c r="B38" s="1" t="s">
        <v>83</v>
      </c>
      <c r="C38" s="1">
        <v>715.0198</v>
      </c>
      <c r="D38" s="1" t="s">
        <v>21</v>
      </c>
      <c r="E38" s="1" t="s">
        <v>123</v>
      </c>
      <c r="F38" s="1">
        <v>44.97</v>
      </c>
      <c r="G38" s="1">
        <v>13.16</v>
      </c>
      <c r="H38" s="1">
        <v>4.7790743712E10</v>
      </c>
      <c r="I38" s="1">
        <v>5.069981764E10</v>
      </c>
      <c r="J38" s="1" t="s">
        <v>133</v>
      </c>
      <c r="K38" s="1" t="s">
        <v>134</v>
      </c>
      <c r="L38" s="1">
        <v>3.29</v>
      </c>
      <c r="M38" s="1">
        <v>2352.42</v>
      </c>
      <c r="N38" s="1">
        <v>2352.0</v>
      </c>
      <c r="O38" s="1">
        <v>195216.0</v>
      </c>
    </row>
    <row r="39">
      <c r="A39" s="1" t="s">
        <v>135</v>
      </c>
      <c r="B39" s="1" t="s">
        <v>46</v>
      </c>
      <c r="C39" s="1">
        <v>749.8858</v>
      </c>
      <c r="D39" s="1" t="s">
        <v>21</v>
      </c>
      <c r="E39" s="1" t="s">
        <v>18</v>
      </c>
      <c r="F39" s="1">
        <v>84.06</v>
      </c>
      <c r="G39" s="1">
        <v>47.12</v>
      </c>
      <c r="H39" s="1">
        <v>5.8205533146E10</v>
      </c>
      <c r="I39" s="1">
        <v>6.3495177785E10</v>
      </c>
      <c r="J39" s="1" t="s">
        <v>136</v>
      </c>
      <c r="K39" s="1" t="s">
        <v>137</v>
      </c>
      <c r="L39" s="1">
        <v>2.03</v>
      </c>
      <c r="M39" s="1">
        <v>1522.27</v>
      </c>
      <c r="N39" s="1">
        <v>1522.0</v>
      </c>
      <c r="O39" s="1">
        <v>126326.0</v>
      </c>
    </row>
    <row r="40">
      <c r="A40" s="1" t="s">
        <v>138</v>
      </c>
      <c r="B40" s="1" t="s">
        <v>139</v>
      </c>
      <c r="C40" s="1">
        <v>110.3167</v>
      </c>
      <c r="D40" s="1" t="s">
        <v>42</v>
      </c>
      <c r="E40" s="1" t="s">
        <v>74</v>
      </c>
      <c r="F40" s="1">
        <v>49.67</v>
      </c>
      <c r="G40" s="1">
        <v>26.17</v>
      </c>
      <c r="H40" s="1">
        <v>7.9950895147E10</v>
      </c>
      <c r="I40" s="1">
        <v>8.7873607051E10</v>
      </c>
      <c r="J40" s="2">
        <v>45359.41458333333</v>
      </c>
      <c r="K40" s="2">
        <v>45512.01111111111</v>
      </c>
      <c r="L40" s="1">
        <v>7.61</v>
      </c>
      <c r="M40" s="1">
        <v>839.51</v>
      </c>
      <c r="N40" s="1">
        <v>840.0</v>
      </c>
      <c r="O40" s="1">
        <v>69720.0</v>
      </c>
    </row>
    <row r="41">
      <c r="A41" s="1" t="s">
        <v>140</v>
      </c>
      <c r="B41" s="1" t="s">
        <v>41</v>
      </c>
      <c r="C41" s="1">
        <v>55.5667</v>
      </c>
      <c r="D41" s="1" t="s">
        <v>42</v>
      </c>
      <c r="E41" s="1" t="s">
        <v>123</v>
      </c>
      <c r="F41" s="1">
        <v>4.03</v>
      </c>
      <c r="G41" s="1">
        <v>16.21</v>
      </c>
      <c r="H41" s="1">
        <v>3.9972807265E10</v>
      </c>
      <c r="I41" s="1">
        <v>4.2908382034E10</v>
      </c>
      <c r="J41" s="1" t="s">
        <v>141</v>
      </c>
      <c r="K41" s="1" t="s">
        <v>142</v>
      </c>
      <c r="L41" s="1">
        <v>3.2</v>
      </c>
      <c r="M41" s="1">
        <v>177.81</v>
      </c>
      <c r="N41" s="1">
        <v>178.0</v>
      </c>
      <c r="O41" s="1">
        <v>14774.0</v>
      </c>
    </row>
    <row r="42">
      <c r="A42" s="1" t="s">
        <v>143</v>
      </c>
      <c r="B42" s="1" t="s">
        <v>112</v>
      </c>
      <c r="C42" s="1">
        <v>37.85</v>
      </c>
      <c r="D42" s="1" t="s">
        <v>42</v>
      </c>
      <c r="E42" s="1" t="s">
        <v>22</v>
      </c>
      <c r="F42" s="1">
        <v>30.13</v>
      </c>
      <c r="G42" s="1">
        <v>51.99</v>
      </c>
      <c r="H42" s="1">
        <v>4.7432776135E10</v>
      </c>
      <c r="I42" s="1">
        <v>5.238602738E10</v>
      </c>
      <c r="J42" s="1" t="s">
        <v>144</v>
      </c>
      <c r="K42" s="1" t="s">
        <v>145</v>
      </c>
      <c r="L42" s="1">
        <v>4.74</v>
      </c>
      <c r="M42" s="1">
        <v>179.41</v>
      </c>
      <c r="N42" s="1">
        <v>179.0</v>
      </c>
      <c r="O42" s="1">
        <v>14857.0</v>
      </c>
    </row>
    <row r="43">
      <c r="A43" s="1" t="s">
        <v>146</v>
      </c>
      <c r="B43" s="1" t="s">
        <v>147</v>
      </c>
      <c r="C43" s="1">
        <v>25.1167</v>
      </c>
      <c r="D43" s="1" t="s">
        <v>42</v>
      </c>
      <c r="E43" s="1" t="s">
        <v>105</v>
      </c>
      <c r="F43" s="1">
        <v>31.07</v>
      </c>
      <c r="G43" s="1">
        <v>40.3</v>
      </c>
      <c r="H43" s="1">
        <v>6.7988066933E10</v>
      </c>
      <c r="I43" s="1">
        <v>7.4171230563E10</v>
      </c>
      <c r="J43" s="2">
        <v>45633.986805555556</v>
      </c>
      <c r="K43" s="1" t="s">
        <v>148</v>
      </c>
      <c r="L43" s="1">
        <v>4.91</v>
      </c>
      <c r="M43" s="1">
        <v>123.32</v>
      </c>
      <c r="N43" s="1">
        <v>123.0</v>
      </c>
      <c r="O43" s="1">
        <v>10209.0</v>
      </c>
    </row>
    <row r="44">
      <c r="A44" s="1" t="s">
        <v>149</v>
      </c>
      <c r="B44" s="1" t="s">
        <v>83</v>
      </c>
      <c r="C44" s="1">
        <v>222.3365</v>
      </c>
      <c r="D44" s="1" t="s">
        <v>17</v>
      </c>
      <c r="E44" s="1" t="s">
        <v>58</v>
      </c>
      <c r="F44" s="1">
        <v>45.3</v>
      </c>
      <c r="G44" s="1">
        <v>95.77</v>
      </c>
      <c r="H44" s="1">
        <v>3.2935662005E10</v>
      </c>
      <c r="I44" s="1">
        <v>4.0639831707E10</v>
      </c>
      <c r="J44" s="1" t="s">
        <v>150</v>
      </c>
      <c r="K44" s="1" t="s">
        <v>151</v>
      </c>
      <c r="L44" s="1">
        <v>3.17</v>
      </c>
      <c r="M44" s="1">
        <v>704.81</v>
      </c>
      <c r="N44" s="1">
        <v>705.0</v>
      </c>
      <c r="O44" s="1">
        <v>58515.0</v>
      </c>
    </row>
    <row r="45">
      <c r="A45" s="1" t="s">
        <v>152</v>
      </c>
      <c r="B45" s="1" t="s">
        <v>20</v>
      </c>
      <c r="C45" s="1">
        <v>565.1884</v>
      </c>
      <c r="D45" s="1" t="s">
        <v>21</v>
      </c>
      <c r="E45" s="1" t="s">
        <v>74</v>
      </c>
      <c r="F45" s="1">
        <v>5.46</v>
      </c>
      <c r="G45" s="1">
        <v>98.89</v>
      </c>
      <c r="H45" s="1">
        <v>8.7565187937E10</v>
      </c>
      <c r="I45" s="1">
        <v>9.2048056617E10</v>
      </c>
      <c r="J45" s="2">
        <v>45330.03611111111</v>
      </c>
      <c r="K45" s="2">
        <v>45359.691666666666</v>
      </c>
      <c r="L45" s="1">
        <v>7.16</v>
      </c>
      <c r="M45" s="1">
        <v>4046.75</v>
      </c>
      <c r="N45" s="1">
        <v>4047.0</v>
      </c>
      <c r="O45" s="1">
        <v>335901.0</v>
      </c>
    </row>
    <row r="46">
      <c r="A46" s="1" t="s">
        <v>153</v>
      </c>
      <c r="B46" s="1" t="s">
        <v>57</v>
      </c>
      <c r="C46" s="1">
        <v>668.343</v>
      </c>
      <c r="D46" s="1" t="s">
        <v>21</v>
      </c>
      <c r="E46" s="1" t="s">
        <v>105</v>
      </c>
      <c r="F46" s="1">
        <v>57.12</v>
      </c>
      <c r="G46" s="1">
        <v>76.38</v>
      </c>
      <c r="H46" s="1">
        <v>3.6394756934E10</v>
      </c>
      <c r="I46" s="1">
        <v>4.6156760944E10</v>
      </c>
      <c r="J46" s="2">
        <v>45299.14444444444</v>
      </c>
      <c r="K46" s="2">
        <v>45451.10763888889</v>
      </c>
      <c r="L46" s="1">
        <v>8.9</v>
      </c>
      <c r="M46" s="1">
        <v>5948.25</v>
      </c>
      <c r="N46" s="1">
        <v>5948.0</v>
      </c>
      <c r="O46" s="1">
        <v>493684.0</v>
      </c>
    </row>
    <row r="47">
      <c r="A47" s="1" t="s">
        <v>154</v>
      </c>
      <c r="B47" s="1" t="s">
        <v>20</v>
      </c>
      <c r="C47" s="1">
        <v>502.7493</v>
      </c>
      <c r="D47" s="1" t="s">
        <v>17</v>
      </c>
      <c r="E47" s="1" t="s">
        <v>155</v>
      </c>
      <c r="F47" s="1">
        <v>62.01</v>
      </c>
      <c r="G47" s="1">
        <v>51.31</v>
      </c>
      <c r="H47" s="1">
        <v>7.0657848518E10</v>
      </c>
      <c r="I47" s="1">
        <v>7.7304088526E10</v>
      </c>
      <c r="J47" s="1" t="s">
        <v>156</v>
      </c>
      <c r="K47" s="1" t="s">
        <v>157</v>
      </c>
      <c r="L47" s="1">
        <v>2.24</v>
      </c>
      <c r="M47" s="1">
        <v>1126.16</v>
      </c>
      <c r="N47" s="1">
        <v>1126.0</v>
      </c>
      <c r="O47" s="1">
        <v>93458.0</v>
      </c>
    </row>
    <row r="48">
      <c r="A48" s="1" t="s">
        <v>158</v>
      </c>
      <c r="B48" s="1" t="s">
        <v>128</v>
      </c>
      <c r="C48" s="1">
        <v>144.2559</v>
      </c>
      <c r="D48" s="1" t="s">
        <v>17</v>
      </c>
      <c r="E48" s="1" t="s">
        <v>123</v>
      </c>
      <c r="F48" s="1">
        <v>99.71</v>
      </c>
      <c r="G48" s="1">
        <v>0.93</v>
      </c>
      <c r="H48" s="1">
        <v>9.171731168E10</v>
      </c>
      <c r="I48" s="1">
        <v>9.5042899077E10</v>
      </c>
      <c r="J48" s="2">
        <v>45389.055555555555</v>
      </c>
      <c r="K48" s="2">
        <v>45511.42013888889</v>
      </c>
      <c r="L48" s="1">
        <v>4.99</v>
      </c>
      <c r="M48" s="1">
        <v>719.84</v>
      </c>
      <c r="N48" s="1">
        <v>720.0</v>
      </c>
      <c r="O48" s="1">
        <v>59760.0</v>
      </c>
    </row>
    <row r="49">
      <c r="A49" s="1" t="s">
        <v>159</v>
      </c>
      <c r="B49" s="1" t="s">
        <v>36</v>
      </c>
      <c r="C49" s="1">
        <v>67.2368</v>
      </c>
      <c r="D49" s="1" t="s">
        <v>17</v>
      </c>
      <c r="E49" s="1" t="s">
        <v>37</v>
      </c>
      <c r="F49" s="1">
        <v>95.28</v>
      </c>
      <c r="G49" s="1">
        <v>57.91</v>
      </c>
      <c r="H49" s="1">
        <v>8.9003991655E10</v>
      </c>
      <c r="I49" s="1">
        <v>9.6601656791E10</v>
      </c>
      <c r="J49" s="2">
        <v>45633.89722222222</v>
      </c>
      <c r="K49" s="1" t="s">
        <v>160</v>
      </c>
      <c r="L49" s="1">
        <v>2.63</v>
      </c>
      <c r="M49" s="1">
        <v>176.83</v>
      </c>
      <c r="N49" s="1">
        <v>177.0</v>
      </c>
      <c r="O49" s="1">
        <v>14691.0</v>
      </c>
    </row>
    <row r="50">
      <c r="A50" s="1" t="s">
        <v>161</v>
      </c>
      <c r="B50" s="1" t="s">
        <v>99</v>
      </c>
      <c r="C50" s="1">
        <v>992.0661</v>
      </c>
      <c r="D50" s="1" t="s">
        <v>21</v>
      </c>
      <c r="E50" s="1" t="s">
        <v>27</v>
      </c>
      <c r="F50" s="1">
        <v>59.72</v>
      </c>
      <c r="G50" s="1">
        <v>17.93</v>
      </c>
      <c r="H50" s="1">
        <v>4.9573513144E10</v>
      </c>
      <c r="I50" s="1">
        <v>5.7377379156E10</v>
      </c>
      <c r="J50" s="2">
        <v>45329.67152777778</v>
      </c>
      <c r="K50" s="2">
        <v>45389.07430555556</v>
      </c>
      <c r="L50" s="1">
        <v>4.63</v>
      </c>
      <c r="M50" s="1">
        <v>4593.27</v>
      </c>
      <c r="N50" s="1">
        <v>4593.0</v>
      </c>
      <c r="O50" s="1">
        <v>381219.0</v>
      </c>
    </row>
    <row r="51">
      <c r="A51" s="1" t="s">
        <v>162</v>
      </c>
      <c r="B51" s="1" t="s">
        <v>99</v>
      </c>
      <c r="C51" s="1">
        <v>992.7546</v>
      </c>
      <c r="D51" s="1" t="s">
        <v>21</v>
      </c>
      <c r="E51" s="1" t="s">
        <v>27</v>
      </c>
      <c r="F51" s="1">
        <v>7.86</v>
      </c>
      <c r="G51" s="1">
        <v>24.27</v>
      </c>
      <c r="H51" s="1">
        <v>3.5775812684E10</v>
      </c>
      <c r="I51" s="1">
        <v>3.7743737345E10</v>
      </c>
      <c r="J51" s="1" t="s">
        <v>163</v>
      </c>
      <c r="K51" s="1" t="s">
        <v>164</v>
      </c>
      <c r="L51" s="1">
        <v>2.32</v>
      </c>
      <c r="M51" s="1">
        <v>2303.19</v>
      </c>
      <c r="N51" s="1">
        <v>2303.0</v>
      </c>
      <c r="O51" s="1">
        <v>191149.0</v>
      </c>
    </row>
    <row r="52">
      <c r="A52" s="1" t="s">
        <v>165</v>
      </c>
      <c r="B52" s="1" t="s">
        <v>166</v>
      </c>
      <c r="C52" s="1">
        <v>760.0749</v>
      </c>
      <c r="D52" s="1" t="s">
        <v>17</v>
      </c>
      <c r="E52" s="1" t="s">
        <v>74</v>
      </c>
      <c r="F52" s="1">
        <v>98.05</v>
      </c>
      <c r="G52" s="1">
        <v>41.43</v>
      </c>
      <c r="H52" s="1">
        <v>4.6082827894E10</v>
      </c>
      <c r="I52" s="1">
        <v>4.7296152299E10</v>
      </c>
      <c r="J52" s="2">
        <v>45633.23888888889</v>
      </c>
      <c r="K52" s="1" t="s">
        <v>167</v>
      </c>
      <c r="L52" s="1">
        <v>6.96</v>
      </c>
      <c r="M52" s="1">
        <v>5290.12</v>
      </c>
      <c r="N52" s="1">
        <v>5290.0</v>
      </c>
      <c r="O52" s="1">
        <v>439070.0</v>
      </c>
    </row>
    <row r="53">
      <c r="A53" s="1" t="s">
        <v>168</v>
      </c>
      <c r="B53" s="1" t="s">
        <v>169</v>
      </c>
      <c r="C53" s="1">
        <v>657.0231</v>
      </c>
      <c r="D53" s="1" t="s">
        <v>21</v>
      </c>
      <c r="E53" s="1" t="s">
        <v>70</v>
      </c>
      <c r="F53" s="1">
        <v>30.7</v>
      </c>
      <c r="G53" s="1">
        <v>10.91</v>
      </c>
      <c r="H53" s="1">
        <v>1.9271396797E10</v>
      </c>
      <c r="I53" s="1">
        <v>2.7245078419E10</v>
      </c>
      <c r="J53" s="1" t="s">
        <v>170</v>
      </c>
      <c r="K53" s="1" t="s">
        <v>171</v>
      </c>
      <c r="L53" s="1">
        <v>3.76</v>
      </c>
      <c r="M53" s="1">
        <v>2470.41</v>
      </c>
      <c r="N53" s="1">
        <v>2470.0</v>
      </c>
      <c r="O53" s="1">
        <v>205010.0</v>
      </c>
    </row>
    <row r="54">
      <c r="A54" s="1" t="s">
        <v>172</v>
      </c>
      <c r="B54" s="1" t="s">
        <v>41</v>
      </c>
      <c r="C54" s="1">
        <v>32.4667</v>
      </c>
      <c r="D54" s="1" t="s">
        <v>42</v>
      </c>
      <c r="E54" s="1" t="s">
        <v>32</v>
      </c>
      <c r="F54" s="1">
        <v>19.26</v>
      </c>
      <c r="G54" s="1">
        <v>8.78</v>
      </c>
      <c r="H54" s="1">
        <v>4.946636304E10</v>
      </c>
      <c r="I54" s="1">
        <v>5.5999156322E10</v>
      </c>
      <c r="J54" s="2">
        <v>45634.694444444445</v>
      </c>
      <c r="K54" s="1" t="s">
        <v>173</v>
      </c>
      <c r="L54" s="1">
        <v>4.48</v>
      </c>
      <c r="M54" s="1">
        <v>145.45</v>
      </c>
      <c r="N54" s="1">
        <v>145.0</v>
      </c>
      <c r="O54" s="1">
        <v>12035.0</v>
      </c>
    </row>
    <row r="55">
      <c r="A55" s="1" t="s">
        <v>174</v>
      </c>
      <c r="B55" s="1" t="s">
        <v>147</v>
      </c>
      <c r="C55" s="1">
        <v>65.3167</v>
      </c>
      <c r="D55" s="1" t="s">
        <v>42</v>
      </c>
      <c r="E55" s="1" t="s">
        <v>37</v>
      </c>
      <c r="F55" s="1">
        <v>68.32</v>
      </c>
      <c r="G55" s="1">
        <v>2.37</v>
      </c>
      <c r="H55" s="1">
        <v>3.2960902132E10</v>
      </c>
      <c r="I55" s="1">
        <v>4.2041161989E10</v>
      </c>
      <c r="J55" s="2">
        <v>45480.03680555556</v>
      </c>
      <c r="K55" s="2">
        <v>45542.75833333333</v>
      </c>
      <c r="L55" s="1">
        <v>6.64</v>
      </c>
      <c r="M55" s="1">
        <v>433.7</v>
      </c>
      <c r="N55" s="1">
        <v>434.0</v>
      </c>
      <c r="O55" s="1">
        <v>36022.0</v>
      </c>
    </row>
    <row r="56">
      <c r="A56" s="1" t="s">
        <v>175</v>
      </c>
      <c r="B56" s="1" t="s">
        <v>60</v>
      </c>
      <c r="C56" s="1">
        <v>90.6</v>
      </c>
      <c r="D56" s="1" t="s">
        <v>42</v>
      </c>
      <c r="E56" s="1" t="s">
        <v>155</v>
      </c>
      <c r="F56" s="1">
        <v>76.61</v>
      </c>
      <c r="G56" s="1">
        <v>96.05</v>
      </c>
      <c r="H56" s="1">
        <v>7.4434872643E10</v>
      </c>
      <c r="I56" s="1">
        <v>8.4307604798E10</v>
      </c>
      <c r="J56" s="1" t="s">
        <v>176</v>
      </c>
      <c r="K56" s="1" t="s">
        <v>177</v>
      </c>
      <c r="L56" s="1">
        <v>2.1</v>
      </c>
      <c r="M56" s="1">
        <v>190.26</v>
      </c>
      <c r="N56" s="1">
        <v>190.0</v>
      </c>
      <c r="O56" s="1">
        <v>15770.0</v>
      </c>
    </row>
    <row r="57">
      <c r="A57" s="1" t="s">
        <v>178</v>
      </c>
      <c r="B57" s="1" t="s">
        <v>26</v>
      </c>
      <c r="C57" s="1">
        <v>742.5462</v>
      </c>
      <c r="D57" s="1" t="s">
        <v>21</v>
      </c>
      <c r="E57" s="1" t="s">
        <v>70</v>
      </c>
      <c r="F57" s="1">
        <v>29.67</v>
      </c>
      <c r="G57" s="1">
        <v>96.85</v>
      </c>
      <c r="H57" s="1">
        <v>4.0121800532E10</v>
      </c>
      <c r="I57" s="1">
        <v>4.5367120844E10</v>
      </c>
      <c r="J57" s="1" t="s">
        <v>179</v>
      </c>
      <c r="K57" s="1" t="s">
        <v>180</v>
      </c>
      <c r="L57" s="1">
        <v>2.15</v>
      </c>
      <c r="M57" s="1">
        <v>1596.47</v>
      </c>
      <c r="N57" s="1">
        <v>1596.0</v>
      </c>
      <c r="O57" s="1">
        <v>132468.0</v>
      </c>
    </row>
    <row r="58">
      <c r="A58" s="1" t="s">
        <v>181</v>
      </c>
      <c r="B58" s="1" t="s">
        <v>36</v>
      </c>
      <c r="C58" s="1">
        <v>961.1396</v>
      </c>
      <c r="D58" s="1" t="s">
        <v>17</v>
      </c>
      <c r="E58" s="1" t="s">
        <v>32</v>
      </c>
      <c r="F58" s="1">
        <v>55.96</v>
      </c>
      <c r="G58" s="1">
        <v>8.8</v>
      </c>
      <c r="H58" s="1">
        <v>1.3441390615E10</v>
      </c>
      <c r="I58" s="1">
        <v>1.5127259133E10</v>
      </c>
      <c r="J58" s="2">
        <v>45419.64513888889</v>
      </c>
      <c r="K58" s="2">
        <v>45603.31736111111</v>
      </c>
      <c r="L58" s="1">
        <v>8.81</v>
      </c>
      <c r="M58" s="1">
        <v>8467.64</v>
      </c>
      <c r="N58" s="1">
        <v>8468.0</v>
      </c>
      <c r="O58" s="1">
        <v>702844.0</v>
      </c>
    </row>
    <row r="59">
      <c r="A59" s="1" t="s">
        <v>182</v>
      </c>
      <c r="B59" s="1" t="s">
        <v>183</v>
      </c>
      <c r="C59" s="1">
        <v>227.7202</v>
      </c>
      <c r="D59" s="1" t="s">
        <v>21</v>
      </c>
      <c r="E59" s="1" t="s">
        <v>123</v>
      </c>
      <c r="F59" s="1">
        <v>54.59</v>
      </c>
      <c r="G59" s="1">
        <v>42.02</v>
      </c>
      <c r="H59" s="1">
        <v>7.9528411554E10</v>
      </c>
      <c r="I59" s="1">
        <v>8.7175086484E10</v>
      </c>
      <c r="J59" s="2">
        <v>45450.0375</v>
      </c>
      <c r="K59" s="2">
        <v>45511.09722222222</v>
      </c>
      <c r="L59" s="1">
        <v>8.03</v>
      </c>
      <c r="M59" s="1">
        <v>1828.59</v>
      </c>
      <c r="N59" s="1">
        <v>1829.0</v>
      </c>
      <c r="O59" s="1">
        <v>151807.0</v>
      </c>
    </row>
    <row r="60">
      <c r="A60" s="1" t="s">
        <v>184</v>
      </c>
      <c r="B60" s="1" t="s">
        <v>99</v>
      </c>
      <c r="C60" s="1">
        <v>960.8627</v>
      </c>
      <c r="D60" s="1" t="s">
        <v>21</v>
      </c>
      <c r="E60" s="1" t="s">
        <v>18</v>
      </c>
      <c r="F60" s="1">
        <v>15.27</v>
      </c>
      <c r="G60" s="1">
        <v>94.05</v>
      </c>
      <c r="H60" s="1">
        <v>9.3545537622E10</v>
      </c>
      <c r="I60" s="1">
        <v>9.8590543085E10</v>
      </c>
      <c r="J60" s="2">
        <v>45390.09930555556</v>
      </c>
      <c r="K60" s="2">
        <v>45451.95347222222</v>
      </c>
      <c r="L60" s="1">
        <v>1.81</v>
      </c>
      <c r="M60" s="1">
        <v>1739.16</v>
      </c>
      <c r="N60" s="1">
        <v>1739.0</v>
      </c>
      <c r="O60" s="1">
        <v>144337.0</v>
      </c>
    </row>
    <row r="61">
      <c r="A61" s="1" t="s">
        <v>185</v>
      </c>
      <c r="B61" s="1" t="s">
        <v>83</v>
      </c>
      <c r="C61" s="1">
        <v>339.41</v>
      </c>
      <c r="D61" s="1" t="s">
        <v>17</v>
      </c>
      <c r="E61" s="1" t="s">
        <v>105</v>
      </c>
      <c r="F61" s="1">
        <v>88.22</v>
      </c>
      <c r="G61" s="1">
        <v>64.11</v>
      </c>
      <c r="H61" s="1">
        <v>9.0527835813E10</v>
      </c>
      <c r="I61" s="1">
        <v>9.2142710021E10</v>
      </c>
      <c r="J61" s="2">
        <v>45358.535416666666</v>
      </c>
      <c r="K61" s="2">
        <v>45542.518055555556</v>
      </c>
      <c r="L61" s="1">
        <v>4.35</v>
      </c>
      <c r="M61" s="1">
        <v>1476.43</v>
      </c>
      <c r="N61" s="1">
        <v>1476.0</v>
      </c>
      <c r="O61" s="1">
        <v>122508.0</v>
      </c>
    </row>
    <row r="62">
      <c r="A62" s="1" t="s">
        <v>186</v>
      </c>
      <c r="B62" s="1" t="s">
        <v>66</v>
      </c>
      <c r="C62" s="1">
        <v>132.8637</v>
      </c>
      <c r="D62" s="1" t="s">
        <v>17</v>
      </c>
      <c r="E62" s="1" t="s">
        <v>32</v>
      </c>
      <c r="F62" s="1">
        <v>68.3</v>
      </c>
      <c r="G62" s="1">
        <v>65.19</v>
      </c>
      <c r="H62" s="1">
        <v>6.7918645337E10</v>
      </c>
      <c r="I62" s="1">
        <v>7.3433835245E10</v>
      </c>
      <c r="J62" s="2">
        <v>45511.3125</v>
      </c>
      <c r="K62" s="2">
        <v>45542.888194444444</v>
      </c>
      <c r="L62" s="1">
        <v>1.39</v>
      </c>
      <c r="M62" s="1">
        <v>184.68</v>
      </c>
      <c r="N62" s="1">
        <v>185.0</v>
      </c>
      <c r="O62" s="1">
        <v>15355.0</v>
      </c>
    </row>
    <row r="63">
      <c r="A63" s="1" t="s">
        <v>187</v>
      </c>
      <c r="B63" s="1" t="s">
        <v>166</v>
      </c>
      <c r="C63" s="1">
        <v>102.9044</v>
      </c>
      <c r="D63" s="1" t="s">
        <v>21</v>
      </c>
      <c r="E63" s="1" t="s">
        <v>155</v>
      </c>
      <c r="F63" s="1">
        <v>91.67</v>
      </c>
      <c r="G63" s="1">
        <v>72.89</v>
      </c>
      <c r="H63" s="1">
        <v>9.5888780202E10</v>
      </c>
      <c r="I63" s="3">
        <v>1.05066E11</v>
      </c>
      <c r="J63" s="1" t="s">
        <v>188</v>
      </c>
      <c r="K63" s="2">
        <v>45390.21111111111</v>
      </c>
      <c r="L63" s="1">
        <v>3.33</v>
      </c>
      <c r="M63" s="1">
        <v>342.67</v>
      </c>
      <c r="N63" s="1">
        <v>343.0</v>
      </c>
      <c r="O63" s="1">
        <v>28469.0</v>
      </c>
    </row>
    <row r="64">
      <c r="A64" s="1" t="s">
        <v>189</v>
      </c>
      <c r="B64" s="1" t="s">
        <v>31</v>
      </c>
      <c r="C64" s="1">
        <v>271.0462</v>
      </c>
      <c r="D64" s="1" t="s">
        <v>21</v>
      </c>
      <c r="E64" s="1" t="s">
        <v>22</v>
      </c>
      <c r="F64" s="1">
        <v>74.75</v>
      </c>
      <c r="G64" s="1">
        <v>64.91</v>
      </c>
      <c r="H64" s="1">
        <v>4.4584192276E10</v>
      </c>
      <c r="I64" s="1">
        <v>4.7193477596E10</v>
      </c>
      <c r="J64" s="1" t="s">
        <v>190</v>
      </c>
      <c r="K64" s="1" t="s">
        <v>191</v>
      </c>
      <c r="L64" s="1">
        <v>4.93</v>
      </c>
      <c r="M64" s="1">
        <v>1336.26</v>
      </c>
      <c r="N64" s="1">
        <v>1336.0</v>
      </c>
      <c r="O64" s="1">
        <v>110888.0</v>
      </c>
    </row>
    <row r="65">
      <c r="A65" s="1" t="s">
        <v>192</v>
      </c>
      <c r="B65" s="1" t="s">
        <v>169</v>
      </c>
      <c r="C65" s="1">
        <v>940.1312</v>
      </c>
      <c r="D65" s="1" t="s">
        <v>17</v>
      </c>
      <c r="E65" s="1" t="s">
        <v>74</v>
      </c>
      <c r="F65" s="1">
        <v>67.13</v>
      </c>
      <c r="G65" s="1">
        <v>85.12</v>
      </c>
      <c r="H65" s="1">
        <v>3.6054564196E10</v>
      </c>
      <c r="I65" s="1">
        <v>3.7215668282E10</v>
      </c>
      <c r="J65" s="1" t="s">
        <v>193</v>
      </c>
      <c r="K65" s="1" t="s">
        <v>194</v>
      </c>
      <c r="L65" s="1">
        <v>7.7</v>
      </c>
      <c r="M65" s="1">
        <v>7239.01</v>
      </c>
      <c r="N65" s="1">
        <v>7239.0</v>
      </c>
      <c r="O65" s="1">
        <v>600837.0</v>
      </c>
    </row>
    <row r="66">
      <c r="A66" s="1" t="s">
        <v>195</v>
      </c>
      <c r="B66" s="1" t="s">
        <v>53</v>
      </c>
      <c r="C66" s="1">
        <v>789.3788</v>
      </c>
      <c r="D66" s="1" t="s">
        <v>21</v>
      </c>
      <c r="E66" s="1" t="s">
        <v>74</v>
      </c>
      <c r="F66" s="1">
        <v>32.32</v>
      </c>
      <c r="G66" s="1">
        <v>14.03</v>
      </c>
      <c r="H66" s="1">
        <v>9.7102223452E10</v>
      </c>
      <c r="I66" s="3">
        <v>1.03176E11</v>
      </c>
      <c r="J66" s="2">
        <v>45359.96527777778</v>
      </c>
      <c r="K66" s="2">
        <v>45420.73472222222</v>
      </c>
      <c r="L66" s="1">
        <v>6.17</v>
      </c>
      <c r="M66" s="1">
        <v>4870.47</v>
      </c>
      <c r="N66" s="1">
        <v>4870.0</v>
      </c>
      <c r="O66" s="1">
        <v>404210.0</v>
      </c>
    </row>
    <row r="67">
      <c r="A67" s="1" t="s">
        <v>196</v>
      </c>
      <c r="B67" s="1" t="s">
        <v>60</v>
      </c>
      <c r="C67" s="1">
        <v>64.1167</v>
      </c>
      <c r="D67" s="1" t="s">
        <v>42</v>
      </c>
      <c r="E67" s="1" t="s">
        <v>123</v>
      </c>
      <c r="F67" s="1">
        <v>46.3</v>
      </c>
      <c r="G67" s="1">
        <v>93.62</v>
      </c>
      <c r="H67" s="1">
        <v>6.652379505E10</v>
      </c>
      <c r="I67" s="1">
        <v>6.806967369E10</v>
      </c>
      <c r="J67" s="1" t="s">
        <v>197</v>
      </c>
      <c r="K67" s="1" t="s">
        <v>198</v>
      </c>
      <c r="L67" s="1">
        <v>2.07</v>
      </c>
      <c r="M67" s="1">
        <v>132.72</v>
      </c>
      <c r="N67" s="1">
        <v>133.0</v>
      </c>
      <c r="O67" s="1">
        <v>11039.0</v>
      </c>
    </row>
    <row r="68">
      <c r="A68" s="1" t="s">
        <v>199</v>
      </c>
      <c r="B68" s="1" t="s">
        <v>26</v>
      </c>
      <c r="C68" s="1">
        <v>804.4451</v>
      </c>
      <c r="D68" s="1" t="s">
        <v>17</v>
      </c>
      <c r="E68" s="1" t="s">
        <v>58</v>
      </c>
      <c r="F68" s="1">
        <v>99.56</v>
      </c>
      <c r="G68" s="1">
        <v>53.42</v>
      </c>
      <c r="H68" s="1">
        <v>5.0602995142E10</v>
      </c>
      <c r="I68" s="1">
        <v>5.948653596E10</v>
      </c>
      <c r="J68" s="2">
        <v>45419.05069444444</v>
      </c>
      <c r="K68" s="2">
        <v>45450.29791666667</v>
      </c>
      <c r="L68" s="1">
        <v>6.8</v>
      </c>
      <c r="M68" s="1">
        <v>5470.23</v>
      </c>
      <c r="N68" s="1">
        <v>5470.0</v>
      </c>
      <c r="O68" s="1">
        <v>454010.0</v>
      </c>
    </row>
    <row r="69">
      <c r="A69" s="1" t="s">
        <v>200</v>
      </c>
      <c r="B69" s="1" t="s">
        <v>128</v>
      </c>
      <c r="C69" s="1">
        <v>16.8701</v>
      </c>
      <c r="D69" s="1" t="s">
        <v>17</v>
      </c>
      <c r="E69" s="1" t="s">
        <v>37</v>
      </c>
      <c r="F69" s="1">
        <v>35.67</v>
      </c>
      <c r="G69" s="1">
        <v>78.98</v>
      </c>
      <c r="H69" s="1">
        <v>8.4728951352E10</v>
      </c>
      <c r="I69" s="1">
        <v>8.6143096111E10</v>
      </c>
      <c r="J69" s="1" t="s">
        <v>201</v>
      </c>
      <c r="K69" s="2">
        <v>45359.37152777778</v>
      </c>
      <c r="L69" s="1">
        <v>9.35</v>
      </c>
      <c r="M69" s="1">
        <v>157.74</v>
      </c>
      <c r="N69" s="1">
        <v>158.0</v>
      </c>
      <c r="O69" s="1">
        <v>13114.0</v>
      </c>
    </row>
    <row r="70">
      <c r="A70" s="1" t="s">
        <v>202</v>
      </c>
      <c r="B70" s="1" t="s">
        <v>183</v>
      </c>
      <c r="C70" s="1">
        <v>86.0206</v>
      </c>
      <c r="D70" s="1" t="s">
        <v>17</v>
      </c>
      <c r="E70" s="1" t="s">
        <v>105</v>
      </c>
      <c r="F70" s="1">
        <v>0.17</v>
      </c>
      <c r="G70" s="1">
        <v>34.07</v>
      </c>
      <c r="H70" s="1">
        <v>4.991176366E9</v>
      </c>
      <c r="I70" s="1">
        <v>8.627486927E9</v>
      </c>
      <c r="J70" s="1" t="s">
        <v>203</v>
      </c>
      <c r="K70" s="1" t="s">
        <v>204</v>
      </c>
      <c r="L70" s="1">
        <v>8.54</v>
      </c>
      <c r="M70" s="1">
        <v>734.62</v>
      </c>
      <c r="N70" s="1">
        <v>735.0</v>
      </c>
      <c r="O70" s="1">
        <v>61005.0</v>
      </c>
    </row>
    <row r="71">
      <c r="A71" s="1" t="s">
        <v>205</v>
      </c>
      <c r="B71" s="1" t="s">
        <v>16</v>
      </c>
      <c r="C71" s="1">
        <v>107.9329</v>
      </c>
      <c r="D71" s="1" t="s">
        <v>17</v>
      </c>
      <c r="E71" s="1" t="s">
        <v>27</v>
      </c>
      <c r="F71" s="1">
        <v>97.14</v>
      </c>
      <c r="G71" s="1">
        <v>54.14</v>
      </c>
      <c r="H71" s="1">
        <v>9.1345077372E10</v>
      </c>
      <c r="I71" s="1">
        <v>9.5871025046E10</v>
      </c>
      <c r="J71" s="2">
        <v>45450.47083333333</v>
      </c>
      <c r="K71" s="2">
        <v>45633.08611111111</v>
      </c>
      <c r="L71" s="1">
        <v>4.22</v>
      </c>
      <c r="M71" s="1">
        <v>455.48</v>
      </c>
      <c r="N71" s="1">
        <v>455.0</v>
      </c>
      <c r="O71" s="1">
        <v>37765.0</v>
      </c>
    </row>
    <row r="72">
      <c r="A72" s="1" t="s">
        <v>206</v>
      </c>
      <c r="B72" s="1" t="s">
        <v>83</v>
      </c>
      <c r="C72" s="1">
        <v>410.0347</v>
      </c>
      <c r="D72" s="1" t="s">
        <v>17</v>
      </c>
      <c r="E72" s="1" t="s">
        <v>18</v>
      </c>
      <c r="F72" s="1">
        <v>24.22</v>
      </c>
      <c r="G72" s="1">
        <v>20.83</v>
      </c>
      <c r="H72" s="1">
        <v>6.9278146151E10</v>
      </c>
      <c r="I72" s="1">
        <v>7.2893012474E10</v>
      </c>
      <c r="J72" s="2">
        <v>45480.708333333336</v>
      </c>
      <c r="K72" s="2">
        <v>45633.30694444444</v>
      </c>
      <c r="L72" s="1">
        <v>5.01</v>
      </c>
      <c r="M72" s="1">
        <v>2054.27</v>
      </c>
      <c r="N72" s="1">
        <v>2054.0</v>
      </c>
      <c r="O72" s="1">
        <v>170482.0</v>
      </c>
    </row>
    <row r="73">
      <c r="A73" s="1" t="s">
        <v>207</v>
      </c>
      <c r="B73" s="1" t="s">
        <v>112</v>
      </c>
      <c r="C73" s="1">
        <v>58.0667</v>
      </c>
      <c r="D73" s="1" t="s">
        <v>42</v>
      </c>
      <c r="E73" s="1" t="s">
        <v>27</v>
      </c>
      <c r="F73" s="1">
        <v>21.65</v>
      </c>
      <c r="G73" s="1">
        <v>16.41</v>
      </c>
      <c r="H73" s="1">
        <v>6.419077674E9</v>
      </c>
      <c r="I73" s="1">
        <v>1.2557263383E10</v>
      </c>
      <c r="J73" s="1" t="s">
        <v>208</v>
      </c>
      <c r="K73" s="1" t="s">
        <v>209</v>
      </c>
      <c r="L73" s="1">
        <v>3.48</v>
      </c>
      <c r="M73" s="1">
        <v>202.07</v>
      </c>
      <c r="N73" s="1">
        <v>202.0</v>
      </c>
      <c r="O73" s="1">
        <v>16766.0</v>
      </c>
    </row>
    <row r="74">
      <c r="A74" s="1" t="s">
        <v>210</v>
      </c>
      <c r="B74" s="1" t="s">
        <v>79</v>
      </c>
      <c r="C74" s="1">
        <v>868.3373</v>
      </c>
      <c r="D74" s="1" t="s">
        <v>21</v>
      </c>
      <c r="E74" s="1" t="s">
        <v>32</v>
      </c>
      <c r="F74" s="1">
        <v>48.26</v>
      </c>
      <c r="G74" s="1">
        <v>26.13</v>
      </c>
      <c r="H74" s="1">
        <v>8.6582029073E10</v>
      </c>
      <c r="I74" s="1">
        <v>9.1881245355E10</v>
      </c>
      <c r="J74" s="1" t="s">
        <v>211</v>
      </c>
      <c r="K74" s="1" t="s">
        <v>212</v>
      </c>
      <c r="L74" s="1">
        <v>8.91</v>
      </c>
      <c r="M74" s="1">
        <v>7736.89</v>
      </c>
      <c r="N74" s="1">
        <v>7737.0</v>
      </c>
      <c r="O74" s="1">
        <v>642171.0</v>
      </c>
    </row>
    <row r="75">
      <c r="A75" s="1" t="s">
        <v>213</v>
      </c>
      <c r="B75" s="1" t="s">
        <v>60</v>
      </c>
      <c r="C75" s="1">
        <v>103.5667</v>
      </c>
      <c r="D75" s="1" t="s">
        <v>42</v>
      </c>
      <c r="E75" s="1" t="s">
        <v>32</v>
      </c>
      <c r="F75" s="1">
        <v>64.54</v>
      </c>
      <c r="G75" s="1">
        <v>62.33</v>
      </c>
      <c r="H75" s="1">
        <v>7.6959968688E10</v>
      </c>
      <c r="I75" s="1">
        <v>8.4668376889E10</v>
      </c>
      <c r="J75" s="2">
        <v>45330.99652777778</v>
      </c>
      <c r="K75" s="2">
        <v>45481.31180555555</v>
      </c>
      <c r="L75" s="1">
        <v>4.88</v>
      </c>
      <c r="M75" s="1">
        <v>505.41</v>
      </c>
      <c r="N75" s="1">
        <v>505.0</v>
      </c>
      <c r="O75" s="1">
        <v>41915.0</v>
      </c>
    </row>
    <row r="76">
      <c r="A76" s="1" t="s">
        <v>214</v>
      </c>
      <c r="B76" s="1" t="s">
        <v>66</v>
      </c>
      <c r="C76" s="1">
        <v>511.4297</v>
      </c>
      <c r="D76" s="1" t="s">
        <v>21</v>
      </c>
      <c r="E76" s="1" t="s">
        <v>18</v>
      </c>
      <c r="F76" s="1">
        <v>14.87</v>
      </c>
      <c r="G76" s="1">
        <v>73.22</v>
      </c>
      <c r="H76" s="1">
        <v>6.0637102983E10</v>
      </c>
      <c r="I76" s="1">
        <v>6.8397913897E10</v>
      </c>
      <c r="J76" s="1" t="s">
        <v>215</v>
      </c>
      <c r="K76" s="1" t="s">
        <v>216</v>
      </c>
      <c r="L76" s="1">
        <v>2.0</v>
      </c>
      <c r="M76" s="1">
        <v>1022.86</v>
      </c>
      <c r="N76" s="1">
        <v>1023.0</v>
      </c>
      <c r="O76" s="1">
        <v>84909.0</v>
      </c>
    </row>
    <row r="77">
      <c r="A77" s="1" t="s">
        <v>217</v>
      </c>
      <c r="B77" s="1" t="s">
        <v>46</v>
      </c>
      <c r="C77" s="1">
        <v>536.385</v>
      </c>
      <c r="D77" s="1" t="s">
        <v>21</v>
      </c>
      <c r="E77" s="1" t="s">
        <v>37</v>
      </c>
      <c r="F77" s="1">
        <v>58.59</v>
      </c>
      <c r="G77" s="1">
        <v>56.39</v>
      </c>
      <c r="H77" s="1">
        <v>1.1254718888E10</v>
      </c>
      <c r="I77" s="1">
        <v>1.5903336432E10</v>
      </c>
      <c r="J77" s="1" t="s">
        <v>218</v>
      </c>
      <c r="K77" s="2">
        <v>45331.972916666666</v>
      </c>
      <c r="L77" s="1">
        <v>1.37</v>
      </c>
      <c r="M77" s="1">
        <v>734.85</v>
      </c>
      <c r="N77" s="1">
        <v>735.0</v>
      </c>
      <c r="O77" s="1">
        <v>61005.0</v>
      </c>
    </row>
    <row r="78">
      <c r="A78" s="1" t="s">
        <v>219</v>
      </c>
      <c r="B78" s="1" t="s">
        <v>62</v>
      </c>
      <c r="C78" s="1">
        <v>50.7833</v>
      </c>
      <c r="D78" s="1" t="s">
        <v>42</v>
      </c>
      <c r="E78" s="1" t="s">
        <v>32</v>
      </c>
      <c r="F78" s="1">
        <v>62.22</v>
      </c>
      <c r="G78" s="1">
        <v>76.15</v>
      </c>
      <c r="H78" s="1">
        <v>2.0012839291E10</v>
      </c>
      <c r="I78" s="1">
        <v>2.4993496937E10</v>
      </c>
      <c r="J78" s="1" t="s">
        <v>220</v>
      </c>
      <c r="K78" s="1" t="s">
        <v>221</v>
      </c>
      <c r="L78" s="1">
        <v>3.31</v>
      </c>
      <c r="M78" s="1">
        <v>168.09</v>
      </c>
      <c r="N78" s="1">
        <v>168.0</v>
      </c>
      <c r="O78" s="1">
        <v>13944.0</v>
      </c>
    </row>
    <row r="79">
      <c r="A79" s="1" t="s">
        <v>222</v>
      </c>
      <c r="B79" s="1" t="s">
        <v>183</v>
      </c>
      <c r="C79" s="1">
        <v>755.6246</v>
      </c>
      <c r="D79" s="1" t="s">
        <v>21</v>
      </c>
      <c r="E79" s="1" t="s">
        <v>22</v>
      </c>
      <c r="F79" s="1">
        <v>40.49</v>
      </c>
      <c r="G79" s="1">
        <v>63.72</v>
      </c>
      <c r="H79" s="1">
        <v>9.4863560207E10</v>
      </c>
      <c r="I79" s="3">
        <v>1.02431E11</v>
      </c>
      <c r="J79" s="2">
        <v>45572.013194444444</v>
      </c>
      <c r="K79" s="1" t="s">
        <v>223</v>
      </c>
      <c r="L79" s="1">
        <v>7.33</v>
      </c>
      <c r="M79" s="1">
        <v>5538.73</v>
      </c>
      <c r="N79" s="1">
        <v>5539.0</v>
      </c>
      <c r="O79" s="1">
        <v>459737.0</v>
      </c>
    </row>
    <row r="80">
      <c r="A80" s="1" t="s">
        <v>224</v>
      </c>
      <c r="B80" s="1" t="s">
        <v>122</v>
      </c>
      <c r="C80" s="1">
        <v>500.0325</v>
      </c>
      <c r="D80" s="1" t="s">
        <v>17</v>
      </c>
      <c r="E80" s="1" t="s">
        <v>70</v>
      </c>
      <c r="F80" s="1">
        <v>8.38</v>
      </c>
      <c r="G80" s="1">
        <v>45.3</v>
      </c>
      <c r="H80" s="1">
        <v>3.95751099E10</v>
      </c>
      <c r="I80" s="1">
        <v>4.8363862744E10</v>
      </c>
      <c r="J80" s="1" t="s">
        <v>225</v>
      </c>
      <c r="K80" s="1" t="s">
        <v>226</v>
      </c>
      <c r="L80" s="1">
        <v>2.46</v>
      </c>
      <c r="M80" s="1">
        <v>1230.08</v>
      </c>
      <c r="N80" s="1">
        <v>1230.0</v>
      </c>
      <c r="O80" s="1">
        <v>102090.0</v>
      </c>
    </row>
    <row r="81">
      <c r="A81" s="1" t="s">
        <v>227</v>
      </c>
      <c r="B81" s="1" t="s">
        <v>83</v>
      </c>
      <c r="C81" s="1">
        <v>647.2573</v>
      </c>
      <c r="D81" s="1" t="s">
        <v>17</v>
      </c>
      <c r="E81" s="1" t="s">
        <v>22</v>
      </c>
      <c r="F81" s="1">
        <v>83.58</v>
      </c>
      <c r="G81" s="1">
        <v>21.8</v>
      </c>
      <c r="H81" s="1">
        <v>6.9192548519E10</v>
      </c>
      <c r="I81" s="1">
        <v>7.4267252272E10</v>
      </c>
      <c r="J81" s="1" t="s">
        <v>228</v>
      </c>
      <c r="K81" s="1" t="s">
        <v>229</v>
      </c>
      <c r="L81" s="1">
        <v>5.94</v>
      </c>
      <c r="M81" s="1">
        <v>3844.71</v>
      </c>
      <c r="N81" s="1">
        <v>3845.0</v>
      </c>
      <c r="O81" s="1">
        <v>319135.0</v>
      </c>
    </row>
    <row r="82">
      <c r="A82" s="1" t="s">
        <v>230</v>
      </c>
      <c r="B82" s="1" t="s">
        <v>36</v>
      </c>
      <c r="C82" s="1">
        <v>325.0195</v>
      </c>
      <c r="D82" s="1" t="s">
        <v>17</v>
      </c>
      <c r="E82" s="1" t="s">
        <v>27</v>
      </c>
      <c r="F82" s="1">
        <v>7.74</v>
      </c>
      <c r="G82" s="1">
        <v>32.63</v>
      </c>
      <c r="H82" s="1">
        <v>4.134917123E9</v>
      </c>
      <c r="I82" s="1">
        <v>1.1405712912E10</v>
      </c>
      <c r="J82" s="2">
        <v>45359.69652777778</v>
      </c>
      <c r="K82" s="2">
        <v>45512.91875</v>
      </c>
      <c r="L82" s="1">
        <v>9.87</v>
      </c>
      <c r="M82" s="1">
        <v>3207.94</v>
      </c>
      <c r="N82" s="1">
        <v>3208.0</v>
      </c>
      <c r="O82" s="1">
        <v>266264.0</v>
      </c>
    </row>
    <row r="83">
      <c r="A83" s="1" t="s">
        <v>231</v>
      </c>
      <c r="B83" s="1" t="s">
        <v>16</v>
      </c>
      <c r="C83" s="1">
        <v>876.9623</v>
      </c>
      <c r="D83" s="1" t="s">
        <v>17</v>
      </c>
      <c r="E83" s="1" t="s">
        <v>58</v>
      </c>
      <c r="F83" s="1">
        <v>69.75</v>
      </c>
      <c r="G83" s="1">
        <v>67.91</v>
      </c>
      <c r="H83" s="1">
        <v>4.8325139711E10</v>
      </c>
      <c r="I83" s="1">
        <v>4.8893087132E10</v>
      </c>
      <c r="J83" s="2">
        <v>45450.69027777778</v>
      </c>
      <c r="K83" s="2">
        <v>45542.39791666667</v>
      </c>
      <c r="L83" s="1">
        <v>9.61</v>
      </c>
      <c r="M83" s="1">
        <v>8427.61</v>
      </c>
      <c r="N83" s="1">
        <v>8428.0</v>
      </c>
      <c r="O83" s="1">
        <v>699524.0</v>
      </c>
    </row>
    <row r="84">
      <c r="A84" s="1" t="s">
        <v>232</v>
      </c>
      <c r="B84" s="1" t="s">
        <v>169</v>
      </c>
      <c r="C84" s="1">
        <v>324.1135</v>
      </c>
      <c r="D84" s="1" t="s">
        <v>21</v>
      </c>
      <c r="E84" s="1" t="s">
        <v>22</v>
      </c>
      <c r="F84" s="1">
        <v>53.21</v>
      </c>
      <c r="G84" s="1">
        <v>24.7</v>
      </c>
      <c r="H84" s="1">
        <v>5.6424730118E10</v>
      </c>
      <c r="I84" s="1">
        <v>6.4549627602E10</v>
      </c>
      <c r="J84" s="1" t="s">
        <v>233</v>
      </c>
      <c r="K84" s="1" t="s">
        <v>234</v>
      </c>
      <c r="L84" s="1">
        <v>9.12</v>
      </c>
      <c r="M84" s="1">
        <v>2955.92</v>
      </c>
      <c r="N84" s="1">
        <v>2956.0</v>
      </c>
      <c r="O84" s="1">
        <v>245348.0</v>
      </c>
    </row>
    <row r="85">
      <c r="A85" s="1" t="s">
        <v>235</v>
      </c>
      <c r="B85" s="1" t="s">
        <v>46</v>
      </c>
      <c r="C85" s="1">
        <v>269.1385</v>
      </c>
      <c r="D85" s="1" t="s">
        <v>21</v>
      </c>
      <c r="E85" s="1" t="s">
        <v>105</v>
      </c>
      <c r="F85" s="1">
        <v>0.15</v>
      </c>
      <c r="G85" s="1">
        <v>73.37</v>
      </c>
      <c r="H85" s="1">
        <v>8.9921435525E10</v>
      </c>
      <c r="I85" s="1">
        <v>9.6947138575E10</v>
      </c>
      <c r="J85" s="1" t="s">
        <v>236</v>
      </c>
      <c r="K85" s="1" t="s">
        <v>237</v>
      </c>
      <c r="L85" s="1">
        <v>4.86</v>
      </c>
      <c r="M85" s="1">
        <v>1308.01</v>
      </c>
      <c r="N85" s="1">
        <v>1308.0</v>
      </c>
      <c r="O85" s="1">
        <v>108564.0</v>
      </c>
    </row>
    <row r="86">
      <c r="A86" s="1" t="s">
        <v>238</v>
      </c>
      <c r="B86" s="1" t="s">
        <v>53</v>
      </c>
      <c r="C86" s="1">
        <v>955.6515</v>
      </c>
      <c r="D86" s="1" t="s">
        <v>21</v>
      </c>
      <c r="E86" s="1" t="s">
        <v>27</v>
      </c>
      <c r="F86" s="1">
        <v>17.81</v>
      </c>
      <c r="G86" s="1">
        <v>79.33</v>
      </c>
      <c r="H86" s="1">
        <v>1.9838594075E10</v>
      </c>
      <c r="I86" s="1">
        <v>1.9871372484E10</v>
      </c>
      <c r="J86" s="1" t="s">
        <v>239</v>
      </c>
      <c r="K86" s="1" t="s">
        <v>240</v>
      </c>
      <c r="L86" s="1">
        <v>2.79</v>
      </c>
      <c r="M86" s="1">
        <v>2666.27</v>
      </c>
      <c r="N86" s="1">
        <v>2666.0</v>
      </c>
      <c r="O86" s="1">
        <v>221278.0</v>
      </c>
    </row>
    <row r="87">
      <c r="A87" s="1" t="s">
        <v>241</v>
      </c>
      <c r="B87" s="1" t="s">
        <v>66</v>
      </c>
      <c r="C87" s="1">
        <v>251.7631</v>
      </c>
      <c r="D87" s="1" t="s">
        <v>21</v>
      </c>
      <c r="E87" s="1" t="s">
        <v>74</v>
      </c>
      <c r="F87" s="1">
        <v>48.02</v>
      </c>
      <c r="G87" s="1">
        <v>36.94</v>
      </c>
      <c r="H87" s="1">
        <v>1.7720150775E10</v>
      </c>
      <c r="I87" s="1">
        <v>2.1629763823E10</v>
      </c>
      <c r="J87" s="2">
        <v>45480.58541666667</v>
      </c>
      <c r="K87" s="2">
        <v>45603.46527777778</v>
      </c>
      <c r="L87" s="1">
        <v>5.91</v>
      </c>
      <c r="M87" s="1">
        <v>1487.92</v>
      </c>
      <c r="N87" s="1">
        <v>1488.0</v>
      </c>
      <c r="O87" s="1">
        <v>123504.0</v>
      </c>
    </row>
    <row r="88">
      <c r="A88" s="1" t="s">
        <v>242</v>
      </c>
      <c r="B88" s="1" t="s">
        <v>79</v>
      </c>
      <c r="C88" s="1">
        <v>474.1196</v>
      </c>
      <c r="D88" s="1" t="s">
        <v>21</v>
      </c>
      <c r="E88" s="1" t="s">
        <v>74</v>
      </c>
      <c r="F88" s="1">
        <v>99.31</v>
      </c>
      <c r="G88" s="1">
        <v>49.17</v>
      </c>
      <c r="H88" s="1">
        <v>2.3586761723E10</v>
      </c>
      <c r="I88" s="1">
        <v>2.3997356455E10</v>
      </c>
      <c r="J88" s="1" t="s">
        <v>243</v>
      </c>
      <c r="K88" s="1" t="s">
        <v>244</v>
      </c>
      <c r="L88" s="1">
        <v>9.93</v>
      </c>
      <c r="M88" s="1">
        <v>4708.01</v>
      </c>
      <c r="N88" s="1">
        <v>4708.0</v>
      </c>
      <c r="O88" s="1">
        <v>390764.0</v>
      </c>
    </row>
    <row r="89">
      <c r="A89" s="1" t="s">
        <v>245</v>
      </c>
      <c r="B89" s="1" t="s">
        <v>183</v>
      </c>
      <c r="C89" s="1">
        <v>992.5085</v>
      </c>
      <c r="D89" s="1" t="s">
        <v>17</v>
      </c>
      <c r="E89" s="1" t="s">
        <v>74</v>
      </c>
      <c r="F89" s="1">
        <v>43.51</v>
      </c>
      <c r="G89" s="1">
        <v>62.0</v>
      </c>
      <c r="H89" s="1">
        <v>1.9452817894E10</v>
      </c>
      <c r="I89" s="1">
        <v>2.0430806523E10</v>
      </c>
      <c r="J89" s="2">
        <v>45634.20486111111</v>
      </c>
      <c r="K89" s="1" t="s">
        <v>246</v>
      </c>
      <c r="L89" s="1">
        <v>7.17</v>
      </c>
      <c r="M89" s="1">
        <v>7116.29</v>
      </c>
      <c r="N89" s="1">
        <v>7116.0</v>
      </c>
      <c r="O89" s="1">
        <v>590628.0</v>
      </c>
    </row>
    <row r="90">
      <c r="A90" s="1" t="s">
        <v>247</v>
      </c>
      <c r="B90" s="1" t="s">
        <v>122</v>
      </c>
      <c r="C90" s="1">
        <v>531.6863</v>
      </c>
      <c r="D90" s="1" t="s">
        <v>21</v>
      </c>
      <c r="E90" s="1" t="s">
        <v>123</v>
      </c>
      <c r="F90" s="1">
        <v>53.93</v>
      </c>
      <c r="G90" s="1">
        <v>12.52</v>
      </c>
      <c r="H90" s="1">
        <v>3.696418486E9</v>
      </c>
      <c r="I90" s="1">
        <v>1.27766583E10</v>
      </c>
      <c r="J90" s="2">
        <v>45329.78194444445</v>
      </c>
      <c r="K90" s="2">
        <v>45480.10208333333</v>
      </c>
      <c r="L90" s="1">
        <v>9.6</v>
      </c>
      <c r="M90" s="1">
        <v>5104.19</v>
      </c>
      <c r="N90" s="1">
        <v>5104.0</v>
      </c>
      <c r="O90" s="1">
        <v>423632.0</v>
      </c>
    </row>
    <row r="91">
      <c r="A91" s="1" t="s">
        <v>248</v>
      </c>
      <c r="B91" s="1" t="s">
        <v>41</v>
      </c>
      <c r="C91" s="1">
        <v>26.6167</v>
      </c>
      <c r="D91" s="1" t="s">
        <v>42</v>
      </c>
      <c r="E91" s="1" t="s">
        <v>74</v>
      </c>
      <c r="F91" s="1">
        <v>14.82</v>
      </c>
      <c r="G91" s="1">
        <v>44.84</v>
      </c>
      <c r="H91" s="1">
        <v>8.8644466509E10</v>
      </c>
      <c r="I91" s="1">
        <v>8.8993172945E10</v>
      </c>
      <c r="J91" s="2">
        <v>45512.20625</v>
      </c>
      <c r="K91" s="2">
        <v>45543.31527777778</v>
      </c>
      <c r="L91" s="1">
        <v>6.88</v>
      </c>
      <c r="M91" s="1">
        <v>183.12</v>
      </c>
      <c r="N91" s="1">
        <v>183.0</v>
      </c>
      <c r="O91" s="1">
        <v>15189.0</v>
      </c>
    </row>
    <row r="92">
      <c r="A92" s="1" t="s">
        <v>249</v>
      </c>
      <c r="B92" s="1" t="s">
        <v>79</v>
      </c>
      <c r="C92" s="1">
        <v>555.9826</v>
      </c>
      <c r="D92" s="1" t="s">
        <v>17</v>
      </c>
      <c r="E92" s="1" t="s">
        <v>27</v>
      </c>
      <c r="F92" s="1">
        <v>2.24</v>
      </c>
      <c r="G92" s="1">
        <v>9.65</v>
      </c>
      <c r="H92" s="1">
        <v>3.0995393336E10</v>
      </c>
      <c r="I92" s="1">
        <v>3.4105264509E10</v>
      </c>
      <c r="J92" s="1" t="s">
        <v>250</v>
      </c>
      <c r="K92" s="1" t="s">
        <v>251</v>
      </c>
      <c r="L92" s="1">
        <v>4.35</v>
      </c>
      <c r="M92" s="1">
        <v>2418.52</v>
      </c>
      <c r="N92" s="1">
        <v>2419.0</v>
      </c>
      <c r="O92" s="1">
        <v>200777.0</v>
      </c>
    </row>
    <row r="93">
      <c r="A93" s="1" t="s">
        <v>252</v>
      </c>
      <c r="B93" s="1" t="s">
        <v>183</v>
      </c>
      <c r="C93" s="1">
        <v>335.4807</v>
      </c>
      <c r="D93" s="1" t="s">
        <v>21</v>
      </c>
      <c r="E93" s="1" t="s">
        <v>105</v>
      </c>
      <c r="F93" s="1">
        <v>74.51</v>
      </c>
      <c r="G93" s="1">
        <v>0.51</v>
      </c>
      <c r="H93" s="1">
        <v>4.3819259319E10</v>
      </c>
      <c r="I93" s="1">
        <v>4.5650656604E10</v>
      </c>
      <c r="J93" s="1" t="s">
        <v>253</v>
      </c>
      <c r="K93" s="1" t="s">
        <v>254</v>
      </c>
      <c r="L93" s="1">
        <v>9.23</v>
      </c>
      <c r="M93" s="1">
        <v>3096.49</v>
      </c>
      <c r="N93" s="1">
        <v>3096.0</v>
      </c>
      <c r="O93" s="1">
        <v>256968.0</v>
      </c>
    </row>
    <row r="94">
      <c r="A94" s="1" t="s">
        <v>255</v>
      </c>
      <c r="B94" s="1" t="s">
        <v>166</v>
      </c>
      <c r="C94" s="1">
        <v>906.43</v>
      </c>
      <c r="D94" s="1" t="s">
        <v>17</v>
      </c>
      <c r="E94" s="1" t="s">
        <v>54</v>
      </c>
      <c r="F94" s="1">
        <v>97.03</v>
      </c>
      <c r="G94" s="1">
        <v>1.48</v>
      </c>
      <c r="H94" s="1">
        <v>1.6632427891E10</v>
      </c>
      <c r="I94" s="1">
        <v>1.7804809971E10</v>
      </c>
      <c r="J94" s="2">
        <v>45542.38958333333</v>
      </c>
      <c r="K94" s="1" t="s">
        <v>256</v>
      </c>
      <c r="L94" s="1">
        <v>3.33</v>
      </c>
      <c r="M94" s="1">
        <v>3018.41</v>
      </c>
      <c r="N94" s="1">
        <v>3018.0</v>
      </c>
      <c r="O94" s="1">
        <v>250494.0</v>
      </c>
    </row>
    <row r="95">
      <c r="A95" s="1" t="s">
        <v>257</v>
      </c>
      <c r="B95" s="1" t="s">
        <v>31</v>
      </c>
      <c r="C95" s="1">
        <v>385.5739</v>
      </c>
      <c r="D95" s="1" t="s">
        <v>17</v>
      </c>
      <c r="E95" s="1" t="s">
        <v>54</v>
      </c>
      <c r="F95" s="1">
        <v>69.4</v>
      </c>
      <c r="G95" s="1">
        <v>27.67</v>
      </c>
      <c r="H95" s="1">
        <v>6.2397005339E10</v>
      </c>
      <c r="I95" s="1">
        <v>7.2290287263E10</v>
      </c>
      <c r="J95" s="1" t="s">
        <v>258</v>
      </c>
      <c r="K95" s="1" t="s">
        <v>259</v>
      </c>
      <c r="L95" s="1">
        <v>4.56</v>
      </c>
      <c r="M95" s="1">
        <v>1758.22</v>
      </c>
      <c r="N95" s="1">
        <v>1758.0</v>
      </c>
      <c r="O95" s="1">
        <v>145914.0</v>
      </c>
    </row>
    <row r="96">
      <c r="A96" s="1" t="s">
        <v>260</v>
      </c>
      <c r="B96" s="1" t="s">
        <v>41</v>
      </c>
      <c r="C96" s="1">
        <v>127.3833</v>
      </c>
      <c r="D96" s="1" t="s">
        <v>42</v>
      </c>
      <c r="E96" s="1" t="s">
        <v>155</v>
      </c>
      <c r="F96" s="1">
        <v>9.36</v>
      </c>
      <c r="G96" s="1">
        <v>66.82</v>
      </c>
      <c r="H96" s="1">
        <v>1.1088197445E10</v>
      </c>
      <c r="I96" s="1">
        <v>1.7528929285E10</v>
      </c>
      <c r="J96" s="2">
        <v>45573.72222222222</v>
      </c>
      <c r="K96" s="1" t="s">
        <v>261</v>
      </c>
      <c r="L96" s="1">
        <v>9.75</v>
      </c>
      <c r="M96" s="1">
        <v>1241.99</v>
      </c>
      <c r="N96" s="1">
        <v>1242.0</v>
      </c>
      <c r="O96" s="1">
        <v>103086.0</v>
      </c>
    </row>
    <row r="97">
      <c r="A97" s="1" t="s">
        <v>262</v>
      </c>
      <c r="B97" s="1" t="s">
        <v>36</v>
      </c>
      <c r="C97" s="1">
        <v>587.1242</v>
      </c>
      <c r="D97" s="1" t="s">
        <v>21</v>
      </c>
      <c r="E97" s="1" t="s">
        <v>22</v>
      </c>
      <c r="F97" s="1">
        <v>24.73</v>
      </c>
      <c r="G97" s="1">
        <v>11.63</v>
      </c>
      <c r="H97" s="1">
        <v>3.8218995247E10</v>
      </c>
      <c r="I97" s="1">
        <v>4.6836316447E10</v>
      </c>
      <c r="J97" s="2">
        <v>45329.04027777778</v>
      </c>
      <c r="K97" s="2">
        <v>45450.05069444444</v>
      </c>
      <c r="L97" s="1">
        <v>6.25</v>
      </c>
      <c r="M97" s="1">
        <v>3669.53</v>
      </c>
      <c r="N97" s="1">
        <v>3670.0</v>
      </c>
      <c r="O97" s="1">
        <v>304610.0</v>
      </c>
    </row>
    <row r="98">
      <c r="A98" s="1" t="s">
        <v>263</v>
      </c>
      <c r="B98" s="1" t="s">
        <v>128</v>
      </c>
      <c r="C98" s="1">
        <v>385.5698</v>
      </c>
      <c r="D98" s="1" t="s">
        <v>17</v>
      </c>
      <c r="E98" s="1" t="s">
        <v>22</v>
      </c>
      <c r="F98" s="1">
        <v>92.06</v>
      </c>
      <c r="G98" s="1">
        <v>55.33</v>
      </c>
      <c r="H98" s="1">
        <v>2.8186130091E10</v>
      </c>
      <c r="I98" s="1">
        <v>3.6292243677E10</v>
      </c>
      <c r="J98" s="1" t="s">
        <v>264</v>
      </c>
      <c r="K98" s="1" t="s">
        <v>265</v>
      </c>
      <c r="L98" s="1">
        <v>7.44</v>
      </c>
      <c r="M98" s="1">
        <v>2868.64</v>
      </c>
      <c r="N98" s="1">
        <v>2869.0</v>
      </c>
      <c r="O98" s="1">
        <v>238127.0</v>
      </c>
    </row>
    <row r="99">
      <c r="A99" s="1" t="s">
        <v>266</v>
      </c>
      <c r="B99" s="1" t="s">
        <v>147</v>
      </c>
      <c r="C99" s="1">
        <v>85.8</v>
      </c>
      <c r="D99" s="1" t="s">
        <v>42</v>
      </c>
      <c r="E99" s="1" t="s">
        <v>70</v>
      </c>
      <c r="F99" s="1">
        <v>56.82</v>
      </c>
      <c r="G99" s="1">
        <v>65.99</v>
      </c>
      <c r="H99" s="1">
        <v>3.3548048805E10</v>
      </c>
      <c r="I99" s="1">
        <v>3.6196607093E10</v>
      </c>
      <c r="J99" s="1" t="s">
        <v>267</v>
      </c>
      <c r="K99" s="2">
        <v>45389.35763888889</v>
      </c>
      <c r="L99" s="1">
        <v>2.15</v>
      </c>
      <c r="M99" s="1">
        <v>184.47</v>
      </c>
      <c r="N99" s="1">
        <v>184.0</v>
      </c>
      <c r="O99" s="1">
        <v>15272.0</v>
      </c>
    </row>
    <row r="100">
      <c r="A100" s="1" t="s">
        <v>268</v>
      </c>
      <c r="B100" s="1" t="s">
        <v>41</v>
      </c>
      <c r="C100" s="1">
        <v>135.0333</v>
      </c>
      <c r="D100" s="1" t="s">
        <v>42</v>
      </c>
      <c r="E100" s="1" t="s">
        <v>27</v>
      </c>
      <c r="F100" s="1">
        <v>88.6</v>
      </c>
      <c r="G100" s="1">
        <v>1.48</v>
      </c>
      <c r="H100" s="1">
        <v>1.5437392711E10</v>
      </c>
      <c r="I100" s="1">
        <v>1.869210546E10</v>
      </c>
      <c r="J100" s="2">
        <v>45634.9375</v>
      </c>
      <c r="K100" s="1" t="s">
        <v>269</v>
      </c>
      <c r="L100" s="1">
        <v>2.27</v>
      </c>
      <c r="M100" s="1">
        <v>306.53</v>
      </c>
      <c r="N100" s="1">
        <v>307.0</v>
      </c>
      <c r="O100" s="1">
        <v>25481.0</v>
      </c>
    </row>
    <row r="101">
      <c r="A101" s="1" t="s">
        <v>270</v>
      </c>
      <c r="B101" s="1" t="s">
        <v>57</v>
      </c>
      <c r="C101" s="1">
        <v>597.679</v>
      </c>
      <c r="D101" s="1" t="s">
        <v>17</v>
      </c>
      <c r="E101" s="1" t="s">
        <v>155</v>
      </c>
      <c r="F101" s="1">
        <v>35.52</v>
      </c>
      <c r="G101" s="1">
        <v>38.97</v>
      </c>
      <c r="H101" s="1">
        <v>2.044183245E10</v>
      </c>
      <c r="I101" s="1">
        <v>2.9605942425E10</v>
      </c>
      <c r="J101" s="1" t="s">
        <v>271</v>
      </c>
      <c r="K101" s="2">
        <v>45299.59583333333</v>
      </c>
      <c r="L101" s="1">
        <v>8.21</v>
      </c>
      <c r="M101" s="1">
        <v>4906.94</v>
      </c>
      <c r="N101" s="1">
        <v>4907.0</v>
      </c>
      <c r="O101" s="1">
        <v>407281.0</v>
      </c>
    </row>
    <row r="102">
      <c r="A102" s="1" t="s">
        <v>272</v>
      </c>
      <c r="B102" s="1" t="s">
        <v>273</v>
      </c>
      <c r="C102" s="1">
        <v>359.8386</v>
      </c>
      <c r="D102" s="1" t="s">
        <v>21</v>
      </c>
      <c r="E102" s="1" t="s">
        <v>54</v>
      </c>
      <c r="F102" s="1">
        <v>95.36</v>
      </c>
      <c r="G102" s="1">
        <v>86.53</v>
      </c>
      <c r="H102" s="1">
        <v>7.6642890596E10</v>
      </c>
      <c r="I102" s="1">
        <v>8.5066947042E10</v>
      </c>
      <c r="J102" s="1" t="s">
        <v>274</v>
      </c>
      <c r="K102" s="1" t="s">
        <v>275</v>
      </c>
      <c r="L102" s="1">
        <v>2.38</v>
      </c>
      <c r="M102" s="1">
        <v>856.42</v>
      </c>
      <c r="N102" s="1">
        <v>856.0</v>
      </c>
      <c r="O102" s="1">
        <v>71048.0</v>
      </c>
    </row>
    <row r="103">
      <c r="A103" s="1" t="s">
        <v>276</v>
      </c>
      <c r="B103" s="1" t="s">
        <v>99</v>
      </c>
      <c r="C103" s="1">
        <v>419.7798</v>
      </c>
      <c r="D103" s="1" t="s">
        <v>21</v>
      </c>
      <c r="E103" s="1" t="s">
        <v>27</v>
      </c>
      <c r="F103" s="1">
        <v>32.05</v>
      </c>
      <c r="G103" s="1">
        <v>19.1</v>
      </c>
      <c r="H103" s="1">
        <v>4.6826161996E10</v>
      </c>
      <c r="I103" s="1">
        <v>5.2000297359E10</v>
      </c>
      <c r="J103" s="1" t="s">
        <v>277</v>
      </c>
      <c r="K103" s="1" t="s">
        <v>278</v>
      </c>
      <c r="L103" s="1">
        <v>3.69</v>
      </c>
      <c r="M103" s="1">
        <v>1548.99</v>
      </c>
      <c r="N103" s="1">
        <v>1549.0</v>
      </c>
      <c r="O103" s="1">
        <v>128567.0</v>
      </c>
    </row>
    <row r="104">
      <c r="A104" s="1" t="s">
        <v>279</v>
      </c>
      <c r="B104" s="1" t="s">
        <v>122</v>
      </c>
      <c r="C104" s="1">
        <v>491.2257</v>
      </c>
      <c r="D104" s="1" t="s">
        <v>21</v>
      </c>
      <c r="E104" s="1" t="s">
        <v>18</v>
      </c>
      <c r="F104" s="1">
        <v>43.21</v>
      </c>
      <c r="G104" s="1">
        <v>68.35</v>
      </c>
      <c r="H104" s="1">
        <v>8.6188507705E10</v>
      </c>
      <c r="I104" s="1">
        <v>8.9910078944E10</v>
      </c>
      <c r="J104" s="1" t="s">
        <v>280</v>
      </c>
      <c r="K104" s="1" t="s">
        <v>281</v>
      </c>
      <c r="L104" s="1">
        <v>4.67</v>
      </c>
      <c r="M104" s="1">
        <v>2294.02</v>
      </c>
      <c r="N104" s="1">
        <v>2294.0</v>
      </c>
      <c r="O104" s="1">
        <v>190402.0</v>
      </c>
    </row>
    <row r="105">
      <c r="A105" s="1" t="s">
        <v>282</v>
      </c>
      <c r="B105" s="1" t="s">
        <v>60</v>
      </c>
      <c r="C105" s="1">
        <v>91.8667</v>
      </c>
      <c r="D105" s="1" t="s">
        <v>42</v>
      </c>
      <c r="E105" s="1" t="s">
        <v>54</v>
      </c>
      <c r="F105" s="1">
        <v>32.28</v>
      </c>
      <c r="G105" s="1">
        <v>84.95</v>
      </c>
      <c r="H105" s="1">
        <v>9.0325073305E10</v>
      </c>
      <c r="I105" s="1">
        <v>9.6842013834E10</v>
      </c>
      <c r="J105" s="1" t="s">
        <v>283</v>
      </c>
      <c r="K105" s="1" t="s">
        <v>284</v>
      </c>
      <c r="L105" s="1">
        <v>9.97</v>
      </c>
      <c r="M105" s="1">
        <v>915.91</v>
      </c>
      <c r="N105" s="1">
        <v>916.0</v>
      </c>
      <c r="O105" s="1">
        <v>76028.0</v>
      </c>
    </row>
    <row r="106">
      <c r="A106" s="1" t="s">
        <v>285</v>
      </c>
      <c r="B106" s="1" t="s">
        <v>46</v>
      </c>
      <c r="C106" s="1">
        <v>450.6231</v>
      </c>
      <c r="D106" s="1" t="s">
        <v>17</v>
      </c>
      <c r="E106" s="1" t="s">
        <v>123</v>
      </c>
      <c r="F106" s="1">
        <v>60.91</v>
      </c>
      <c r="G106" s="1">
        <v>22.03</v>
      </c>
      <c r="H106" s="1">
        <v>9.8546508449E10</v>
      </c>
      <c r="I106" s="3">
        <v>1.03155E11</v>
      </c>
      <c r="J106" s="2">
        <v>45330.65972222222</v>
      </c>
      <c r="K106" s="2">
        <v>45420.364583333336</v>
      </c>
      <c r="L106" s="1">
        <v>5.7</v>
      </c>
      <c r="M106" s="1">
        <v>2568.55</v>
      </c>
      <c r="N106" s="1">
        <v>2569.0</v>
      </c>
      <c r="O106" s="1">
        <v>213227.0</v>
      </c>
    </row>
    <row r="107">
      <c r="A107" s="1" t="s">
        <v>286</v>
      </c>
      <c r="B107" s="1" t="s">
        <v>36</v>
      </c>
      <c r="C107" s="1">
        <v>531.0639</v>
      </c>
      <c r="D107" s="1" t="s">
        <v>17</v>
      </c>
      <c r="E107" s="1" t="s">
        <v>70</v>
      </c>
      <c r="F107" s="1">
        <v>75.38</v>
      </c>
      <c r="G107" s="1">
        <v>12.43</v>
      </c>
      <c r="H107" s="1">
        <v>3.9898883632E10</v>
      </c>
      <c r="I107" s="1">
        <v>4.893209691E10</v>
      </c>
      <c r="J107" s="2">
        <v>45298.4125</v>
      </c>
      <c r="K107" s="2">
        <v>45419.44097222222</v>
      </c>
      <c r="L107" s="1">
        <v>2.85</v>
      </c>
      <c r="M107" s="1">
        <v>1513.53</v>
      </c>
      <c r="N107" s="1">
        <v>1514.0</v>
      </c>
      <c r="O107" s="1">
        <v>125662.0</v>
      </c>
    </row>
    <row r="108">
      <c r="A108" s="1" t="s">
        <v>287</v>
      </c>
      <c r="B108" s="1" t="s">
        <v>46</v>
      </c>
      <c r="C108" s="1">
        <v>478.0201</v>
      </c>
      <c r="D108" s="1" t="s">
        <v>21</v>
      </c>
      <c r="E108" s="1" t="s">
        <v>37</v>
      </c>
      <c r="F108" s="1">
        <v>45.44</v>
      </c>
      <c r="G108" s="1">
        <v>58.32</v>
      </c>
      <c r="H108" s="1">
        <v>4.7088754447E10</v>
      </c>
      <c r="I108" s="1">
        <v>4.7787130207E10</v>
      </c>
      <c r="J108" s="1" t="s">
        <v>288</v>
      </c>
      <c r="K108" s="1" t="s">
        <v>289</v>
      </c>
      <c r="L108" s="1">
        <v>4.51</v>
      </c>
      <c r="M108" s="1">
        <v>2155.87</v>
      </c>
      <c r="N108" s="1">
        <v>2156.0</v>
      </c>
      <c r="O108" s="1">
        <v>178948.0</v>
      </c>
    </row>
    <row r="109">
      <c r="A109" s="1" t="s">
        <v>290</v>
      </c>
      <c r="B109" s="1" t="s">
        <v>139</v>
      </c>
      <c r="C109" s="1">
        <v>129.2667</v>
      </c>
      <c r="D109" s="1" t="s">
        <v>42</v>
      </c>
      <c r="E109" s="1" t="s">
        <v>27</v>
      </c>
      <c r="F109" s="1">
        <v>48.49</v>
      </c>
      <c r="G109" s="1">
        <v>79.99</v>
      </c>
      <c r="H109" s="1">
        <v>1.8073950898E10</v>
      </c>
      <c r="I109" s="1">
        <v>2.5067618553E10</v>
      </c>
      <c r="J109" s="1" t="s">
        <v>291</v>
      </c>
      <c r="K109" s="1" t="s">
        <v>292</v>
      </c>
      <c r="L109" s="1">
        <v>2.79</v>
      </c>
      <c r="M109" s="1">
        <v>360.65</v>
      </c>
      <c r="N109" s="1">
        <v>361.0</v>
      </c>
      <c r="O109" s="1">
        <v>29963.0</v>
      </c>
    </row>
    <row r="110">
      <c r="A110" s="1" t="s">
        <v>293</v>
      </c>
      <c r="B110" s="1" t="s">
        <v>20</v>
      </c>
      <c r="C110" s="1">
        <v>527.3959</v>
      </c>
      <c r="D110" s="1" t="s">
        <v>21</v>
      </c>
      <c r="E110" s="1" t="s">
        <v>74</v>
      </c>
      <c r="F110" s="1">
        <v>53.57</v>
      </c>
      <c r="G110" s="1">
        <v>54.26</v>
      </c>
      <c r="H110" s="1">
        <v>1.0768910855E10</v>
      </c>
      <c r="I110" s="1">
        <v>1.2865903297E10</v>
      </c>
      <c r="J110" s="1" t="s">
        <v>294</v>
      </c>
      <c r="K110" s="1" t="s">
        <v>295</v>
      </c>
      <c r="L110" s="1">
        <v>2.63</v>
      </c>
      <c r="M110" s="1">
        <v>1387.05</v>
      </c>
      <c r="N110" s="1">
        <v>1387.0</v>
      </c>
      <c r="O110" s="1">
        <v>115121.0</v>
      </c>
    </row>
    <row r="111">
      <c r="A111" s="1" t="s">
        <v>296</v>
      </c>
      <c r="B111" s="1" t="s">
        <v>26</v>
      </c>
      <c r="C111" s="1">
        <v>868.9443</v>
      </c>
      <c r="D111" s="1" t="s">
        <v>21</v>
      </c>
      <c r="E111" s="1" t="s">
        <v>18</v>
      </c>
      <c r="F111" s="1">
        <v>7.93</v>
      </c>
      <c r="G111" s="1">
        <v>58.75</v>
      </c>
      <c r="H111" s="1">
        <v>2.1532985039E10</v>
      </c>
      <c r="I111" s="1">
        <v>2.6104172138E10</v>
      </c>
      <c r="J111" s="2">
        <v>45419.89861111111</v>
      </c>
      <c r="K111" s="2">
        <v>45511.28125</v>
      </c>
      <c r="L111" s="1">
        <v>6.41</v>
      </c>
      <c r="M111" s="1">
        <v>5569.93</v>
      </c>
      <c r="N111" s="1">
        <v>5570.0</v>
      </c>
      <c r="O111" s="1">
        <v>462310.0</v>
      </c>
    </row>
    <row r="112">
      <c r="A112" s="1" t="s">
        <v>297</v>
      </c>
      <c r="B112" s="1" t="s">
        <v>60</v>
      </c>
      <c r="C112" s="1">
        <v>74.9833</v>
      </c>
      <c r="D112" s="1" t="s">
        <v>42</v>
      </c>
      <c r="E112" s="1" t="s">
        <v>58</v>
      </c>
      <c r="F112" s="1">
        <v>59.0</v>
      </c>
      <c r="G112" s="1">
        <v>10.81</v>
      </c>
      <c r="H112" s="1">
        <v>6.5244828596E10</v>
      </c>
      <c r="I112" s="1">
        <v>7.4874600281E10</v>
      </c>
      <c r="J112" s="1" t="s">
        <v>298</v>
      </c>
      <c r="K112" s="1" t="s">
        <v>299</v>
      </c>
      <c r="L112" s="1">
        <v>4.35</v>
      </c>
      <c r="M112" s="1">
        <v>326.18</v>
      </c>
      <c r="N112" s="1">
        <v>326.0</v>
      </c>
      <c r="O112" s="1">
        <v>27058.0</v>
      </c>
    </row>
    <row r="113">
      <c r="A113" s="1" t="s">
        <v>300</v>
      </c>
      <c r="B113" s="1" t="s">
        <v>166</v>
      </c>
      <c r="C113" s="1">
        <v>152.2884</v>
      </c>
      <c r="D113" s="1" t="s">
        <v>21</v>
      </c>
      <c r="E113" s="1" t="s">
        <v>54</v>
      </c>
      <c r="F113" s="1">
        <v>97.7</v>
      </c>
      <c r="G113" s="1">
        <v>32.34</v>
      </c>
      <c r="H113" s="1">
        <v>1.2626016997E10</v>
      </c>
      <c r="I113" s="1">
        <v>1.5447062894E10</v>
      </c>
      <c r="J113" s="1" t="s">
        <v>301</v>
      </c>
      <c r="K113" s="1" t="s">
        <v>302</v>
      </c>
      <c r="L113" s="1">
        <v>4.58</v>
      </c>
      <c r="M113" s="1">
        <v>697.48</v>
      </c>
      <c r="N113" s="1">
        <v>697.0</v>
      </c>
      <c r="O113" s="1">
        <v>57851.0</v>
      </c>
    </row>
    <row r="114">
      <c r="A114" s="1" t="s">
        <v>303</v>
      </c>
      <c r="B114" s="1" t="s">
        <v>122</v>
      </c>
      <c r="C114" s="1">
        <v>323.1606</v>
      </c>
      <c r="D114" s="1" t="s">
        <v>17</v>
      </c>
      <c r="E114" s="1" t="s">
        <v>32</v>
      </c>
      <c r="F114" s="1">
        <v>3.71</v>
      </c>
      <c r="G114" s="1">
        <v>74.27</v>
      </c>
      <c r="H114" s="1">
        <v>6.6009372373E10</v>
      </c>
      <c r="I114" s="1">
        <v>6.7621477871E10</v>
      </c>
      <c r="J114" s="1" t="s">
        <v>304</v>
      </c>
      <c r="K114" s="1" t="s">
        <v>305</v>
      </c>
      <c r="L114" s="1">
        <v>2.52</v>
      </c>
      <c r="M114" s="1">
        <v>814.36</v>
      </c>
      <c r="N114" s="1">
        <v>814.0</v>
      </c>
      <c r="O114" s="1">
        <v>67562.0</v>
      </c>
    </row>
    <row r="115">
      <c r="A115" s="1" t="s">
        <v>306</v>
      </c>
      <c r="B115" s="1" t="s">
        <v>60</v>
      </c>
      <c r="C115" s="1">
        <v>130.15</v>
      </c>
      <c r="D115" s="1" t="s">
        <v>42</v>
      </c>
      <c r="E115" s="1" t="s">
        <v>123</v>
      </c>
      <c r="F115" s="1">
        <v>95.19</v>
      </c>
      <c r="G115" s="1">
        <v>7.84</v>
      </c>
      <c r="H115" s="1">
        <v>5.905788046E9</v>
      </c>
      <c r="I115" s="1">
        <v>1.4895918364E10</v>
      </c>
      <c r="J115" s="1" t="s">
        <v>307</v>
      </c>
      <c r="K115" s="2">
        <v>45331.775</v>
      </c>
      <c r="L115" s="1">
        <v>7.69</v>
      </c>
      <c r="M115" s="1">
        <v>1000.85</v>
      </c>
      <c r="N115" s="1">
        <v>1001.0</v>
      </c>
      <c r="O115" s="1">
        <v>83083.0</v>
      </c>
    </row>
    <row r="116">
      <c r="A116" s="1" t="s">
        <v>308</v>
      </c>
      <c r="B116" s="1" t="s">
        <v>273</v>
      </c>
      <c r="C116" s="1">
        <v>376.4622</v>
      </c>
      <c r="D116" s="1" t="s">
        <v>21</v>
      </c>
      <c r="E116" s="1" t="s">
        <v>105</v>
      </c>
      <c r="F116" s="1">
        <v>13.08</v>
      </c>
      <c r="G116" s="1">
        <v>0.58</v>
      </c>
      <c r="H116" s="1">
        <v>4.2831912294E10</v>
      </c>
      <c r="I116" s="1">
        <v>4.3777704078E10</v>
      </c>
      <c r="J116" s="2">
        <v>45359.39722222222</v>
      </c>
      <c r="K116" s="2">
        <v>45451.67638888889</v>
      </c>
      <c r="L116" s="1">
        <v>9.62</v>
      </c>
      <c r="M116" s="1">
        <v>3621.57</v>
      </c>
      <c r="N116" s="1">
        <v>3622.0</v>
      </c>
      <c r="O116" s="1">
        <v>300626.0</v>
      </c>
    </row>
    <row r="117">
      <c r="A117" s="1" t="s">
        <v>309</v>
      </c>
      <c r="B117" s="1" t="s">
        <v>16</v>
      </c>
      <c r="C117" s="1">
        <v>824.8213</v>
      </c>
      <c r="D117" s="1" t="s">
        <v>21</v>
      </c>
      <c r="E117" s="1" t="s">
        <v>22</v>
      </c>
      <c r="F117" s="1">
        <v>87.46</v>
      </c>
      <c r="G117" s="1">
        <v>12.53</v>
      </c>
      <c r="H117" s="1">
        <v>3.9375271299E10</v>
      </c>
      <c r="I117" s="1">
        <v>4.606394922E10</v>
      </c>
      <c r="J117" s="2">
        <v>45512.90625</v>
      </c>
      <c r="K117" s="2">
        <v>45604.11944444444</v>
      </c>
      <c r="L117" s="1">
        <v>4.21</v>
      </c>
      <c r="M117" s="1">
        <v>3472.5</v>
      </c>
      <c r="N117" s="1">
        <v>3472.0</v>
      </c>
      <c r="O117" s="1">
        <v>288176.0</v>
      </c>
    </row>
    <row r="118">
      <c r="A118" s="1" t="s">
        <v>310</v>
      </c>
      <c r="B118" s="1" t="s">
        <v>60</v>
      </c>
      <c r="C118" s="1">
        <v>54.4</v>
      </c>
      <c r="D118" s="1" t="s">
        <v>42</v>
      </c>
      <c r="E118" s="1" t="s">
        <v>70</v>
      </c>
      <c r="F118" s="1">
        <v>20.38</v>
      </c>
      <c r="G118" s="1">
        <v>81.34</v>
      </c>
      <c r="H118" s="1">
        <v>9.4605229974E10</v>
      </c>
      <c r="I118" s="3">
        <v>1.00479E11</v>
      </c>
      <c r="J118" s="2">
        <v>45542.72222222222</v>
      </c>
      <c r="K118" s="2">
        <v>45603.98888888889</v>
      </c>
      <c r="L118" s="1">
        <v>7.52</v>
      </c>
      <c r="M118" s="1">
        <v>409.09</v>
      </c>
      <c r="N118" s="1">
        <v>409.0</v>
      </c>
      <c r="O118" s="1">
        <v>33947.0</v>
      </c>
    </row>
    <row r="119">
      <c r="A119" s="1" t="s">
        <v>311</v>
      </c>
      <c r="B119" s="1" t="s">
        <v>147</v>
      </c>
      <c r="C119" s="1">
        <v>96.0667</v>
      </c>
      <c r="D119" s="1" t="s">
        <v>42</v>
      </c>
      <c r="E119" s="1" t="s">
        <v>70</v>
      </c>
      <c r="F119" s="1">
        <v>61.98</v>
      </c>
      <c r="G119" s="1">
        <v>47.25</v>
      </c>
      <c r="H119" s="1">
        <v>7.1692174147E10</v>
      </c>
      <c r="I119" s="1">
        <v>7.8570702375E10</v>
      </c>
      <c r="J119" s="1" t="s">
        <v>312</v>
      </c>
      <c r="K119" s="1" t="s">
        <v>313</v>
      </c>
      <c r="L119" s="1">
        <v>3.69</v>
      </c>
      <c r="M119" s="1">
        <v>354.49</v>
      </c>
      <c r="N119" s="1">
        <v>354.0</v>
      </c>
      <c r="O119" s="1">
        <v>29382.0</v>
      </c>
    </row>
    <row r="120">
      <c r="A120" s="1" t="s">
        <v>314</v>
      </c>
      <c r="B120" s="1" t="s">
        <v>273</v>
      </c>
      <c r="C120" s="1">
        <v>272.1443</v>
      </c>
      <c r="D120" s="1" t="s">
        <v>21</v>
      </c>
      <c r="E120" s="1" t="s">
        <v>123</v>
      </c>
      <c r="F120" s="1">
        <v>78.11</v>
      </c>
      <c r="G120" s="1">
        <v>49.2</v>
      </c>
      <c r="H120" s="1">
        <v>7.550665529E10</v>
      </c>
      <c r="I120" s="1">
        <v>8.2281017569E10</v>
      </c>
      <c r="J120" s="1" t="s">
        <v>315</v>
      </c>
      <c r="K120" s="1" t="s">
        <v>316</v>
      </c>
      <c r="L120" s="1">
        <v>9.53</v>
      </c>
      <c r="M120" s="1">
        <v>2593.54</v>
      </c>
      <c r="N120" s="1">
        <v>2594.0</v>
      </c>
      <c r="O120" s="1">
        <v>215302.0</v>
      </c>
    </row>
    <row r="121">
      <c r="A121" s="1" t="s">
        <v>317</v>
      </c>
      <c r="B121" s="1" t="s">
        <v>99</v>
      </c>
      <c r="C121" s="1">
        <v>467.4799</v>
      </c>
      <c r="D121" s="1" t="s">
        <v>17</v>
      </c>
      <c r="E121" s="1" t="s">
        <v>123</v>
      </c>
      <c r="F121" s="1">
        <v>46.41</v>
      </c>
      <c r="G121" s="1">
        <v>97.44</v>
      </c>
      <c r="H121" s="1">
        <v>7.498329203E10</v>
      </c>
      <c r="I121" s="1">
        <v>7.6754044332E10</v>
      </c>
      <c r="J121" s="1" t="s">
        <v>318</v>
      </c>
      <c r="K121" s="1" t="s">
        <v>319</v>
      </c>
      <c r="L121" s="1">
        <v>5.94</v>
      </c>
      <c r="M121" s="1">
        <v>2776.83</v>
      </c>
      <c r="N121" s="1">
        <v>2777.0</v>
      </c>
      <c r="O121" s="1">
        <v>230491.0</v>
      </c>
    </row>
    <row r="122">
      <c r="A122" s="1" t="s">
        <v>320</v>
      </c>
      <c r="B122" s="1" t="s">
        <v>83</v>
      </c>
      <c r="C122" s="1">
        <v>473.736</v>
      </c>
      <c r="D122" s="1" t="s">
        <v>17</v>
      </c>
      <c r="E122" s="1" t="s">
        <v>74</v>
      </c>
      <c r="F122" s="1">
        <v>1.34</v>
      </c>
      <c r="G122" s="1">
        <v>40.77</v>
      </c>
      <c r="H122" s="1">
        <v>1.240181363E10</v>
      </c>
      <c r="I122" s="1">
        <v>1.8213069052E10</v>
      </c>
      <c r="J122" s="1" t="s">
        <v>321</v>
      </c>
      <c r="K122" s="1" t="s">
        <v>322</v>
      </c>
      <c r="L122" s="1">
        <v>4.72</v>
      </c>
      <c r="M122" s="1">
        <v>2236.03</v>
      </c>
      <c r="N122" s="1">
        <v>2236.0</v>
      </c>
      <c r="O122" s="1">
        <v>185588.0</v>
      </c>
    </row>
    <row r="123">
      <c r="A123" s="1" t="s">
        <v>323</v>
      </c>
      <c r="B123" s="1" t="s">
        <v>122</v>
      </c>
      <c r="C123" s="1">
        <v>229.216</v>
      </c>
      <c r="D123" s="1" t="s">
        <v>17</v>
      </c>
      <c r="E123" s="1" t="s">
        <v>54</v>
      </c>
      <c r="F123" s="1">
        <v>82.75</v>
      </c>
      <c r="G123" s="1">
        <v>72.53</v>
      </c>
      <c r="H123" s="1">
        <v>8.719227748E9</v>
      </c>
      <c r="I123" s="1">
        <v>1.5568269776E10</v>
      </c>
      <c r="J123" s="1" t="s">
        <v>324</v>
      </c>
      <c r="K123" s="1" t="s">
        <v>325</v>
      </c>
      <c r="L123" s="1">
        <v>6.32</v>
      </c>
      <c r="M123" s="1">
        <v>1448.65</v>
      </c>
      <c r="N123" s="1">
        <v>1449.0</v>
      </c>
      <c r="O123" s="1">
        <v>120267.0</v>
      </c>
    </row>
    <row r="124">
      <c r="A124" s="1" t="s">
        <v>326</v>
      </c>
      <c r="B124" s="1" t="s">
        <v>79</v>
      </c>
      <c r="C124" s="1">
        <v>737.7243</v>
      </c>
      <c r="D124" s="1" t="s">
        <v>21</v>
      </c>
      <c r="E124" s="1" t="s">
        <v>123</v>
      </c>
      <c r="F124" s="1">
        <v>84.02</v>
      </c>
      <c r="G124" s="1">
        <v>10.6</v>
      </c>
      <c r="H124" s="1">
        <v>4.1209869585E10</v>
      </c>
      <c r="I124" s="1">
        <v>4.2827664168E10</v>
      </c>
      <c r="J124" s="1" t="s">
        <v>327</v>
      </c>
      <c r="K124" s="1" t="s">
        <v>328</v>
      </c>
      <c r="L124" s="1">
        <v>6.65</v>
      </c>
      <c r="M124" s="1">
        <v>4905.87</v>
      </c>
      <c r="N124" s="1">
        <v>4906.0</v>
      </c>
      <c r="O124" s="1">
        <v>407198.0</v>
      </c>
    </row>
    <row r="125">
      <c r="A125" s="1" t="s">
        <v>329</v>
      </c>
      <c r="B125" s="1" t="s">
        <v>26</v>
      </c>
      <c r="C125" s="1">
        <v>480.9411</v>
      </c>
      <c r="D125" s="1" t="s">
        <v>21</v>
      </c>
      <c r="E125" s="1" t="s">
        <v>123</v>
      </c>
      <c r="F125" s="1">
        <v>77.93</v>
      </c>
      <c r="G125" s="1">
        <v>82.64</v>
      </c>
      <c r="H125" s="1">
        <v>9.465505252E9</v>
      </c>
      <c r="I125" s="1">
        <v>1.4108034396E10</v>
      </c>
      <c r="J125" s="1" t="s">
        <v>330</v>
      </c>
      <c r="K125" s="2">
        <v>45359.06180555555</v>
      </c>
      <c r="L125" s="1">
        <v>2.22</v>
      </c>
      <c r="M125" s="1">
        <v>1067.69</v>
      </c>
      <c r="N125" s="1">
        <v>1068.0</v>
      </c>
      <c r="O125" s="1">
        <v>88644.0</v>
      </c>
    </row>
    <row r="126">
      <c r="A126" s="1" t="s">
        <v>331</v>
      </c>
      <c r="B126" s="1" t="s">
        <v>26</v>
      </c>
      <c r="C126" s="1">
        <v>188.1078</v>
      </c>
      <c r="D126" s="1" t="s">
        <v>17</v>
      </c>
      <c r="E126" s="1" t="s">
        <v>74</v>
      </c>
      <c r="F126" s="1">
        <v>56.02</v>
      </c>
      <c r="G126" s="1">
        <v>94.9</v>
      </c>
      <c r="H126" s="1">
        <v>5.553336123E10</v>
      </c>
      <c r="I126" s="1">
        <v>6.376378601E10</v>
      </c>
      <c r="J126" s="1" t="s">
        <v>332</v>
      </c>
      <c r="K126" s="1" t="s">
        <v>333</v>
      </c>
      <c r="L126" s="1">
        <v>8.1</v>
      </c>
      <c r="M126" s="1">
        <v>1523.67</v>
      </c>
      <c r="N126" s="1">
        <v>1524.0</v>
      </c>
      <c r="O126" s="1">
        <v>126492.0</v>
      </c>
    </row>
    <row r="127">
      <c r="A127" s="1" t="s">
        <v>334</v>
      </c>
      <c r="B127" s="1" t="s">
        <v>57</v>
      </c>
      <c r="C127" s="1">
        <v>131.4516</v>
      </c>
      <c r="D127" s="1" t="s">
        <v>21</v>
      </c>
      <c r="E127" s="1" t="s">
        <v>18</v>
      </c>
      <c r="F127" s="1">
        <v>29.46</v>
      </c>
      <c r="G127" s="1">
        <v>51.03</v>
      </c>
      <c r="H127" s="1">
        <v>7.043800643E9</v>
      </c>
      <c r="I127" s="1">
        <v>1.5105140024E10</v>
      </c>
      <c r="J127" s="1" t="s">
        <v>335</v>
      </c>
      <c r="K127" s="1" t="s">
        <v>336</v>
      </c>
      <c r="L127" s="1">
        <v>3.72</v>
      </c>
      <c r="M127" s="1">
        <v>489.0</v>
      </c>
      <c r="N127" s="1">
        <v>489.0</v>
      </c>
      <c r="O127" s="1">
        <v>40587.0</v>
      </c>
    </row>
    <row r="128">
      <c r="A128" s="1" t="s">
        <v>337</v>
      </c>
      <c r="B128" s="1" t="s">
        <v>46</v>
      </c>
      <c r="C128" s="1">
        <v>334.1195</v>
      </c>
      <c r="D128" s="1" t="s">
        <v>21</v>
      </c>
      <c r="E128" s="1" t="s">
        <v>37</v>
      </c>
      <c r="F128" s="1">
        <v>89.13</v>
      </c>
      <c r="G128" s="1">
        <v>2.68</v>
      </c>
      <c r="H128" s="1">
        <v>8.4348089965E10</v>
      </c>
      <c r="I128" s="1">
        <v>9.1125972851E10</v>
      </c>
      <c r="J128" s="2">
        <v>45450.85625</v>
      </c>
      <c r="K128" s="2">
        <v>45572.42916666667</v>
      </c>
      <c r="L128" s="1">
        <v>7.71</v>
      </c>
      <c r="M128" s="1">
        <v>2576.06</v>
      </c>
      <c r="N128" s="1">
        <v>2576.0</v>
      </c>
      <c r="O128" s="1">
        <v>213808.0</v>
      </c>
    </row>
    <row r="129">
      <c r="A129" s="1" t="s">
        <v>338</v>
      </c>
      <c r="B129" s="1" t="s">
        <v>273</v>
      </c>
      <c r="C129" s="1">
        <v>934.7773</v>
      </c>
      <c r="D129" s="1" t="s">
        <v>21</v>
      </c>
      <c r="E129" s="1" t="s">
        <v>22</v>
      </c>
      <c r="F129" s="1">
        <v>60.89</v>
      </c>
      <c r="G129" s="1">
        <v>34.97</v>
      </c>
      <c r="H129" s="1">
        <v>2.8268074454E10</v>
      </c>
      <c r="I129" s="1">
        <v>3.0822480444E10</v>
      </c>
      <c r="J129" s="1" t="s">
        <v>339</v>
      </c>
      <c r="K129" s="2">
        <v>45299.072222222225</v>
      </c>
      <c r="L129" s="1">
        <v>5.97</v>
      </c>
      <c r="M129" s="1">
        <v>5580.62</v>
      </c>
      <c r="N129" s="1">
        <v>5581.0</v>
      </c>
      <c r="O129" s="1">
        <v>463223.0</v>
      </c>
    </row>
    <row r="130">
      <c r="A130" s="1" t="s">
        <v>340</v>
      </c>
      <c r="B130" s="1" t="s">
        <v>112</v>
      </c>
      <c r="C130" s="1">
        <v>132.65</v>
      </c>
      <c r="D130" s="1" t="s">
        <v>42</v>
      </c>
      <c r="E130" s="1" t="s">
        <v>22</v>
      </c>
      <c r="F130" s="1">
        <v>76.25</v>
      </c>
      <c r="G130" s="1">
        <v>35.21</v>
      </c>
      <c r="H130" s="1">
        <v>2.2472644762E10</v>
      </c>
      <c r="I130" s="1">
        <v>2.4049584401E10</v>
      </c>
      <c r="J130" s="1" t="s">
        <v>341</v>
      </c>
      <c r="K130" s="1" t="s">
        <v>342</v>
      </c>
      <c r="L130" s="1">
        <v>4.11</v>
      </c>
      <c r="M130" s="1">
        <v>545.19</v>
      </c>
      <c r="N130" s="1">
        <v>545.0</v>
      </c>
      <c r="O130" s="1">
        <v>45235.0</v>
      </c>
    </row>
    <row r="131">
      <c r="A131" s="1" t="s">
        <v>343</v>
      </c>
      <c r="B131" s="1" t="s">
        <v>169</v>
      </c>
      <c r="C131" s="1">
        <v>955.8838</v>
      </c>
      <c r="D131" s="1" t="s">
        <v>21</v>
      </c>
      <c r="E131" s="1" t="s">
        <v>22</v>
      </c>
      <c r="F131" s="1">
        <v>73.05</v>
      </c>
      <c r="G131" s="1">
        <v>60.61</v>
      </c>
      <c r="H131" s="1">
        <v>2.4165580908E10</v>
      </c>
      <c r="I131" s="1">
        <v>3.2583510276E10</v>
      </c>
      <c r="J131" s="1" t="s">
        <v>344</v>
      </c>
      <c r="K131" s="1" t="s">
        <v>345</v>
      </c>
      <c r="L131" s="1">
        <v>2.08</v>
      </c>
      <c r="M131" s="1">
        <v>1988.24</v>
      </c>
      <c r="N131" s="1">
        <v>1988.0</v>
      </c>
      <c r="O131" s="1">
        <v>165004.0</v>
      </c>
    </row>
    <row r="132">
      <c r="A132" s="1" t="s">
        <v>346</v>
      </c>
      <c r="B132" s="1" t="s">
        <v>60</v>
      </c>
      <c r="C132" s="1">
        <v>84.4333</v>
      </c>
      <c r="D132" s="1" t="s">
        <v>42</v>
      </c>
      <c r="E132" s="1" t="s">
        <v>22</v>
      </c>
      <c r="F132" s="1">
        <v>16.18</v>
      </c>
      <c r="G132" s="1">
        <v>49.56</v>
      </c>
      <c r="H132" s="1">
        <v>4.338182587E9</v>
      </c>
      <c r="I132" s="1">
        <v>8.628537868E9</v>
      </c>
      <c r="J132" s="1" t="s">
        <v>347</v>
      </c>
      <c r="K132" s="1" t="s">
        <v>348</v>
      </c>
      <c r="L132" s="1">
        <v>3.51</v>
      </c>
      <c r="M132" s="1">
        <v>296.36</v>
      </c>
      <c r="N132" s="1">
        <v>296.0</v>
      </c>
      <c r="O132" s="1">
        <v>24568.0</v>
      </c>
    </row>
    <row r="133">
      <c r="A133" s="1" t="s">
        <v>349</v>
      </c>
      <c r="B133" s="1" t="s">
        <v>350</v>
      </c>
      <c r="C133" s="1">
        <v>945.9349</v>
      </c>
      <c r="D133" s="1" t="s">
        <v>21</v>
      </c>
      <c r="E133" s="1" t="s">
        <v>27</v>
      </c>
      <c r="F133" s="1">
        <v>2.21</v>
      </c>
      <c r="G133" s="1">
        <v>98.03</v>
      </c>
      <c r="H133" s="1">
        <v>1.2046826888E10</v>
      </c>
      <c r="I133" s="1">
        <v>1.7548421383E10</v>
      </c>
      <c r="J133" s="1" t="s">
        <v>351</v>
      </c>
      <c r="K133" s="1" t="s">
        <v>352</v>
      </c>
      <c r="L133" s="1">
        <v>4.87</v>
      </c>
      <c r="M133" s="1">
        <v>4606.7</v>
      </c>
      <c r="N133" s="1">
        <v>4607.0</v>
      </c>
      <c r="O133" s="1">
        <v>382381.0</v>
      </c>
    </row>
    <row r="134">
      <c r="A134" s="1" t="s">
        <v>353</v>
      </c>
      <c r="B134" s="1" t="s">
        <v>62</v>
      </c>
      <c r="C134" s="1">
        <v>78.7333</v>
      </c>
      <c r="D134" s="1" t="s">
        <v>42</v>
      </c>
      <c r="E134" s="1" t="s">
        <v>54</v>
      </c>
      <c r="F134" s="1">
        <v>28.89</v>
      </c>
      <c r="G134" s="1">
        <v>13.96</v>
      </c>
      <c r="H134" s="1">
        <v>3.6974776658E10</v>
      </c>
      <c r="I134" s="1">
        <v>4.42120276E10</v>
      </c>
      <c r="J134" s="1" t="s">
        <v>354</v>
      </c>
      <c r="K134" s="1" t="s">
        <v>355</v>
      </c>
      <c r="L134" s="1">
        <v>3.38</v>
      </c>
      <c r="M134" s="1">
        <v>266.12</v>
      </c>
      <c r="N134" s="1">
        <v>266.0</v>
      </c>
      <c r="O134" s="1">
        <v>22078.0</v>
      </c>
    </row>
    <row r="135">
      <c r="A135" s="1" t="s">
        <v>356</v>
      </c>
      <c r="B135" s="1" t="s">
        <v>166</v>
      </c>
      <c r="C135" s="1">
        <v>747.5286</v>
      </c>
      <c r="D135" s="1" t="s">
        <v>21</v>
      </c>
      <c r="E135" s="1" t="s">
        <v>37</v>
      </c>
      <c r="F135" s="1">
        <v>99.27</v>
      </c>
      <c r="G135" s="1">
        <v>57.33</v>
      </c>
      <c r="H135" s="1">
        <v>8.9313187681E10</v>
      </c>
      <c r="I135" s="1">
        <v>9.413091081E10</v>
      </c>
      <c r="J135" s="2">
        <v>45451.589583333334</v>
      </c>
      <c r="K135" s="2">
        <v>45512.46875</v>
      </c>
      <c r="L135" s="1">
        <v>5.84</v>
      </c>
      <c r="M135" s="1">
        <v>4365.57</v>
      </c>
      <c r="N135" s="1">
        <v>4366.0</v>
      </c>
      <c r="O135" s="1">
        <v>362378.0</v>
      </c>
    </row>
    <row r="136">
      <c r="A136" s="1" t="s">
        <v>357</v>
      </c>
      <c r="B136" s="1" t="s">
        <v>57</v>
      </c>
      <c r="C136" s="1">
        <v>597.1564</v>
      </c>
      <c r="D136" s="1" t="s">
        <v>17</v>
      </c>
      <c r="E136" s="1" t="s">
        <v>70</v>
      </c>
      <c r="F136" s="1">
        <v>59.22</v>
      </c>
      <c r="G136" s="1">
        <v>56.06</v>
      </c>
      <c r="H136" s="1">
        <v>1.4203586534E10</v>
      </c>
      <c r="I136" s="1">
        <v>1.6388689847E10</v>
      </c>
      <c r="J136" s="2">
        <v>45512.260416666664</v>
      </c>
      <c r="K136" s="1" t="s">
        <v>358</v>
      </c>
      <c r="L136" s="1">
        <v>4.38</v>
      </c>
      <c r="M136" s="1">
        <v>2615.55</v>
      </c>
      <c r="N136" s="1">
        <v>2616.0</v>
      </c>
      <c r="O136" s="1">
        <v>217128.0</v>
      </c>
    </row>
    <row r="137">
      <c r="A137" s="1" t="s">
        <v>359</v>
      </c>
      <c r="B137" s="1" t="s">
        <v>53</v>
      </c>
      <c r="C137" s="1">
        <v>458.406</v>
      </c>
      <c r="D137" s="1" t="s">
        <v>17</v>
      </c>
      <c r="E137" s="1" t="s">
        <v>155</v>
      </c>
      <c r="F137" s="1">
        <v>86.76</v>
      </c>
      <c r="G137" s="1">
        <v>39.16</v>
      </c>
      <c r="H137" s="1">
        <v>3.871554594E9</v>
      </c>
      <c r="I137" s="1">
        <v>7.171572125E9</v>
      </c>
      <c r="J137" s="1" t="s">
        <v>360</v>
      </c>
      <c r="K137" s="1" t="s">
        <v>361</v>
      </c>
      <c r="L137" s="1">
        <v>8.14</v>
      </c>
      <c r="M137" s="1">
        <v>3731.42</v>
      </c>
      <c r="N137" s="1">
        <v>3731.0</v>
      </c>
      <c r="O137" s="1">
        <v>309673.0</v>
      </c>
    </row>
    <row r="138">
      <c r="A138" s="1" t="s">
        <v>362</v>
      </c>
      <c r="B138" s="1" t="s">
        <v>46</v>
      </c>
      <c r="C138" s="1">
        <v>624.6729</v>
      </c>
      <c r="D138" s="1" t="s">
        <v>17</v>
      </c>
      <c r="E138" s="1" t="s">
        <v>58</v>
      </c>
      <c r="F138" s="1">
        <v>37.12</v>
      </c>
      <c r="G138" s="1">
        <v>15.38</v>
      </c>
      <c r="H138" s="1">
        <v>3.6700200498E10</v>
      </c>
      <c r="I138" s="1">
        <v>3.9984223729E10</v>
      </c>
      <c r="J138" s="2">
        <v>45330.24930555555</v>
      </c>
      <c r="K138" s="2">
        <v>45451.15833333333</v>
      </c>
      <c r="L138" s="1">
        <v>4.7</v>
      </c>
      <c r="M138" s="1">
        <v>2935.96</v>
      </c>
      <c r="N138" s="1">
        <v>2936.0</v>
      </c>
      <c r="O138" s="1">
        <v>243688.0</v>
      </c>
    </row>
    <row r="139">
      <c r="A139" s="1" t="s">
        <v>363</v>
      </c>
      <c r="B139" s="1" t="s">
        <v>273</v>
      </c>
      <c r="C139" s="1">
        <v>748.3421</v>
      </c>
      <c r="D139" s="1" t="s">
        <v>21</v>
      </c>
      <c r="E139" s="1" t="s">
        <v>27</v>
      </c>
      <c r="F139" s="1">
        <v>70.54</v>
      </c>
      <c r="G139" s="1">
        <v>72.19</v>
      </c>
      <c r="H139" s="1">
        <v>4.7338870319E10</v>
      </c>
      <c r="I139" s="1">
        <v>4.8505753593E10</v>
      </c>
      <c r="J139" s="1" t="s">
        <v>364</v>
      </c>
      <c r="K139" s="1" t="s">
        <v>226</v>
      </c>
      <c r="L139" s="1">
        <v>8.49</v>
      </c>
      <c r="M139" s="1">
        <v>6353.42</v>
      </c>
      <c r="N139" s="1">
        <v>6353.0</v>
      </c>
      <c r="O139" s="1">
        <v>527299.0</v>
      </c>
    </row>
    <row r="140">
      <c r="A140" s="1" t="s">
        <v>365</v>
      </c>
      <c r="B140" s="1" t="s">
        <v>83</v>
      </c>
      <c r="C140" s="1">
        <v>11.5256</v>
      </c>
      <c r="D140" s="1" t="s">
        <v>17</v>
      </c>
      <c r="E140" s="1" t="s">
        <v>123</v>
      </c>
      <c r="F140" s="1">
        <v>88.75</v>
      </c>
      <c r="G140" s="1">
        <v>93.94</v>
      </c>
      <c r="H140" s="1">
        <v>4.1389322836E10</v>
      </c>
      <c r="I140" s="1">
        <v>4.3470819291E10</v>
      </c>
      <c r="J140" s="1" t="s">
        <v>366</v>
      </c>
      <c r="K140" s="1" t="s">
        <v>367</v>
      </c>
      <c r="L140" s="1">
        <v>4.89</v>
      </c>
      <c r="M140" s="1">
        <v>56.36</v>
      </c>
      <c r="N140" s="1">
        <v>56.0</v>
      </c>
      <c r="O140" s="1">
        <v>4648.0</v>
      </c>
    </row>
    <row r="141">
      <c r="A141" s="1" t="s">
        <v>368</v>
      </c>
      <c r="B141" s="1" t="s">
        <v>169</v>
      </c>
      <c r="C141" s="1">
        <v>289.7888</v>
      </c>
      <c r="D141" s="1" t="s">
        <v>17</v>
      </c>
      <c r="E141" s="1" t="s">
        <v>32</v>
      </c>
      <c r="F141" s="1">
        <v>49.21</v>
      </c>
      <c r="G141" s="1">
        <v>8.33</v>
      </c>
      <c r="H141" s="1">
        <v>8.3185498241E10</v>
      </c>
      <c r="I141" s="1">
        <v>8.8970489424E10</v>
      </c>
      <c r="J141" s="1" t="s">
        <v>369</v>
      </c>
      <c r="K141" s="1" t="s">
        <v>370</v>
      </c>
      <c r="L141" s="1">
        <v>8.76</v>
      </c>
      <c r="M141" s="1">
        <v>2538.55</v>
      </c>
      <c r="N141" s="1">
        <v>2539.0</v>
      </c>
      <c r="O141" s="1">
        <v>210737.0</v>
      </c>
    </row>
    <row r="142">
      <c r="A142" s="1" t="s">
        <v>371</v>
      </c>
      <c r="B142" s="1" t="s">
        <v>273</v>
      </c>
      <c r="C142" s="1">
        <v>957.1176</v>
      </c>
      <c r="D142" s="1" t="s">
        <v>21</v>
      </c>
      <c r="E142" s="1" t="s">
        <v>22</v>
      </c>
      <c r="F142" s="1">
        <v>80.93</v>
      </c>
      <c r="G142" s="1">
        <v>21.64</v>
      </c>
      <c r="H142" s="1">
        <v>2.577353951E9</v>
      </c>
      <c r="I142" s="1">
        <v>7.390046126E9</v>
      </c>
      <c r="J142" s="1" t="s">
        <v>372</v>
      </c>
      <c r="K142" s="1" t="s">
        <v>373</v>
      </c>
      <c r="L142" s="1">
        <v>8.82</v>
      </c>
      <c r="M142" s="1">
        <v>8441.78</v>
      </c>
      <c r="N142" s="1">
        <v>8442.0</v>
      </c>
      <c r="O142" s="1">
        <v>700686.0</v>
      </c>
    </row>
    <row r="143">
      <c r="A143" s="1" t="s">
        <v>374</v>
      </c>
      <c r="B143" s="1" t="s">
        <v>147</v>
      </c>
      <c r="C143" s="1">
        <v>130.2</v>
      </c>
      <c r="D143" s="1" t="s">
        <v>42</v>
      </c>
      <c r="E143" s="1" t="s">
        <v>105</v>
      </c>
      <c r="F143" s="1">
        <v>92.54</v>
      </c>
      <c r="G143" s="1">
        <v>97.74</v>
      </c>
      <c r="H143" s="1">
        <v>1.6242121259E10</v>
      </c>
      <c r="I143" s="1">
        <v>1.694052186E10</v>
      </c>
      <c r="J143" s="1" t="s">
        <v>375</v>
      </c>
      <c r="K143" s="1" t="s">
        <v>376</v>
      </c>
      <c r="L143" s="1">
        <v>4.81</v>
      </c>
      <c r="M143" s="1">
        <v>626.26</v>
      </c>
      <c r="N143" s="1">
        <v>626.0</v>
      </c>
      <c r="O143" s="1">
        <v>51958.0</v>
      </c>
    </row>
    <row r="144">
      <c r="A144" s="1" t="s">
        <v>377</v>
      </c>
      <c r="B144" s="1" t="s">
        <v>183</v>
      </c>
      <c r="C144" s="1">
        <v>193.7868</v>
      </c>
      <c r="D144" s="1" t="s">
        <v>21</v>
      </c>
      <c r="E144" s="1" t="s">
        <v>70</v>
      </c>
      <c r="F144" s="1">
        <v>43.96</v>
      </c>
      <c r="G144" s="1">
        <v>53.32</v>
      </c>
      <c r="H144" s="1">
        <v>9.8898014103E10</v>
      </c>
      <c r="I144" s="3">
        <v>1.04063E11</v>
      </c>
      <c r="J144" s="1" t="s">
        <v>378</v>
      </c>
      <c r="K144" s="1" t="s">
        <v>379</v>
      </c>
      <c r="L144" s="1">
        <v>7.0</v>
      </c>
      <c r="M144" s="1">
        <v>1356.51</v>
      </c>
      <c r="N144" s="1">
        <v>1357.0</v>
      </c>
      <c r="O144" s="1">
        <v>112631.0</v>
      </c>
    </row>
    <row r="145">
      <c r="A145" s="1" t="s">
        <v>380</v>
      </c>
      <c r="B145" s="1" t="s">
        <v>83</v>
      </c>
      <c r="C145" s="1">
        <v>165.5867</v>
      </c>
      <c r="D145" s="1" t="s">
        <v>21</v>
      </c>
      <c r="E145" s="1" t="s">
        <v>22</v>
      </c>
      <c r="F145" s="1">
        <v>49.06</v>
      </c>
      <c r="G145" s="1">
        <v>85.71</v>
      </c>
      <c r="H145" s="1">
        <v>2.7863103086E10</v>
      </c>
      <c r="I145" s="1">
        <v>2.8191939191E10</v>
      </c>
      <c r="J145" s="1" t="s">
        <v>381</v>
      </c>
      <c r="K145" s="1" t="s">
        <v>382</v>
      </c>
      <c r="L145" s="1">
        <v>7.19</v>
      </c>
      <c r="M145" s="1">
        <v>1190.57</v>
      </c>
      <c r="N145" s="1">
        <v>1191.0</v>
      </c>
      <c r="O145" s="1">
        <v>98853.0</v>
      </c>
    </row>
    <row r="146">
      <c r="A146" s="1" t="s">
        <v>383</v>
      </c>
      <c r="B146" s="1" t="s">
        <v>139</v>
      </c>
      <c r="C146" s="1">
        <v>32.85</v>
      </c>
      <c r="D146" s="1" t="s">
        <v>42</v>
      </c>
      <c r="E146" s="1" t="s">
        <v>105</v>
      </c>
      <c r="F146" s="1">
        <v>23.43</v>
      </c>
      <c r="G146" s="1">
        <v>74.89</v>
      </c>
      <c r="H146" s="1">
        <v>2.6704872779E10</v>
      </c>
      <c r="I146" s="1">
        <v>3.3422677812E10</v>
      </c>
      <c r="J146" s="1" t="s">
        <v>384</v>
      </c>
      <c r="K146" s="1" t="s">
        <v>385</v>
      </c>
      <c r="L146" s="1">
        <v>5.99</v>
      </c>
      <c r="M146" s="1">
        <v>196.77</v>
      </c>
      <c r="N146" s="1">
        <v>197.0</v>
      </c>
      <c r="O146" s="1">
        <v>16351.0</v>
      </c>
    </row>
    <row r="147">
      <c r="A147" s="1" t="s">
        <v>386</v>
      </c>
      <c r="B147" s="1" t="s">
        <v>139</v>
      </c>
      <c r="C147" s="1">
        <v>98.6</v>
      </c>
      <c r="D147" s="1" t="s">
        <v>42</v>
      </c>
      <c r="E147" s="1" t="s">
        <v>155</v>
      </c>
      <c r="F147" s="1">
        <v>81.13</v>
      </c>
      <c r="G147" s="1">
        <v>53.15</v>
      </c>
      <c r="H147" s="1">
        <v>1.2064722865E10</v>
      </c>
      <c r="I147" s="1">
        <v>1.8929788829E10</v>
      </c>
      <c r="J147" s="1" t="s">
        <v>387</v>
      </c>
      <c r="K147" s="1" t="s">
        <v>388</v>
      </c>
      <c r="L147" s="1">
        <v>7.8</v>
      </c>
      <c r="M147" s="1">
        <v>769.08</v>
      </c>
      <c r="N147" s="1">
        <v>769.0</v>
      </c>
      <c r="O147" s="1">
        <v>63827.0</v>
      </c>
    </row>
    <row r="148">
      <c r="A148" s="1" t="s">
        <v>389</v>
      </c>
      <c r="B148" s="1" t="s">
        <v>350</v>
      </c>
      <c r="C148" s="1">
        <v>513.8208</v>
      </c>
      <c r="D148" s="1" t="s">
        <v>21</v>
      </c>
      <c r="E148" s="1" t="s">
        <v>18</v>
      </c>
      <c r="F148" s="1">
        <v>58.21</v>
      </c>
      <c r="G148" s="1">
        <v>86.88</v>
      </c>
      <c r="H148" s="1">
        <v>5.5706638511E10</v>
      </c>
      <c r="I148" s="1">
        <v>6.5365610378E10</v>
      </c>
      <c r="J148" s="1" t="s">
        <v>390</v>
      </c>
      <c r="K148" s="2">
        <v>45390.42291666667</v>
      </c>
      <c r="L148" s="1">
        <v>5.53</v>
      </c>
      <c r="M148" s="1">
        <v>2841.43</v>
      </c>
      <c r="N148" s="1">
        <v>2841.0</v>
      </c>
      <c r="O148" s="1">
        <v>235803.0</v>
      </c>
    </row>
    <row r="149">
      <c r="A149" s="1" t="s">
        <v>391</v>
      </c>
      <c r="B149" s="1" t="s">
        <v>183</v>
      </c>
      <c r="C149" s="1">
        <v>151.9106</v>
      </c>
      <c r="D149" s="1" t="s">
        <v>17</v>
      </c>
      <c r="E149" s="1" t="s">
        <v>70</v>
      </c>
      <c r="F149" s="1">
        <v>49.47</v>
      </c>
      <c r="G149" s="1">
        <v>92.47</v>
      </c>
      <c r="H149" s="1">
        <v>8.1265407319E10</v>
      </c>
      <c r="I149" s="1">
        <v>8.1856337678E10</v>
      </c>
      <c r="J149" s="1" t="s">
        <v>392</v>
      </c>
      <c r="K149" s="2">
        <v>45330.67291666667</v>
      </c>
      <c r="L149" s="1">
        <v>8.21</v>
      </c>
      <c r="M149" s="1">
        <v>1247.19</v>
      </c>
      <c r="N149" s="1">
        <v>1247.0</v>
      </c>
      <c r="O149" s="1">
        <v>103501.0</v>
      </c>
    </row>
    <row r="150">
      <c r="A150" s="1" t="s">
        <v>393</v>
      </c>
      <c r="B150" s="1" t="s">
        <v>66</v>
      </c>
      <c r="C150" s="1">
        <v>33.5644</v>
      </c>
      <c r="D150" s="1" t="s">
        <v>21</v>
      </c>
      <c r="E150" s="1" t="s">
        <v>32</v>
      </c>
      <c r="F150" s="1">
        <v>64.51</v>
      </c>
      <c r="G150" s="1">
        <v>55.66</v>
      </c>
      <c r="H150" s="1">
        <v>1.4816960426E10</v>
      </c>
      <c r="I150" s="1">
        <v>1.6678511128E10</v>
      </c>
      <c r="J150" s="2">
        <v>45420.25486111111</v>
      </c>
      <c r="K150" s="2">
        <v>45451.80625</v>
      </c>
      <c r="L150" s="1">
        <v>5.34</v>
      </c>
      <c r="M150" s="1">
        <v>179.23</v>
      </c>
      <c r="N150" s="1">
        <v>179.0</v>
      </c>
      <c r="O150" s="1">
        <v>14857.0</v>
      </c>
    </row>
    <row r="151">
      <c r="A151" s="1" t="s">
        <v>394</v>
      </c>
      <c r="B151" s="1" t="s">
        <v>41</v>
      </c>
      <c r="C151" s="1">
        <v>81.9667</v>
      </c>
      <c r="D151" s="1" t="s">
        <v>42</v>
      </c>
      <c r="E151" s="1" t="s">
        <v>70</v>
      </c>
      <c r="F151" s="1">
        <v>9.11</v>
      </c>
      <c r="G151" s="1">
        <v>91.81</v>
      </c>
      <c r="H151" s="1">
        <v>2.733413636E9</v>
      </c>
      <c r="I151" s="1">
        <v>1.1394335199E10</v>
      </c>
      <c r="J151" s="1" t="s">
        <v>395</v>
      </c>
      <c r="K151" s="1" t="s">
        <v>396</v>
      </c>
      <c r="L151" s="1">
        <v>3.79</v>
      </c>
      <c r="M151" s="1">
        <v>310.65</v>
      </c>
      <c r="N151" s="1">
        <v>311.0</v>
      </c>
      <c r="O151" s="1">
        <v>25813.0</v>
      </c>
    </row>
    <row r="152">
      <c r="A152" s="1" t="s">
        <v>397</v>
      </c>
      <c r="B152" s="1" t="s">
        <v>112</v>
      </c>
      <c r="C152" s="1">
        <v>91.2833</v>
      </c>
      <c r="D152" s="1" t="s">
        <v>42</v>
      </c>
      <c r="E152" s="1" t="s">
        <v>27</v>
      </c>
      <c r="F152" s="1">
        <v>49.39</v>
      </c>
      <c r="G152" s="1">
        <v>55.98</v>
      </c>
      <c r="H152" s="1">
        <v>2.2028437577E10</v>
      </c>
      <c r="I152" s="1">
        <v>2.7660730423E10</v>
      </c>
      <c r="J152" s="2">
        <v>45512.27222222222</v>
      </c>
      <c r="K152" s="2">
        <v>45634.075694444444</v>
      </c>
      <c r="L152" s="1">
        <v>2.86</v>
      </c>
      <c r="M152" s="1">
        <v>261.07</v>
      </c>
      <c r="N152" s="1">
        <v>261.0</v>
      </c>
      <c r="O152" s="1">
        <v>21663.0</v>
      </c>
    </row>
    <row r="153">
      <c r="A153" s="1" t="s">
        <v>398</v>
      </c>
      <c r="B153" s="1" t="s">
        <v>350</v>
      </c>
      <c r="C153" s="1">
        <v>285.4157</v>
      </c>
      <c r="D153" s="1" t="s">
        <v>21</v>
      </c>
      <c r="E153" s="1" t="s">
        <v>37</v>
      </c>
      <c r="F153" s="1">
        <v>61.17</v>
      </c>
      <c r="G153" s="1">
        <v>60.41</v>
      </c>
      <c r="H153" s="1">
        <v>9.0250268485E10</v>
      </c>
      <c r="I153" s="1">
        <v>9.3158127891E10</v>
      </c>
      <c r="J153" s="1" t="s">
        <v>399</v>
      </c>
      <c r="K153" s="1" t="s">
        <v>400</v>
      </c>
      <c r="L153" s="1">
        <v>4.99</v>
      </c>
      <c r="M153" s="1">
        <v>1424.22</v>
      </c>
      <c r="N153" s="1">
        <v>1424.0</v>
      </c>
      <c r="O153" s="1">
        <v>118192.0</v>
      </c>
    </row>
    <row r="154">
      <c r="A154" s="1" t="s">
        <v>401</v>
      </c>
      <c r="B154" s="1" t="s">
        <v>46</v>
      </c>
      <c r="C154" s="1">
        <v>920.1814</v>
      </c>
      <c r="D154" s="1" t="s">
        <v>21</v>
      </c>
      <c r="E154" s="1" t="s">
        <v>37</v>
      </c>
      <c r="F154" s="1">
        <v>11.67</v>
      </c>
      <c r="G154" s="1">
        <v>6.75</v>
      </c>
      <c r="H154" s="1">
        <v>4.1021653388E10</v>
      </c>
      <c r="I154" s="1">
        <v>4.1645168947E10</v>
      </c>
      <c r="J154" s="2">
        <v>45299.677083333336</v>
      </c>
      <c r="K154" s="2">
        <v>45359.90833333333</v>
      </c>
      <c r="L154" s="1">
        <v>5.78</v>
      </c>
      <c r="M154" s="1">
        <v>5318.65</v>
      </c>
      <c r="N154" s="1">
        <v>5319.0</v>
      </c>
      <c r="O154" s="1">
        <v>441477.0</v>
      </c>
    </row>
    <row r="155">
      <c r="A155" s="1" t="s">
        <v>402</v>
      </c>
      <c r="B155" s="1" t="s">
        <v>57</v>
      </c>
      <c r="C155" s="1">
        <v>172.8983</v>
      </c>
      <c r="D155" s="1" t="s">
        <v>17</v>
      </c>
      <c r="E155" s="1" t="s">
        <v>58</v>
      </c>
      <c r="F155" s="1">
        <v>65.78</v>
      </c>
      <c r="G155" s="1">
        <v>49.37</v>
      </c>
      <c r="H155" s="1">
        <v>4.0690406858E10</v>
      </c>
      <c r="I155" s="1">
        <v>4.2071342892E10</v>
      </c>
      <c r="J155" s="1" t="s">
        <v>403</v>
      </c>
      <c r="K155" s="1" t="s">
        <v>404</v>
      </c>
      <c r="L155" s="1">
        <v>3.57</v>
      </c>
      <c r="M155" s="1">
        <v>617.25</v>
      </c>
      <c r="N155" s="1">
        <v>617.0</v>
      </c>
      <c r="O155" s="1">
        <v>51211.0</v>
      </c>
    </row>
    <row r="156">
      <c r="A156" s="1" t="s">
        <v>405</v>
      </c>
      <c r="B156" s="1" t="s">
        <v>20</v>
      </c>
      <c r="C156" s="1">
        <v>797.1267</v>
      </c>
      <c r="D156" s="1" t="s">
        <v>17</v>
      </c>
      <c r="E156" s="1" t="s">
        <v>155</v>
      </c>
      <c r="F156" s="1">
        <v>47.26</v>
      </c>
      <c r="G156" s="1">
        <v>32.4</v>
      </c>
      <c r="H156" s="1">
        <v>4.9133289978E10</v>
      </c>
      <c r="I156" s="1">
        <v>5.7067243038E10</v>
      </c>
      <c r="J156" s="1" t="s">
        <v>406</v>
      </c>
      <c r="K156" s="1" t="s">
        <v>407</v>
      </c>
      <c r="L156" s="1">
        <v>2.37</v>
      </c>
      <c r="M156" s="1">
        <v>1889.19</v>
      </c>
      <c r="N156" s="1">
        <v>1889.0</v>
      </c>
      <c r="O156" s="1">
        <v>156787.0</v>
      </c>
    </row>
    <row r="157">
      <c r="A157" s="1" t="s">
        <v>408</v>
      </c>
      <c r="B157" s="1" t="s">
        <v>350</v>
      </c>
      <c r="C157" s="1">
        <v>969.2377</v>
      </c>
      <c r="D157" s="1" t="s">
        <v>21</v>
      </c>
      <c r="E157" s="1" t="s">
        <v>70</v>
      </c>
      <c r="F157" s="1">
        <v>75.63</v>
      </c>
      <c r="G157" s="1">
        <v>26.47</v>
      </c>
      <c r="H157" s="1">
        <v>6.6245831479E10</v>
      </c>
      <c r="I157" s="1">
        <v>6.8572243374E10</v>
      </c>
      <c r="J157" s="2">
        <v>45512.29652777778</v>
      </c>
      <c r="K157" s="2">
        <v>45604.22083333333</v>
      </c>
      <c r="L157" s="1">
        <v>3.68</v>
      </c>
      <c r="M157" s="1">
        <v>3566.79</v>
      </c>
      <c r="N157" s="1">
        <v>3567.0</v>
      </c>
      <c r="O157" s="1">
        <v>296061.0</v>
      </c>
    </row>
    <row r="158">
      <c r="A158" s="1" t="s">
        <v>409</v>
      </c>
      <c r="B158" s="1" t="s">
        <v>139</v>
      </c>
      <c r="C158" s="1">
        <v>41.0</v>
      </c>
      <c r="D158" s="1" t="s">
        <v>42</v>
      </c>
      <c r="E158" s="1" t="s">
        <v>27</v>
      </c>
      <c r="F158" s="1">
        <v>12.48</v>
      </c>
      <c r="G158" s="1">
        <v>86.83</v>
      </c>
      <c r="H158" s="1">
        <v>6.7740447477E10</v>
      </c>
      <c r="I158" s="1">
        <v>7.2345991079E10</v>
      </c>
      <c r="J158" s="1" t="s">
        <v>410</v>
      </c>
      <c r="K158" s="1" t="s">
        <v>411</v>
      </c>
      <c r="L158" s="1">
        <v>9.52</v>
      </c>
      <c r="M158" s="1">
        <v>390.32</v>
      </c>
      <c r="N158" s="1">
        <v>390.0</v>
      </c>
      <c r="O158" s="1">
        <v>32370.0</v>
      </c>
    </row>
    <row r="159">
      <c r="A159" s="1" t="s">
        <v>412</v>
      </c>
      <c r="B159" s="1" t="s">
        <v>60</v>
      </c>
      <c r="C159" s="1">
        <v>29.4333</v>
      </c>
      <c r="D159" s="1" t="s">
        <v>42</v>
      </c>
      <c r="E159" s="1" t="s">
        <v>70</v>
      </c>
      <c r="F159" s="1">
        <v>42.37</v>
      </c>
      <c r="G159" s="1">
        <v>10.16</v>
      </c>
      <c r="H159" s="1">
        <v>5.9618341689E10</v>
      </c>
      <c r="I159" s="1">
        <v>6.2544877344E10</v>
      </c>
      <c r="J159" s="1" t="s">
        <v>413</v>
      </c>
      <c r="K159" s="1" t="s">
        <v>414</v>
      </c>
      <c r="L159" s="1">
        <v>2.46</v>
      </c>
      <c r="M159" s="1">
        <v>72.41</v>
      </c>
      <c r="N159" s="1">
        <v>72.0</v>
      </c>
      <c r="O159" s="1">
        <v>5976.0</v>
      </c>
    </row>
    <row r="160">
      <c r="A160" s="1" t="s">
        <v>415</v>
      </c>
      <c r="B160" s="1" t="s">
        <v>79</v>
      </c>
      <c r="C160" s="1">
        <v>527.2681</v>
      </c>
      <c r="D160" s="1" t="s">
        <v>17</v>
      </c>
      <c r="E160" s="1" t="s">
        <v>155</v>
      </c>
      <c r="F160" s="1">
        <v>61.56</v>
      </c>
      <c r="G160" s="1">
        <v>43.96</v>
      </c>
      <c r="H160" s="1">
        <v>2.6482469626E10</v>
      </c>
      <c r="I160" s="1">
        <v>2.7726221853E10</v>
      </c>
      <c r="J160" s="2">
        <v>45389.49722222222</v>
      </c>
      <c r="K160" s="2">
        <v>45511.93194444444</v>
      </c>
      <c r="L160" s="1">
        <v>8.95</v>
      </c>
      <c r="M160" s="1">
        <v>4719.05</v>
      </c>
      <c r="N160" s="1">
        <v>4719.0</v>
      </c>
      <c r="O160" s="1">
        <v>391677.0</v>
      </c>
    </row>
    <row r="161">
      <c r="A161" s="1" t="s">
        <v>416</v>
      </c>
      <c r="B161" s="1" t="s">
        <v>20</v>
      </c>
      <c r="C161" s="1">
        <v>479.0396</v>
      </c>
      <c r="D161" s="1" t="s">
        <v>21</v>
      </c>
      <c r="E161" s="1" t="s">
        <v>123</v>
      </c>
      <c r="F161" s="1">
        <v>42.92</v>
      </c>
      <c r="G161" s="1">
        <v>44.41</v>
      </c>
      <c r="H161" s="1">
        <v>8.5684453033E10</v>
      </c>
      <c r="I161" s="1">
        <v>9.2660908223E10</v>
      </c>
      <c r="J161" s="1" t="s">
        <v>417</v>
      </c>
      <c r="K161" s="1" t="s">
        <v>418</v>
      </c>
      <c r="L161" s="1">
        <v>9.37</v>
      </c>
      <c r="M161" s="1">
        <v>4488.6</v>
      </c>
      <c r="N161" s="1">
        <v>4489.0</v>
      </c>
      <c r="O161" s="1">
        <v>372587.0</v>
      </c>
    </row>
    <row r="162">
      <c r="A162" s="1" t="s">
        <v>419</v>
      </c>
      <c r="B162" s="1" t="s">
        <v>66</v>
      </c>
      <c r="C162" s="1">
        <v>380.5532</v>
      </c>
      <c r="D162" s="1" t="s">
        <v>21</v>
      </c>
      <c r="E162" s="1" t="s">
        <v>18</v>
      </c>
      <c r="F162" s="1">
        <v>72.64</v>
      </c>
      <c r="G162" s="1">
        <v>5.69</v>
      </c>
      <c r="H162" s="1">
        <v>3.859269819E10</v>
      </c>
      <c r="I162" s="1">
        <v>4.3204718062E10</v>
      </c>
      <c r="J162" s="2">
        <v>45480.18263888889</v>
      </c>
      <c r="K162" s="2">
        <v>45572.54236111111</v>
      </c>
      <c r="L162" s="1">
        <v>1.44</v>
      </c>
      <c r="M162" s="1">
        <v>548.0</v>
      </c>
      <c r="N162" s="1">
        <v>548.0</v>
      </c>
      <c r="O162" s="1">
        <v>45484.0</v>
      </c>
    </row>
    <row r="163">
      <c r="A163" s="1" t="s">
        <v>420</v>
      </c>
      <c r="B163" s="1" t="s">
        <v>62</v>
      </c>
      <c r="C163" s="1">
        <v>85.9833</v>
      </c>
      <c r="D163" s="1" t="s">
        <v>42</v>
      </c>
      <c r="E163" s="1" t="s">
        <v>70</v>
      </c>
      <c r="F163" s="1">
        <v>53.92</v>
      </c>
      <c r="G163" s="1">
        <v>87.64</v>
      </c>
      <c r="H163" s="1">
        <v>6.2733736295E10</v>
      </c>
      <c r="I163" s="1">
        <v>6.3469831841E10</v>
      </c>
      <c r="J163" s="1" t="s">
        <v>421</v>
      </c>
      <c r="K163" s="1" t="s">
        <v>422</v>
      </c>
      <c r="L163" s="1">
        <v>5.13</v>
      </c>
      <c r="M163" s="1">
        <v>441.09</v>
      </c>
      <c r="N163" s="1">
        <v>441.0</v>
      </c>
      <c r="O163" s="1">
        <v>36603.0</v>
      </c>
    </row>
    <row r="164">
      <c r="A164" s="1" t="s">
        <v>423</v>
      </c>
      <c r="B164" s="1" t="s">
        <v>79</v>
      </c>
      <c r="C164" s="1">
        <v>229.8575</v>
      </c>
      <c r="D164" s="1" t="s">
        <v>21</v>
      </c>
      <c r="E164" s="1" t="s">
        <v>22</v>
      </c>
      <c r="F164" s="1">
        <v>57.46</v>
      </c>
      <c r="G164" s="1">
        <v>77.24</v>
      </c>
      <c r="H164" s="1">
        <v>3.8855757756E10</v>
      </c>
      <c r="I164" s="1">
        <v>4.7760727242E10</v>
      </c>
      <c r="J164" s="1" t="s">
        <v>424</v>
      </c>
      <c r="K164" s="1" t="s">
        <v>425</v>
      </c>
      <c r="L164" s="1">
        <v>6.93</v>
      </c>
      <c r="M164" s="1">
        <v>1592.91</v>
      </c>
      <c r="N164" s="1">
        <v>1593.0</v>
      </c>
      <c r="O164" s="1">
        <v>132219.0</v>
      </c>
    </row>
    <row r="165">
      <c r="A165" s="1" t="s">
        <v>426</v>
      </c>
      <c r="B165" s="1" t="s">
        <v>62</v>
      </c>
      <c r="C165" s="1">
        <v>40.5167</v>
      </c>
      <c r="D165" s="1" t="s">
        <v>42</v>
      </c>
      <c r="E165" s="1" t="s">
        <v>58</v>
      </c>
      <c r="F165" s="1">
        <v>72.28</v>
      </c>
      <c r="G165" s="1">
        <v>1.07</v>
      </c>
      <c r="H165" s="1">
        <v>6.6864225934E10</v>
      </c>
      <c r="I165" s="1">
        <v>7.5372480341E10</v>
      </c>
      <c r="J165" s="2">
        <v>45389.40625</v>
      </c>
      <c r="K165" s="2">
        <v>45450.09444444445</v>
      </c>
      <c r="L165" s="1">
        <v>1.69</v>
      </c>
      <c r="M165" s="1">
        <v>68.47</v>
      </c>
      <c r="N165" s="1">
        <v>68.0</v>
      </c>
      <c r="O165" s="1">
        <v>5644.0</v>
      </c>
    </row>
    <row r="166">
      <c r="A166" s="1" t="s">
        <v>427</v>
      </c>
      <c r="B166" s="1" t="s">
        <v>139</v>
      </c>
      <c r="C166" s="1">
        <v>83.7833</v>
      </c>
      <c r="D166" s="1" t="s">
        <v>42</v>
      </c>
      <c r="E166" s="1" t="s">
        <v>123</v>
      </c>
      <c r="F166" s="1">
        <v>76.93</v>
      </c>
      <c r="G166" s="1">
        <v>36.58</v>
      </c>
      <c r="H166" s="1">
        <v>8.648174636E9</v>
      </c>
      <c r="I166" s="1">
        <v>1.1656487141E10</v>
      </c>
      <c r="J166" s="2">
        <v>45451.78888888889</v>
      </c>
      <c r="K166" s="2">
        <v>45573.279861111114</v>
      </c>
      <c r="L166" s="1">
        <v>3.78</v>
      </c>
      <c r="M166" s="1">
        <v>316.7</v>
      </c>
      <c r="N166" s="1">
        <v>317.0</v>
      </c>
      <c r="O166" s="1">
        <v>26311.0</v>
      </c>
    </row>
    <row r="167">
      <c r="A167" s="1" t="s">
        <v>428</v>
      </c>
      <c r="B167" s="1" t="s">
        <v>57</v>
      </c>
      <c r="C167" s="1">
        <v>951.3968</v>
      </c>
      <c r="D167" s="1" t="s">
        <v>17</v>
      </c>
      <c r="E167" s="1" t="s">
        <v>123</v>
      </c>
      <c r="F167" s="1">
        <v>12.4</v>
      </c>
      <c r="G167" s="1">
        <v>54.56</v>
      </c>
      <c r="H167" s="1">
        <v>7.7197161447E10</v>
      </c>
      <c r="I167" s="1">
        <v>8.3422102658E10</v>
      </c>
      <c r="J167" s="1" t="s">
        <v>429</v>
      </c>
      <c r="K167" s="1" t="s">
        <v>430</v>
      </c>
      <c r="L167" s="1">
        <v>6.63</v>
      </c>
      <c r="M167" s="1">
        <v>6307.76</v>
      </c>
      <c r="N167" s="1">
        <v>6308.0</v>
      </c>
      <c r="O167" s="1">
        <v>523564.0</v>
      </c>
    </row>
    <row r="168">
      <c r="A168" s="1" t="s">
        <v>431</v>
      </c>
      <c r="B168" s="1" t="s">
        <v>31</v>
      </c>
      <c r="C168" s="1">
        <v>70.2611</v>
      </c>
      <c r="D168" s="1" t="s">
        <v>21</v>
      </c>
      <c r="E168" s="1" t="s">
        <v>18</v>
      </c>
      <c r="F168" s="1">
        <v>79.35</v>
      </c>
      <c r="G168" s="1">
        <v>87.01</v>
      </c>
      <c r="H168" s="1">
        <v>2.5349910366E10</v>
      </c>
      <c r="I168" s="1">
        <v>3.4833914449E10</v>
      </c>
      <c r="J168" s="1" t="s">
        <v>432</v>
      </c>
      <c r="K168" s="1" t="s">
        <v>433</v>
      </c>
      <c r="L168" s="1">
        <v>2.98</v>
      </c>
      <c r="M168" s="1">
        <v>209.38</v>
      </c>
      <c r="N168" s="1">
        <v>209.0</v>
      </c>
      <c r="O168" s="1">
        <v>17347.0</v>
      </c>
    </row>
    <row r="169">
      <c r="A169" s="1" t="s">
        <v>434</v>
      </c>
      <c r="B169" s="1" t="s">
        <v>128</v>
      </c>
      <c r="C169" s="1">
        <v>238.7864</v>
      </c>
      <c r="D169" s="1" t="s">
        <v>17</v>
      </c>
      <c r="E169" s="1" t="s">
        <v>54</v>
      </c>
      <c r="F169" s="1">
        <v>5.93</v>
      </c>
      <c r="G169" s="1">
        <v>62.48</v>
      </c>
      <c r="H169" s="1">
        <v>5.7070039373E10</v>
      </c>
      <c r="I169" s="1">
        <v>5.8938060747E10</v>
      </c>
      <c r="J169" s="2">
        <v>45572.5625</v>
      </c>
      <c r="K169" s="1" t="s">
        <v>435</v>
      </c>
      <c r="L169" s="1">
        <v>8.27</v>
      </c>
      <c r="M169" s="1">
        <v>1974.76</v>
      </c>
      <c r="N169" s="1">
        <v>1975.0</v>
      </c>
      <c r="O169" s="1">
        <v>163925.0</v>
      </c>
    </row>
    <row r="170">
      <c r="A170" s="1" t="s">
        <v>436</v>
      </c>
      <c r="B170" s="1" t="s">
        <v>99</v>
      </c>
      <c r="C170" s="1">
        <v>922.9486</v>
      </c>
      <c r="D170" s="1" t="s">
        <v>17</v>
      </c>
      <c r="E170" s="1" t="s">
        <v>105</v>
      </c>
      <c r="F170" s="1">
        <v>76.92</v>
      </c>
      <c r="G170" s="1">
        <v>85.55</v>
      </c>
      <c r="H170" s="1">
        <v>6.5876897775E10</v>
      </c>
      <c r="I170" s="1">
        <v>7.0949514077E10</v>
      </c>
      <c r="J170" s="1" t="s">
        <v>437</v>
      </c>
      <c r="K170" s="1" t="s">
        <v>438</v>
      </c>
      <c r="L170" s="1">
        <v>8.95</v>
      </c>
      <c r="M170" s="1">
        <v>8260.39</v>
      </c>
      <c r="N170" s="1">
        <v>8260.0</v>
      </c>
      <c r="O170" s="1">
        <v>685580.0</v>
      </c>
    </row>
    <row r="171">
      <c r="A171" s="1" t="s">
        <v>439</v>
      </c>
      <c r="B171" s="1" t="s">
        <v>20</v>
      </c>
      <c r="C171" s="1">
        <v>725.2437</v>
      </c>
      <c r="D171" s="1" t="s">
        <v>17</v>
      </c>
      <c r="E171" s="1" t="s">
        <v>27</v>
      </c>
      <c r="F171" s="1">
        <v>8.5</v>
      </c>
      <c r="G171" s="1">
        <v>97.79</v>
      </c>
      <c r="H171" s="1">
        <v>5.381390902E10</v>
      </c>
      <c r="I171" s="1">
        <v>5.9457074076E10</v>
      </c>
      <c r="J171" s="2">
        <v>45330.853472222225</v>
      </c>
      <c r="K171" s="2">
        <v>45420.86666666667</v>
      </c>
      <c r="L171" s="1">
        <v>1.08</v>
      </c>
      <c r="M171" s="1">
        <v>783.26</v>
      </c>
      <c r="N171" s="1">
        <v>783.0</v>
      </c>
      <c r="O171" s="1">
        <v>64989.0</v>
      </c>
    </row>
    <row r="172">
      <c r="A172" s="1" t="s">
        <v>440</v>
      </c>
      <c r="B172" s="1" t="s">
        <v>41</v>
      </c>
      <c r="C172" s="1">
        <v>105.8667</v>
      </c>
      <c r="D172" s="1" t="s">
        <v>42</v>
      </c>
      <c r="E172" s="1" t="s">
        <v>58</v>
      </c>
      <c r="F172" s="1">
        <v>61.54</v>
      </c>
      <c r="G172" s="1">
        <v>32.76</v>
      </c>
      <c r="H172" s="1">
        <v>6.1905026501E10</v>
      </c>
      <c r="I172" s="1">
        <v>6.971196411E10</v>
      </c>
      <c r="J172" s="1" t="s">
        <v>441</v>
      </c>
      <c r="K172" s="1" t="s">
        <v>442</v>
      </c>
      <c r="L172" s="1">
        <v>5.77</v>
      </c>
      <c r="M172" s="1">
        <v>610.85</v>
      </c>
      <c r="N172" s="1">
        <v>611.0</v>
      </c>
      <c r="O172" s="1">
        <v>50713.0</v>
      </c>
    </row>
    <row r="173">
      <c r="A173" s="1" t="s">
        <v>443</v>
      </c>
      <c r="B173" s="1" t="s">
        <v>62</v>
      </c>
      <c r="C173" s="1">
        <v>104.3167</v>
      </c>
      <c r="D173" s="1" t="s">
        <v>42</v>
      </c>
      <c r="E173" s="1" t="s">
        <v>105</v>
      </c>
      <c r="F173" s="1">
        <v>68.9</v>
      </c>
      <c r="G173" s="1">
        <v>78.67</v>
      </c>
      <c r="H173" s="1">
        <v>9.7238146056E10</v>
      </c>
      <c r="I173" s="3">
        <v>1.0002E11</v>
      </c>
      <c r="J173" s="2">
        <v>45512.152083333334</v>
      </c>
      <c r="K173" s="2">
        <v>45634.498611111114</v>
      </c>
      <c r="L173" s="1">
        <v>4.78</v>
      </c>
      <c r="M173" s="1">
        <v>498.63</v>
      </c>
      <c r="N173" s="1">
        <v>499.0</v>
      </c>
      <c r="O173" s="1">
        <v>41417.0</v>
      </c>
    </row>
    <row r="174">
      <c r="A174" s="1" t="s">
        <v>444</v>
      </c>
      <c r="B174" s="1" t="s">
        <v>53</v>
      </c>
      <c r="C174" s="1">
        <v>93.7206</v>
      </c>
      <c r="D174" s="1" t="s">
        <v>17</v>
      </c>
      <c r="E174" s="1" t="s">
        <v>155</v>
      </c>
      <c r="F174" s="1">
        <v>37.37</v>
      </c>
      <c r="G174" s="1">
        <v>52.97</v>
      </c>
      <c r="H174" s="1">
        <v>8.4776844257E10</v>
      </c>
      <c r="I174" s="1">
        <v>8.696757628E10</v>
      </c>
      <c r="J174" s="1" t="s">
        <v>445</v>
      </c>
      <c r="K174" s="1" t="s">
        <v>446</v>
      </c>
      <c r="L174" s="1">
        <v>9.06</v>
      </c>
      <c r="M174" s="1">
        <v>849.11</v>
      </c>
      <c r="N174" s="1">
        <v>849.0</v>
      </c>
      <c r="O174" s="1">
        <v>70467.0</v>
      </c>
    </row>
    <row r="175">
      <c r="A175" s="1" t="s">
        <v>447</v>
      </c>
      <c r="B175" s="1" t="s">
        <v>122</v>
      </c>
      <c r="C175" s="1">
        <v>856.1696</v>
      </c>
      <c r="D175" s="1" t="s">
        <v>21</v>
      </c>
      <c r="E175" s="1" t="s">
        <v>70</v>
      </c>
      <c r="F175" s="1">
        <v>91.24</v>
      </c>
      <c r="G175" s="1">
        <v>32.24</v>
      </c>
      <c r="H175" s="1">
        <v>3.379128365E9</v>
      </c>
      <c r="I175" s="1">
        <v>1.3278666797E10</v>
      </c>
      <c r="J175" s="1" t="s">
        <v>448</v>
      </c>
      <c r="K175" s="1" t="s">
        <v>449</v>
      </c>
      <c r="L175" s="1">
        <v>9.55</v>
      </c>
      <c r="M175" s="1">
        <v>8176.42</v>
      </c>
      <c r="N175" s="1">
        <v>8176.0</v>
      </c>
      <c r="O175" s="1">
        <v>678608.0</v>
      </c>
    </row>
    <row r="176">
      <c r="A176" s="1" t="s">
        <v>450</v>
      </c>
      <c r="B176" s="1" t="s">
        <v>79</v>
      </c>
      <c r="C176" s="1">
        <v>698.9762</v>
      </c>
      <c r="D176" s="1" t="s">
        <v>17</v>
      </c>
      <c r="E176" s="1" t="s">
        <v>74</v>
      </c>
      <c r="F176" s="1">
        <v>57.55</v>
      </c>
      <c r="G176" s="1">
        <v>24.88</v>
      </c>
      <c r="H176" s="1">
        <v>4.379117542E9</v>
      </c>
      <c r="I176" s="1">
        <v>9.661924322E9</v>
      </c>
      <c r="J176" s="2">
        <v>45481.143055555556</v>
      </c>
      <c r="K176" s="2">
        <v>45573.58541666667</v>
      </c>
      <c r="L176" s="1">
        <v>5.51</v>
      </c>
      <c r="M176" s="1">
        <v>3851.36</v>
      </c>
      <c r="N176" s="1">
        <v>3851.0</v>
      </c>
      <c r="O176" s="1">
        <v>319633.0</v>
      </c>
    </row>
    <row r="177">
      <c r="A177" s="1" t="s">
        <v>451</v>
      </c>
      <c r="B177" s="1" t="s">
        <v>66</v>
      </c>
      <c r="C177" s="1">
        <v>30.4465</v>
      </c>
      <c r="D177" s="1" t="s">
        <v>21</v>
      </c>
      <c r="E177" s="1" t="s">
        <v>37</v>
      </c>
      <c r="F177" s="1">
        <v>99.65</v>
      </c>
      <c r="G177" s="1">
        <v>0.11</v>
      </c>
      <c r="H177" s="1">
        <v>1.65733187E9</v>
      </c>
      <c r="I177" s="1">
        <v>2.827341389E9</v>
      </c>
      <c r="J177" s="2">
        <v>45358.94513888889</v>
      </c>
      <c r="K177" s="2">
        <v>45450.76388888889</v>
      </c>
      <c r="L177" s="1">
        <v>1.52</v>
      </c>
      <c r="M177" s="1">
        <v>46.28</v>
      </c>
      <c r="N177" s="1">
        <v>46.0</v>
      </c>
      <c r="O177" s="1">
        <v>3818.0</v>
      </c>
    </row>
    <row r="178">
      <c r="A178" s="1" t="s">
        <v>452</v>
      </c>
      <c r="B178" s="1" t="s">
        <v>147</v>
      </c>
      <c r="C178" s="1">
        <v>71.3667</v>
      </c>
      <c r="D178" s="1" t="s">
        <v>42</v>
      </c>
      <c r="E178" s="1" t="s">
        <v>105</v>
      </c>
      <c r="F178" s="1">
        <v>83.66</v>
      </c>
      <c r="G178" s="1">
        <v>66.91</v>
      </c>
      <c r="H178" s="1">
        <v>6.3346149998E10</v>
      </c>
      <c r="I178" s="1">
        <v>7.2045495081E10</v>
      </c>
      <c r="J178" s="1" t="s">
        <v>453</v>
      </c>
      <c r="K178" s="1" t="s">
        <v>454</v>
      </c>
      <c r="L178" s="1">
        <v>6.34</v>
      </c>
      <c r="M178" s="1">
        <v>452.46</v>
      </c>
      <c r="N178" s="1">
        <v>452.0</v>
      </c>
      <c r="O178" s="1">
        <v>37516.0</v>
      </c>
    </row>
    <row r="179">
      <c r="A179" s="1" t="s">
        <v>455</v>
      </c>
      <c r="B179" s="1" t="s">
        <v>122</v>
      </c>
      <c r="C179" s="1">
        <v>699.0504</v>
      </c>
      <c r="D179" s="1" t="s">
        <v>17</v>
      </c>
      <c r="E179" s="1" t="s">
        <v>22</v>
      </c>
      <c r="F179" s="1">
        <v>53.13</v>
      </c>
      <c r="G179" s="1">
        <v>5.13</v>
      </c>
      <c r="H179" s="1">
        <v>9.9559644545E10</v>
      </c>
      <c r="I179" s="3">
        <v>1.00325E11</v>
      </c>
      <c r="J179" s="1" t="s">
        <v>456</v>
      </c>
      <c r="K179" s="1" t="s">
        <v>457</v>
      </c>
      <c r="L179" s="1">
        <v>3.09</v>
      </c>
      <c r="M179" s="1">
        <v>2160.07</v>
      </c>
      <c r="N179" s="1">
        <v>2160.0</v>
      </c>
      <c r="O179" s="1">
        <v>179280.0</v>
      </c>
    </row>
    <row r="180">
      <c r="A180" s="1" t="s">
        <v>458</v>
      </c>
      <c r="B180" s="1" t="s">
        <v>128</v>
      </c>
      <c r="C180" s="1">
        <v>511.0128</v>
      </c>
      <c r="D180" s="1" t="s">
        <v>17</v>
      </c>
      <c r="E180" s="1" t="s">
        <v>70</v>
      </c>
      <c r="F180" s="1">
        <v>11.45</v>
      </c>
      <c r="G180" s="1">
        <v>18.5</v>
      </c>
      <c r="H180" s="1">
        <v>8.0653163423E10</v>
      </c>
      <c r="I180" s="1">
        <v>8.1552719599E10</v>
      </c>
      <c r="J180" s="1" t="s">
        <v>459</v>
      </c>
      <c r="K180" s="1" t="s">
        <v>460</v>
      </c>
      <c r="L180" s="1">
        <v>1.23</v>
      </c>
      <c r="M180" s="1">
        <v>628.55</v>
      </c>
      <c r="N180" s="1">
        <v>629.0</v>
      </c>
      <c r="O180" s="1">
        <v>52207.0</v>
      </c>
    </row>
    <row r="181">
      <c r="A181" s="1" t="s">
        <v>461</v>
      </c>
      <c r="B181" s="1" t="s">
        <v>57</v>
      </c>
      <c r="C181" s="1">
        <v>169.8362</v>
      </c>
      <c r="D181" s="1" t="s">
        <v>17</v>
      </c>
      <c r="E181" s="1" t="s">
        <v>74</v>
      </c>
      <c r="F181" s="1">
        <v>75.4</v>
      </c>
      <c r="G181" s="1">
        <v>25.97</v>
      </c>
      <c r="H181" s="1">
        <v>6.0578679054E10</v>
      </c>
      <c r="I181" s="1">
        <v>6.2836495997E10</v>
      </c>
      <c r="J181" s="1" t="s">
        <v>462</v>
      </c>
      <c r="K181" s="1" t="s">
        <v>463</v>
      </c>
      <c r="L181" s="1">
        <v>8.25</v>
      </c>
      <c r="M181" s="1">
        <v>1401.15</v>
      </c>
      <c r="N181" s="1">
        <v>1401.0</v>
      </c>
      <c r="O181" s="1">
        <v>116283.0</v>
      </c>
    </row>
    <row r="182">
      <c r="A182" s="1" t="s">
        <v>464</v>
      </c>
      <c r="B182" s="1" t="s">
        <v>60</v>
      </c>
      <c r="C182" s="1">
        <v>77.6</v>
      </c>
      <c r="D182" s="1" t="s">
        <v>42</v>
      </c>
      <c r="E182" s="1" t="s">
        <v>70</v>
      </c>
      <c r="F182" s="1">
        <v>94.98</v>
      </c>
      <c r="G182" s="1">
        <v>41.46</v>
      </c>
      <c r="H182" s="1">
        <v>7.315814339E9</v>
      </c>
      <c r="I182" s="1">
        <v>1.6166250549E10</v>
      </c>
      <c r="J182" s="1" t="s">
        <v>465</v>
      </c>
      <c r="K182" s="1" t="s">
        <v>466</v>
      </c>
      <c r="L182" s="1">
        <v>9.14</v>
      </c>
      <c r="M182" s="1">
        <v>709.26</v>
      </c>
      <c r="N182" s="1">
        <v>709.0</v>
      </c>
      <c r="O182" s="1">
        <v>58847.0</v>
      </c>
    </row>
    <row r="183">
      <c r="A183" s="1" t="s">
        <v>467</v>
      </c>
      <c r="B183" s="1" t="s">
        <v>139</v>
      </c>
      <c r="C183" s="1">
        <v>142.6833</v>
      </c>
      <c r="D183" s="1" t="s">
        <v>42</v>
      </c>
      <c r="E183" s="1" t="s">
        <v>18</v>
      </c>
      <c r="F183" s="1">
        <v>71.19</v>
      </c>
      <c r="G183" s="1">
        <v>48.74</v>
      </c>
      <c r="H183" s="1">
        <v>7.1678352875E10</v>
      </c>
      <c r="I183" s="1">
        <v>7.2257386501E10</v>
      </c>
      <c r="J183" s="2">
        <v>45480.36944444444</v>
      </c>
      <c r="K183" s="1" t="s">
        <v>468</v>
      </c>
      <c r="L183" s="1">
        <v>4.01</v>
      </c>
      <c r="M183" s="1">
        <v>572.16</v>
      </c>
      <c r="N183" s="1">
        <v>572.0</v>
      </c>
      <c r="O183" s="1">
        <v>47476.0</v>
      </c>
    </row>
    <row r="184">
      <c r="A184" s="1" t="s">
        <v>469</v>
      </c>
      <c r="B184" s="1" t="s">
        <v>147</v>
      </c>
      <c r="C184" s="1">
        <v>110.75</v>
      </c>
      <c r="D184" s="1" t="s">
        <v>42</v>
      </c>
      <c r="E184" s="1" t="s">
        <v>18</v>
      </c>
      <c r="F184" s="1">
        <v>53.2</v>
      </c>
      <c r="G184" s="1">
        <v>42.02</v>
      </c>
      <c r="H184" s="1">
        <v>5.3292001133E10</v>
      </c>
      <c r="I184" s="1">
        <v>5.8798521388E10</v>
      </c>
      <c r="J184" s="2">
        <v>45359.80763888889</v>
      </c>
      <c r="K184" s="2">
        <v>45512.42222222222</v>
      </c>
      <c r="L184" s="1">
        <v>1.54</v>
      </c>
      <c r="M184" s="1">
        <v>170.56</v>
      </c>
      <c r="N184" s="1">
        <v>171.0</v>
      </c>
      <c r="O184" s="1">
        <v>14193.0</v>
      </c>
    </row>
    <row r="185">
      <c r="A185" s="1" t="s">
        <v>470</v>
      </c>
      <c r="B185" s="1" t="s">
        <v>112</v>
      </c>
      <c r="C185" s="1">
        <v>116.6333</v>
      </c>
      <c r="D185" s="1" t="s">
        <v>42</v>
      </c>
      <c r="E185" s="1" t="s">
        <v>155</v>
      </c>
      <c r="F185" s="1">
        <v>8.0</v>
      </c>
      <c r="G185" s="1">
        <v>11.98</v>
      </c>
      <c r="H185" s="1">
        <v>3.1692931997E10</v>
      </c>
      <c r="I185" s="1">
        <v>3.357794678E10</v>
      </c>
      <c r="J185" s="2">
        <v>45604.197222222225</v>
      </c>
      <c r="K185" s="1" t="s">
        <v>471</v>
      </c>
      <c r="L185" s="1">
        <v>3.2</v>
      </c>
      <c r="M185" s="1">
        <v>373.23</v>
      </c>
      <c r="N185" s="1">
        <v>373.0</v>
      </c>
      <c r="O185" s="1">
        <v>30959.0</v>
      </c>
    </row>
    <row r="186">
      <c r="A186" s="1" t="s">
        <v>472</v>
      </c>
      <c r="B186" s="1" t="s">
        <v>183</v>
      </c>
      <c r="C186" s="1">
        <v>401.5322</v>
      </c>
      <c r="D186" s="1" t="s">
        <v>17</v>
      </c>
      <c r="E186" s="1" t="s">
        <v>37</v>
      </c>
      <c r="F186" s="1">
        <v>65.74</v>
      </c>
      <c r="G186" s="1">
        <v>16.9</v>
      </c>
      <c r="H186" s="1">
        <v>5.0360694511E10</v>
      </c>
      <c r="I186" s="1">
        <v>5.5594084151E10</v>
      </c>
      <c r="J186" s="2">
        <v>45330.97777777778</v>
      </c>
      <c r="K186" s="2">
        <v>45420.9125</v>
      </c>
      <c r="L186" s="1">
        <v>2.44</v>
      </c>
      <c r="M186" s="1">
        <v>979.74</v>
      </c>
      <c r="N186" s="1">
        <v>980.0</v>
      </c>
      <c r="O186" s="1">
        <v>81340.0</v>
      </c>
    </row>
    <row r="187">
      <c r="A187" s="1" t="s">
        <v>473</v>
      </c>
      <c r="B187" s="1" t="s">
        <v>128</v>
      </c>
      <c r="C187" s="1">
        <v>845.8993</v>
      </c>
      <c r="D187" s="1" t="s">
        <v>21</v>
      </c>
      <c r="E187" s="1" t="s">
        <v>27</v>
      </c>
      <c r="F187" s="1">
        <v>0.45</v>
      </c>
      <c r="G187" s="1">
        <v>17.79</v>
      </c>
      <c r="H187" s="1">
        <v>2.4203029756E10</v>
      </c>
      <c r="I187" s="1">
        <v>2.6123790688E10</v>
      </c>
      <c r="J187" s="1" t="s">
        <v>474</v>
      </c>
      <c r="K187" s="1" t="s">
        <v>475</v>
      </c>
      <c r="L187" s="1">
        <v>4.44</v>
      </c>
      <c r="M187" s="1">
        <v>3755.79</v>
      </c>
      <c r="N187" s="1">
        <v>3756.0</v>
      </c>
      <c r="O187" s="1">
        <v>311748.0</v>
      </c>
    </row>
    <row r="188">
      <c r="A188" s="1" t="s">
        <v>476</v>
      </c>
      <c r="B188" s="1" t="s">
        <v>273</v>
      </c>
      <c r="C188" s="1">
        <v>257.9384</v>
      </c>
      <c r="D188" s="1" t="s">
        <v>21</v>
      </c>
      <c r="E188" s="1" t="s">
        <v>32</v>
      </c>
      <c r="F188" s="1">
        <v>71.17</v>
      </c>
      <c r="G188" s="1">
        <v>8.79</v>
      </c>
      <c r="H188" s="1">
        <v>7.176355981E10</v>
      </c>
      <c r="I188" s="1">
        <v>7.2012540203E10</v>
      </c>
      <c r="J188" s="2">
        <v>45451.754166666666</v>
      </c>
      <c r="K188" s="2">
        <v>45512.520833333336</v>
      </c>
      <c r="L188" s="1">
        <v>1.23</v>
      </c>
      <c r="M188" s="1">
        <v>317.26</v>
      </c>
      <c r="N188" s="1">
        <v>317.0</v>
      </c>
      <c r="O188" s="1">
        <v>26311.0</v>
      </c>
    </row>
    <row r="189">
      <c r="A189" s="1" t="s">
        <v>477</v>
      </c>
      <c r="B189" s="1" t="s">
        <v>20</v>
      </c>
      <c r="C189" s="1">
        <v>233.7572</v>
      </c>
      <c r="D189" s="1" t="s">
        <v>21</v>
      </c>
      <c r="E189" s="1" t="s">
        <v>22</v>
      </c>
      <c r="F189" s="1">
        <v>24.38</v>
      </c>
      <c r="G189" s="1">
        <v>21.32</v>
      </c>
      <c r="H189" s="1">
        <v>9.9690425133E10</v>
      </c>
      <c r="I189" s="3">
        <v>1.08782E11</v>
      </c>
      <c r="J189" s="1" t="s">
        <v>478</v>
      </c>
      <c r="K189" s="2">
        <v>45359.688888888886</v>
      </c>
      <c r="L189" s="1">
        <v>7.19</v>
      </c>
      <c r="M189" s="1">
        <v>1680.71</v>
      </c>
      <c r="N189" s="1">
        <v>1681.0</v>
      </c>
      <c r="O189" s="1">
        <v>139523.0</v>
      </c>
    </row>
    <row r="190">
      <c r="A190" s="1" t="s">
        <v>479</v>
      </c>
      <c r="B190" s="1" t="s">
        <v>57</v>
      </c>
      <c r="C190" s="1">
        <v>58.6417</v>
      </c>
      <c r="D190" s="1" t="s">
        <v>17</v>
      </c>
      <c r="E190" s="1" t="s">
        <v>105</v>
      </c>
      <c r="F190" s="1">
        <v>29.67</v>
      </c>
      <c r="G190" s="1">
        <v>59.62</v>
      </c>
      <c r="H190" s="1">
        <v>6.758821856E10</v>
      </c>
      <c r="I190" s="1">
        <v>7.6761827056E10</v>
      </c>
      <c r="J190" s="1" t="s">
        <v>480</v>
      </c>
      <c r="K190" s="1" t="s">
        <v>481</v>
      </c>
      <c r="L190" s="1">
        <v>3.13</v>
      </c>
      <c r="M190" s="1">
        <v>183.55</v>
      </c>
      <c r="N190" s="1">
        <v>184.0</v>
      </c>
      <c r="O190" s="1">
        <v>15272.0</v>
      </c>
    </row>
    <row r="191">
      <c r="A191" s="1" t="s">
        <v>482</v>
      </c>
      <c r="B191" s="1" t="s">
        <v>122</v>
      </c>
      <c r="C191" s="1">
        <v>843.6341</v>
      </c>
      <c r="D191" s="1" t="s">
        <v>21</v>
      </c>
      <c r="E191" s="1" t="s">
        <v>155</v>
      </c>
      <c r="F191" s="1">
        <v>25.09</v>
      </c>
      <c r="G191" s="1">
        <v>27.26</v>
      </c>
      <c r="H191" s="1">
        <v>2.689985021E10</v>
      </c>
      <c r="I191" s="1">
        <v>2.8175416976E10</v>
      </c>
      <c r="J191" s="1" t="s">
        <v>483</v>
      </c>
      <c r="K191" s="1" t="s">
        <v>484</v>
      </c>
      <c r="L191" s="1">
        <v>7.93</v>
      </c>
      <c r="M191" s="1">
        <v>6690.02</v>
      </c>
      <c r="N191" s="1">
        <v>6690.0</v>
      </c>
      <c r="O191" s="1">
        <v>555270.0</v>
      </c>
    </row>
    <row r="192">
      <c r="A192" s="1" t="s">
        <v>485</v>
      </c>
      <c r="B192" s="1" t="s">
        <v>26</v>
      </c>
      <c r="C192" s="1">
        <v>18.7376</v>
      </c>
      <c r="D192" s="1" t="s">
        <v>17</v>
      </c>
      <c r="E192" s="1" t="s">
        <v>37</v>
      </c>
      <c r="F192" s="1">
        <v>79.92</v>
      </c>
      <c r="G192" s="1">
        <v>34.61</v>
      </c>
      <c r="H192" s="1">
        <v>1.4266501219E10</v>
      </c>
      <c r="I192" s="1">
        <v>2.2415620737E10</v>
      </c>
      <c r="J192" s="1" t="s">
        <v>486</v>
      </c>
      <c r="K192" s="1" t="s">
        <v>487</v>
      </c>
      <c r="L192" s="1">
        <v>4.88</v>
      </c>
      <c r="M192" s="1">
        <v>91.44</v>
      </c>
      <c r="N192" s="1">
        <v>91.0</v>
      </c>
      <c r="O192" s="1">
        <v>7553.0</v>
      </c>
    </row>
    <row r="193">
      <c r="A193" s="1" t="s">
        <v>488</v>
      </c>
      <c r="B193" s="1" t="s">
        <v>62</v>
      </c>
      <c r="C193" s="1">
        <v>42.3</v>
      </c>
      <c r="D193" s="1" t="s">
        <v>42</v>
      </c>
      <c r="E193" s="1" t="s">
        <v>155</v>
      </c>
      <c r="F193" s="1">
        <v>59.91</v>
      </c>
      <c r="G193" s="1">
        <v>83.97</v>
      </c>
      <c r="H193" s="1">
        <v>2.3645124707E10</v>
      </c>
      <c r="I193" s="1">
        <v>2.9861999523E10</v>
      </c>
      <c r="J193" s="2">
        <v>45298.0875</v>
      </c>
      <c r="K193" s="2">
        <v>45329.85</v>
      </c>
      <c r="L193" s="1">
        <v>9.01</v>
      </c>
      <c r="M193" s="1">
        <v>381.12</v>
      </c>
      <c r="N193" s="1">
        <v>381.0</v>
      </c>
      <c r="O193" s="1">
        <v>31623.0</v>
      </c>
    </row>
    <row r="194">
      <c r="A194" s="1" t="s">
        <v>489</v>
      </c>
      <c r="B194" s="1" t="s">
        <v>169</v>
      </c>
      <c r="C194" s="1">
        <v>22.134</v>
      </c>
      <c r="D194" s="1" t="s">
        <v>21</v>
      </c>
      <c r="E194" s="1" t="s">
        <v>18</v>
      </c>
      <c r="F194" s="1">
        <v>45.38</v>
      </c>
      <c r="G194" s="1">
        <v>51.72</v>
      </c>
      <c r="H194" s="1">
        <v>9.1843197769E10</v>
      </c>
      <c r="I194" s="1">
        <v>9.4169203781E10</v>
      </c>
      <c r="J194" s="1" t="s">
        <v>490</v>
      </c>
      <c r="K194" s="1" t="s">
        <v>491</v>
      </c>
      <c r="L194" s="1">
        <v>2.32</v>
      </c>
      <c r="M194" s="1">
        <v>51.35</v>
      </c>
      <c r="N194" s="1">
        <v>51.0</v>
      </c>
      <c r="O194" s="1">
        <v>4233.0</v>
      </c>
    </row>
    <row r="195">
      <c r="A195" s="1" t="s">
        <v>492</v>
      </c>
      <c r="B195" s="1" t="s">
        <v>36</v>
      </c>
      <c r="C195" s="1">
        <v>586.1986</v>
      </c>
      <c r="D195" s="1" t="s">
        <v>17</v>
      </c>
      <c r="E195" s="1" t="s">
        <v>27</v>
      </c>
      <c r="F195" s="1">
        <v>58.98</v>
      </c>
      <c r="G195" s="1">
        <v>64.55</v>
      </c>
      <c r="H195" s="1">
        <v>1.4979783091E10</v>
      </c>
      <c r="I195" s="1">
        <v>1.8422117013E10</v>
      </c>
      <c r="J195" s="2">
        <v>45358.02847222222</v>
      </c>
      <c r="K195" s="2">
        <v>45389.325</v>
      </c>
      <c r="L195" s="1">
        <v>1.79</v>
      </c>
      <c r="M195" s="1">
        <v>1049.3</v>
      </c>
      <c r="N195" s="1">
        <v>1049.0</v>
      </c>
      <c r="O195" s="1">
        <v>87067.0</v>
      </c>
    </row>
    <row r="196">
      <c r="A196" s="1" t="s">
        <v>493</v>
      </c>
      <c r="B196" s="1" t="s">
        <v>122</v>
      </c>
      <c r="C196" s="1">
        <v>296.0929</v>
      </c>
      <c r="D196" s="1" t="s">
        <v>17</v>
      </c>
      <c r="E196" s="1" t="s">
        <v>123</v>
      </c>
      <c r="F196" s="1">
        <v>3.02</v>
      </c>
      <c r="G196" s="1">
        <v>62.51</v>
      </c>
      <c r="H196" s="1">
        <v>9.643213347E10</v>
      </c>
      <c r="I196" s="3">
        <v>1.03298E11</v>
      </c>
      <c r="J196" s="1" t="s">
        <v>494</v>
      </c>
      <c r="K196" s="1" t="s">
        <v>495</v>
      </c>
      <c r="L196" s="1">
        <v>2.46</v>
      </c>
      <c r="M196" s="1">
        <v>728.39</v>
      </c>
      <c r="N196" s="1">
        <v>728.0</v>
      </c>
      <c r="O196" s="1">
        <v>60424.0</v>
      </c>
    </row>
    <row r="197">
      <c r="A197" s="1" t="s">
        <v>496</v>
      </c>
      <c r="B197" s="1" t="s">
        <v>26</v>
      </c>
      <c r="C197" s="1">
        <v>233.0245</v>
      </c>
      <c r="D197" s="1" t="s">
        <v>17</v>
      </c>
      <c r="E197" s="1" t="s">
        <v>74</v>
      </c>
      <c r="F197" s="1">
        <v>68.7</v>
      </c>
      <c r="G197" s="1">
        <v>40.39</v>
      </c>
      <c r="H197" s="1">
        <v>5.214461831E10</v>
      </c>
      <c r="I197" s="1">
        <v>5.8883692028E10</v>
      </c>
      <c r="J197" s="2">
        <v>45298.00902777778</v>
      </c>
      <c r="K197" s="2">
        <v>45419.92638888889</v>
      </c>
      <c r="L197" s="1">
        <v>8.49</v>
      </c>
      <c r="M197" s="1">
        <v>1978.38</v>
      </c>
      <c r="N197" s="1">
        <v>1978.0</v>
      </c>
      <c r="O197" s="1">
        <v>164174.0</v>
      </c>
    </row>
    <row r="198">
      <c r="A198" s="1" t="s">
        <v>497</v>
      </c>
      <c r="B198" s="1" t="s">
        <v>79</v>
      </c>
      <c r="C198" s="1">
        <v>365.1951</v>
      </c>
      <c r="D198" s="1" t="s">
        <v>21</v>
      </c>
      <c r="E198" s="1" t="s">
        <v>32</v>
      </c>
      <c r="F198" s="1">
        <v>3.78</v>
      </c>
      <c r="G198" s="1">
        <v>67.68</v>
      </c>
      <c r="H198" s="1">
        <v>5.9688317254E10</v>
      </c>
      <c r="I198" s="1">
        <v>6.5131560182E10</v>
      </c>
      <c r="J198" s="1" t="s">
        <v>498</v>
      </c>
      <c r="K198" s="1" t="s">
        <v>499</v>
      </c>
      <c r="L198" s="1">
        <v>6.66</v>
      </c>
      <c r="M198" s="1">
        <v>2432.2</v>
      </c>
      <c r="N198" s="1">
        <v>2432.0</v>
      </c>
      <c r="O198" s="1">
        <v>201856.0</v>
      </c>
    </row>
    <row r="199">
      <c r="A199" s="1" t="s">
        <v>500</v>
      </c>
      <c r="B199" s="1" t="s">
        <v>31</v>
      </c>
      <c r="C199" s="1">
        <v>743.4157</v>
      </c>
      <c r="D199" s="1" t="s">
        <v>21</v>
      </c>
      <c r="E199" s="1" t="s">
        <v>58</v>
      </c>
      <c r="F199" s="1">
        <v>35.5</v>
      </c>
      <c r="G199" s="1">
        <v>11.41</v>
      </c>
      <c r="H199" s="1">
        <v>5.2672910291E10</v>
      </c>
      <c r="I199" s="1">
        <v>6.2148639286E10</v>
      </c>
      <c r="J199" s="1" t="s">
        <v>501</v>
      </c>
      <c r="K199" s="1" t="s">
        <v>502</v>
      </c>
      <c r="L199" s="1">
        <v>7.72</v>
      </c>
      <c r="M199" s="1">
        <v>5739.17</v>
      </c>
      <c r="N199" s="1">
        <v>5739.0</v>
      </c>
      <c r="O199" s="1">
        <v>476337.0</v>
      </c>
    </row>
    <row r="200">
      <c r="A200" s="1" t="s">
        <v>503</v>
      </c>
      <c r="B200" s="1" t="s">
        <v>99</v>
      </c>
      <c r="C200" s="1">
        <v>338.8579</v>
      </c>
      <c r="D200" s="1" t="s">
        <v>17</v>
      </c>
      <c r="E200" s="1" t="s">
        <v>18</v>
      </c>
      <c r="F200" s="1">
        <v>19.14</v>
      </c>
      <c r="G200" s="1">
        <v>61.36</v>
      </c>
      <c r="H200" s="1">
        <v>1.2713936435E10</v>
      </c>
      <c r="I200" s="1">
        <v>1.9316006416E10</v>
      </c>
      <c r="J200" s="1" t="s">
        <v>504</v>
      </c>
      <c r="K200" s="2">
        <v>45420.74513888889</v>
      </c>
      <c r="L200" s="1">
        <v>2.63</v>
      </c>
      <c r="M200" s="1">
        <v>891.2</v>
      </c>
      <c r="N200" s="1">
        <v>891.0</v>
      </c>
      <c r="O200" s="1">
        <v>73953.0</v>
      </c>
    </row>
    <row r="201">
      <c r="A201" s="1" t="s">
        <v>505</v>
      </c>
      <c r="B201" s="1" t="s">
        <v>60</v>
      </c>
      <c r="C201" s="1">
        <v>118.4167</v>
      </c>
      <c r="D201" s="1" t="s">
        <v>42</v>
      </c>
      <c r="E201" s="1" t="s">
        <v>22</v>
      </c>
      <c r="F201" s="1">
        <v>67.77</v>
      </c>
      <c r="G201" s="1">
        <v>0.87</v>
      </c>
      <c r="H201" s="1">
        <v>6.5766089414E10</v>
      </c>
      <c r="I201" s="1">
        <v>7.4996129989E10</v>
      </c>
      <c r="J201" s="1" t="s">
        <v>506</v>
      </c>
      <c r="K201" s="1" t="s">
        <v>507</v>
      </c>
      <c r="L201" s="1">
        <v>4.34</v>
      </c>
      <c r="M201" s="1">
        <v>513.93</v>
      </c>
      <c r="N201" s="1">
        <v>514.0</v>
      </c>
      <c r="O201" s="1">
        <v>42662.0</v>
      </c>
    </row>
    <row r="202">
      <c r="A202" s="1" t="s">
        <v>508</v>
      </c>
      <c r="B202" s="1" t="s">
        <v>83</v>
      </c>
      <c r="C202" s="1">
        <v>61.0941</v>
      </c>
      <c r="D202" s="1" t="s">
        <v>21</v>
      </c>
      <c r="E202" s="1" t="s">
        <v>70</v>
      </c>
      <c r="F202" s="1">
        <v>47.88</v>
      </c>
      <c r="G202" s="1">
        <v>61.95</v>
      </c>
      <c r="H202" s="1">
        <v>8.6373536028E10</v>
      </c>
      <c r="I202" s="1">
        <v>9.1987231536E10</v>
      </c>
      <c r="J202" s="2">
        <v>45419.85833333333</v>
      </c>
      <c r="K202" s="2">
        <v>45572.339583333334</v>
      </c>
      <c r="L202" s="1">
        <v>9.86</v>
      </c>
      <c r="M202" s="1">
        <v>602.39</v>
      </c>
      <c r="N202" s="1">
        <v>602.0</v>
      </c>
      <c r="O202" s="1">
        <v>49966.0</v>
      </c>
    </row>
    <row r="203">
      <c r="A203" s="1" t="s">
        <v>509</v>
      </c>
      <c r="B203" s="1" t="s">
        <v>273</v>
      </c>
      <c r="C203" s="1">
        <v>698.7765</v>
      </c>
      <c r="D203" s="1" t="s">
        <v>21</v>
      </c>
      <c r="E203" s="1" t="s">
        <v>22</v>
      </c>
      <c r="F203" s="1">
        <v>53.88</v>
      </c>
      <c r="G203" s="1">
        <v>17.8</v>
      </c>
      <c r="H203" s="1">
        <v>1.5702113681E10</v>
      </c>
      <c r="I203" s="1">
        <v>1.6748005664E10</v>
      </c>
      <c r="J203" s="2">
        <v>45389.89444444444</v>
      </c>
      <c r="K203" s="2">
        <v>45542.93263888889</v>
      </c>
      <c r="L203" s="1">
        <v>2.73</v>
      </c>
      <c r="M203" s="1">
        <v>1907.66</v>
      </c>
      <c r="N203" s="1">
        <v>1908.0</v>
      </c>
      <c r="O203" s="1">
        <v>158364.0</v>
      </c>
    </row>
    <row r="204">
      <c r="A204" s="1" t="s">
        <v>510</v>
      </c>
      <c r="B204" s="1" t="s">
        <v>66</v>
      </c>
      <c r="C204" s="1">
        <v>328.5871</v>
      </c>
      <c r="D204" s="1" t="s">
        <v>21</v>
      </c>
      <c r="E204" s="1" t="s">
        <v>22</v>
      </c>
      <c r="F204" s="1">
        <v>78.62</v>
      </c>
      <c r="G204" s="1">
        <v>96.73</v>
      </c>
      <c r="H204" s="1">
        <v>9.8551362779E10</v>
      </c>
      <c r="I204" s="3">
        <v>1.03968E11</v>
      </c>
      <c r="J204" s="1" t="s">
        <v>511</v>
      </c>
      <c r="K204" s="1" t="s">
        <v>512</v>
      </c>
      <c r="L204" s="1">
        <v>6.44</v>
      </c>
      <c r="M204" s="1">
        <v>2116.1</v>
      </c>
      <c r="N204" s="1">
        <v>2116.0</v>
      </c>
      <c r="O204" s="1">
        <v>175628.0</v>
      </c>
    </row>
    <row r="205">
      <c r="A205" s="1" t="s">
        <v>513</v>
      </c>
      <c r="B205" s="1" t="s">
        <v>31</v>
      </c>
      <c r="C205" s="1">
        <v>478.2343</v>
      </c>
      <c r="D205" s="1" t="s">
        <v>17</v>
      </c>
      <c r="E205" s="1" t="s">
        <v>155</v>
      </c>
      <c r="F205" s="1">
        <v>43.45</v>
      </c>
      <c r="G205" s="1">
        <v>69.03</v>
      </c>
      <c r="H205" s="1">
        <v>7.8305234617E10</v>
      </c>
      <c r="I205" s="1">
        <v>8.6533417392E10</v>
      </c>
      <c r="J205" s="1" t="s">
        <v>514</v>
      </c>
      <c r="K205" s="1" t="s">
        <v>515</v>
      </c>
      <c r="L205" s="1">
        <v>1.39</v>
      </c>
      <c r="M205" s="1">
        <v>664.75</v>
      </c>
      <c r="N205" s="1">
        <v>665.0</v>
      </c>
      <c r="O205" s="1">
        <v>55195.0</v>
      </c>
    </row>
    <row r="206">
      <c r="A206" s="1" t="s">
        <v>516</v>
      </c>
      <c r="B206" s="1" t="s">
        <v>41</v>
      </c>
      <c r="C206" s="1">
        <v>92.4167</v>
      </c>
      <c r="D206" s="1" t="s">
        <v>42</v>
      </c>
      <c r="E206" s="1" t="s">
        <v>32</v>
      </c>
      <c r="F206" s="1">
        <v>81.9</v>
      </c>
      <c r="G206" s="1">
        <v>53.13</v>
      </c>
      <c r="H206" s="1">
        <v>8.7648117518E10</v>
      </c>
      <c r="I206" s="1">
        <v>8.9269249455E10</v>
      </c>
      <c r="J206" s="2">
        <v>45450.518055555556</v>
      </c>
      <c r="K206" s="2">
        <v>45572.36875</v>
      </c>
      <c r="L206" s="1">
        <v>2.56</v>
      </c>
      <c r="M206" s="1">
        <v>236.59</v>
      </c>
      <c r="N206" s="1">
        <v>237.0</v>
      </c>
      <c r="O206" s="1">
        <v>19671.0</v>
      </c>
    </row>
    <row r="207">
      <c r="A207" s="1" t="s">
        <v>517</v>
      </c>
      <c r="B207" s="1" t="s">
        <v>183</v>
      </c>
      <c r="C207" s="1">
        <v>679.2041</v>
      </c>
      <c r="D207" s="1" t="s">
        <v>21</v>
      </c>
      <c r="E207" s="1" t="s">
        <v>27</v>
      </c>
      <c r="F207" s="1">
        <v>98.92</v>
      </c>
      <c r="G207" s="1">
        <v>56.01</v>
      </c>
      <c r="H207" s="1">
        <v>5.9160783943E10</v>
      </c>
      <c r="I207" s="1">
        <v>6.1202982896E10</v>
      </c>
      <c r="J207" s="1" t="s">
        <v>518</v>
      </c>
      <c r="K207" s="1" t="s">
        <v>519</v>
      </c>
      <c r="L207" s="1">
        <v>5.3</v>
      </c>
      <c r="M207" s="1">
        <v>3599.78</v>
      </c>
      <c r="N207" s="1">
        <v>3600.0</v>
      </c>
      <c r="O207" s="1">
        <v>298800.0</v>
      </c>
    </row>
    <row r="208">
      <c r="A208" s="1" t="s">
        <v>520</v>
      </c>
      <c r="B208" s="1" t="s">
        <v>16</v>
      </c>
      <c r="C208" s="1">
        <v>280.1796</v>
      </c>
      <c r="D208" s="1" t="s">
        <v>17</v>
      </c>
      <c r="E208" s="1" t="s">
        <v>37</v>
      </c>
      <c r="F208" s="1">
        <v>82.61</v>
      </c>
      <c r="G208" s="1">
        <v>97.65</v>
      </c>
      <c r="H208" s="1">
        <v>1.6767803634E10</v>
      </c>
      <c r="I208" s="1">
        <v>2.4702899081E10</v>
      </c>
      <c r="J208" s="2">
        <v>45633.646527777775</v>
      </c>
      <c r="K208" s="1" t="s">
        <v>521</v>
      </c>
      <c r="L208" s="1">
        <v>6.3</v>
      </c>
      <c r="M208" s="1">
        <v>1765.13</v>
      </c>
      <c r="N208" s="1">
        <v>1765.0</v>
      </c>
      <c r="O208" s="1">
        <v>146495.0</v>
      </c>
    </row>
    <row r="209">
      <c r="A209" s="1" t="s">
        <v>522</v>
      </c>
      <c r="B209" s="1" t="s">
        <v>79</v>
      </c>
      <c r="C209" s="1">
        <v>416.5054</v>
      </c>
      <c r="D209" s="1" t="s">
        <v>21</v>
      </c>
      <c r="E209" s="1" t="s">
        <v>37</v>
      </c>
      <c r="F209" s="1">
        <v>89.32</v>
      </c>
      <c r="G209" s="1">
        <v>70.16</v>
      </c>
      <c r="H209" s="1">
        <v>7.8376768286E10</v>
      </c>
      <c r="I209" s="1">
        <v>8.571060921E10</v>
      </c>
      <c r="J209" s="2">
        <v>45542.805555555555</v>
      </c>
      <c r="K209" s="1" t="s">
        <v>523</v>
      </c>
      <c r="L209" s="1">
        <v>7.63</v>
      </c>
      <c r="M209" s="1">
        <v>3177.94</v>
      </c>
      <c r="N209" s="1">
        <v>3178.0</v>
      </c>
      <c r="O209" s="1">
        <v>263774.0</v>
      </c>
    </row>
    <row r="210">
      <c r="A210" s="1" t="s">
        <v>524</v>
      </c>
      <c r="B210" s="1" t="s">
        <v>20</v>
      </c>
      <c r="C210" s="1">
        <v>810.033</v>
      </c>
      <c r="D210" s="1" t="s">
        <v>17</v>
      </c>
      <c r="E210" s="1" t="s">
        <v>123</v>
      </c>
      <c r="F210" s="1">
        <v>2.97</v>
      </c>
      <c r="G210" s="1">
        <v>63.12</v>
      </c>
      <c r="H210" s="1">
        <v>3.1889502464E10</v>
      </c>
      <c r="I210" s="1">
        <v>3.2098235845E10</v>
      </c>
      <c r="J210" s="1" t="s">
        <v>525</v>
      </c>
      <c r="K210" s="1" t="s">
        <v>526</v>
      </c>
      <c r="L210" s="1">
        <v>5.65</v>
      </c>
      <c r="M210" s="1">
        <v>4576.69</v>
      </c>
      <c r="N210" s="1">
        <v>4577.0</v>
      </c>
      <c r="O210" s="1">
        <v>379891.0</v>
      </c>
    </row>
    <row r="211">
      <c r="A211" s="1" t="s">
        <v>527</v>
      </c>
      <c r="B211" s="1" t="s">
        <v>41</v>
      </c>
      <c r="C211" s="1">
        <v>115.0667</v>
      </c>
      <c r="D211" s="1" t="s">
        <v>42</v>
      </c>
      <c r="E211" s="1" t="s">
        <v>27</v>
      </c>
      <c r="F211" s="1">
        <v>54.32</v>
      </c>
      <c r="G211" s="1">
        <v>14.47</v>
      </c>
      <c r="H211" s="1">
        <v>4.3700610779E10</v>
      </c>
      <c r="I211" s="1">
        <v>4.8781743713E10</v>
      </c>
      <c r="J211" s="2">
        <v>45512.43125</v>
      </c>
      <c r="K211" s="1" t="s">
        <v>528</v>
      </c>
      <c r="L211" s="1">
        <v>9.26</v>
      </c>
      <c r="M211" s="1">
        <v>1065.52</v>
      </c>
      <c r="N211" s="1">
        <v>1066.0</v>
      </c>
      <c r="O211" s="1">
        <v>88478.0</v>
      </c>
    </row>
    <row r="212">
      <c r="A212" s="1" t="s">
        <v>529</v>
      </c>
      <c r="B212" s="1" t="s">
        <v>128</v>
      </c>
      <c r="C212" s="1">
        <v>991.6019</v>
      </c>
      <c r="D212" s="1" t="s">
        <v>17</v>
      </c>
      <c r="E212" s="1" t="s">
        <v>37</v>
      </c>
      <c r="F212" s="1">
        <v>92.88</v>
      </c>
      <c r="G212" s="1">
        <v>74.97</v>
      </c>
      <c r="H212" s="1">
        <v>3.2831863634E10</v>
      </c>
      <c r="I212" s="1">
        <v>3.8701169803E10</v>
      </c>
      <c r="J212" s="1" t="s">
        <v>530</v>
      </c>
      <c r="K212" s="1" t="s">
        <v>531</v>
      </c>
      <c r="L212" s="1">
        <v>7.0</v>
      </c>
      <c r="M212" s="1">
        <v>6941.21</v>
      </c>
      <c r="N212" s="1">
        <v>6941.0</v>
      </c>
      <c r="O212" s="1">
        <v>576103.0</v>
      </c>
    </row>
    <row r="213">
      <c r="A213" s="1" t="s">
        <v>532</v>
      </c>
      <c r="B213" s="1" t="s">
        <v>112</v>
      </c>
      <c r="C213" s="1">
        <v>41.45</v>
      </c>
      <c r="D213" s="1" t="s">
        <v>42</v>
      </c>
      <c r="E213" s="1" t="s">
        <v>37</v>
      </c>
      <c r="F213" s="1">
        <v>88.97</v>
      </c>
      <c r="G213" s="1">
        <v>30.12</v>
      </c>
      <c r="H213" s="1">
        <v>5.5443426727E10</v>
      </c>
      <c r="I213" s="1">
        <v>6.2191421741E10</v>
      </c>
      <c r="J213" s="1" t="s">
        <v>533</v>
      </c>
      <c r="K213" s="1" t="s">
        <v>534</v>
      </c>
      <c r="L213" s="1">
        <v>7.46</v>
      </c>
      <c r="M213" s="1">
        <v>309.22</v>
      </c>
      <c r="N213" s="1">
        <v>309.0</v>
      </c>
      <c r="O213" s="1">
        <v>25647.0</v>
      </c>
    </row>
    <row r="214">
      <c r="A214" s="1" t="s">
        <v>535</v>
      </c>
      <c r="B214" s="1" t="s">
        <v>273</v>
      </c>
      <c r="C214" s="1">
        <v>613.0738</v>
      </c>
      <c r="D214" s="1" t="s">
        <v>17</v>
      </c>
      <c r="E214" s="1" t="s">
        <v>74</v>
      </c>
      <c r="F214" s="1">
        <v>32.38</v>
      </c>
      <c r="G214" s="1">
        <v>33.94</v>
      </c>
      <c r="H214" s="1">
        <v>6.6431832313E10</v>
      </c>
      <c r="I214" s="1">
        <v>6.7722022588E10</v>
      </c>
      <c r="J214" s="1" t="s">
        <v>536</v>
      </c>
      <c r="K214" s="1" t="s">
        <v>537</v>
      </c>
      <c r="L214" s="1">
        <v>8.28</v>
      </c>
      <c r="M214" s="1">
        <v>5076.25</v>
      </c>
      <c r="N214" s="1">
        <v>5076.0</v>
      </c>
      <c r="O214" s="1">
        <v>421308.0</v>
      </c>
    </row>
    <row r="215">
      <c r="A215" s="1" t="s">
        <v>538</v>
      </c>
      <c r="B215" s="1" t="s">
        <v>166</v>
      </c>
      <c r="C215" s="1">
        <v>195.6873</v>
      </c>
      <c r="D215" s="1" t="s">
        <v>17</v>
      </c>
      <c r="E215" s="1" t="s">
        <v>155</v>
      </c>
      <c r="F215" s="1">
        <v>65.79</v>
      </c>
      <c r="G215" s="1">
        <v>61.6</v>
      </c>
      <c r="H215" s="1">
        <v>6.601516991E10</v>
      </c>
      <c r="I215" s="1">
        <v>7.1506596862E10</v>
      </c>
      <c r="J215" s="1" t="s">
        <v>539</v>
      </c>
      <c r="K215" s="1" t="s">
        <v>315</v>
      </c>
      <c r="L215" s="1">
        <v>2.34</v>
      </c>
      <c r="M215" s="1">
        <v>457.91</v>
      </c>
      <c r="N215" s="1">
        <v>458.0</v>
      </c>
      <c r="O215" s="1">
        <v>38014.0</v>
      </c>
    </row>
    <row r="216">
      <c r="A216" s="1" t="s">
        <v>540</v>
      </c>
      <c r="B216" s="1" t="s">
        <v>53</v>
      </c>
      <c r="C216" s="1">
        <v>994.9911</v>
      </c>
      <c r="D216" s="1" t="s">
        <v>17</v>
      </c>
      <c r="E216" s="1" t="s">
        <v>37</v>
      </c>
      <c r="F216" s="1">
        <v>36.04</v>
      </c>
      <c r="G216" s="1">
        <v>73.63</v>
      </c>
      <c r="H216" s="1">
        <v>5.5869074709E10</v>
      </c>
      <c r="I216" s="1">
        <v>5.7099202508E10</v>
      </c>
      <c r="J216" s="2">
        <v>45634.38888888889</v>
      </c>
      <c r="K216" s="1" t="s">
        <v>541</v>
      </c>
      <c r="L216" s="1">
        <v>3.33</v>
      </c>
      <c r="M216" s="1">
        <v>3313.32</v>
      </c>
      <c r="N216" s="1">
        <v>3313.0</v>
      </c>
      <c r="O216" s="1">
        <v>274979.0</v>
      </c>
    </row>
    <row r="217">
      <c r="A217" s="1" t="s">
        <v>542</v>
      </c>
      <c r="B217" s="1" t="s">
        <v>41</v>
      </c>
      <c r="C217" s="1">
        <v>110.5</v>
      </c>
      <c r="D217" s="1" t="s">
        <v>42</v>
      </c>
      <c r="E217" s="1" t="s">
        <v>58</v>
      </c>
      <c r="F217" s="1">
        <v>54.59</v>
      </c>
      <c r="G217" s="1">
        <v>9.18</v>
      </c>
      <c r="H217" s="1">
        <v>3.2991739742E10</v>
      </c>
      <c r="I217" s="1">
        <v>3.9729741599E10</v>
      </c>
      <c r="J217" s="2">
        <v>45330.9375</v>
      </c>
      <c r="K217" s="2">
        <v>45481.541666666664</v>
      </c>
      <c r="L217" s="1">
        <v>9.73</v>
      </c>
      <c r="M217" s="1">
        <v>1075.16</v>
      </c>
      <c r="N217" s="1">
        <v>1075.0</v>
      </c>
      <c r="O217" s="1">
        <v>89225.0</v>
      </c>
    </row>
    <row r="218">
      <c r="A218" s="1" t="s">
        <v>543</v>
      </c>
      <c r="B218" s="1" t="s">
        <v>46</v>
      </c>
      <c r="C218" s="1">
        <v>93.0837</v>
      </c>
      <c r="D218" s="1" t="s">
        <v>21</v>
      </c>
      <c r="E218" s="1" t="s">
        <v>123</v>
      </c>
      <c r="F218" s="1">
        <v>7.33</v>
      </c>
      <c r="G218" s="1">
        <v>92.83</v>
      </c>
      <c r="H218" s="1">
        <v>9.5481842905E10</v>
      </c>
      <c r="I218" s="1">
        <v>9.9568233782E10</v>
      </c>
      <c r="J218" s="1" t="s">
        <v>544</v>
      </c>
      <c r="K218" s="1" t="s">
        <v>545</v>
      </c>
      <c r="L218" s="1">
        <v>4.14</v>
      </c>
      <c r="M218" s="1">
        <v>385.37</v>
      </c>
      <c r="N218" s="1">
        <v>385.0</v>
      </c>
      <c r="O218" s="1">
        <v>31955.0</v>
      </c>
    </row>
    <row r="219">
      <c r="A219" s="1" t="s">
        <v>546</v>
      </c>
      <c r="B219" s="1" t="s">
        <v>41</v>
      </c>
      <c r="C219" s="1">
        <v>77.9</v>
      </c>
      <c r="D219" s="1" t="s">
        <v>42</v>
      </c>
      <c r="E219" s="1" t="s">
        <v>70</v>
      </c>
      <c r="F219" s="1">
        <v>78.83</v>
      </c>
      <c r="G219" s="1">
        <v>83.98</v>
      </c>
      <c r="H219" s="1">
        <v>9.294265963E10</v>
      </c>
      <c r="I219" s="1">
        <v>9.3472597444E10</v>
      </c>
      <c r="J219" s="2">
        <v>45634.85763888889</v>
      </c>
      <c r="K219" s="1" t="s">
        <v>547</v>
      </c>
      <c r="L219" s="1">
        <v>4.02</v>
      </c>
      <c r="M219" s="1">
        <v>313.16</v>
      </c>
      <c r="N219" s="1">
        <v>313.0</v>
      </c>
      <c r="O219" s="1">
        <v>25979.0</v>
      </c>
    </row>
    <row r="220">
      <c r="A220" s="1" t="s">
        <v>548</v>
      </c>
      <c r="B220" s="1" t="s">
        <v>26</v>
      </c>
      <c r="C220" s="1">
        <v>702.8504</v>
      </c>
      <c r="D220" s="1" t="s">
        <v>17</v>
      </c>
      <c r="E220" s="1" t="s">
        <v>58</v>
      </c>
      <c r="F220" s="1">
        <v>17.79</v>
      </c>
      <c r="G220" s="1">
        <v>85.61</v>
      </c>
      <c r="H220" s="1">
        <v>1.0655239773E10</v>
      </c>
      <c r="I220" s="1">
        <v>1.8508901027E10</v>
      </c>
      <c r="J220" s="1" t="s">
        <v>549</v>
      </c>
      <c r="K220" s="1" t="s">
        <v>550</v>
      </c>
      <c r="L220" s="1">
        <v>2.67</v>
      </c>
      <c r="M220" s="1">
        <v>1876.61</v>
      </c>
      <c r="N220" s="1">
        <v>1877.0</v>
      </c>
      <c r="O220" s="1">
        <v>155791.0</v>
      </c>
    </row>
    <row r="221">
      <c r="A221" s="1" t="s">
        <v>551</v>
      </c>
      <c r="B221" s="1" t="s">
        <v>83</v>
      </c>
      <c r="C221" s="1">
        <v>882.3972</v>
      </c>
      <c r="D221" s="1" t="s">
        <v>17</v>
      </c>
      <c r="E221" s="1" t="s">
        <v>70</v>
      </c>
      <c r="F221" s="1">
        <v>38.05</v>
      </c>
      <c r="G221" s="1">
        <v>9.48</v>
      </c>
      <c r="H221" s="1">
        <v>4.5169397512E10</v>
      </c>
      <c r="I221" s="1">
        <v>5.4583521857E10</v>
      </c>
      <c r="J221" s="2">
        <v>45298.694444444445</v>
      </c>
      <c r="K221" s="2">
        <v>45419.854166666664</v>
      </c>
      <c r="L221" s="1">
        <v>7.81</v>
      </c>
      <c r="M221" s="1">
        <v>6891.52</v>
      </c>
      <c r="N221" s="1">
        <v>6892.0</v>
      </c>
      <c r="O221" s="1">
        <v>572036.0</v>
      </c>
    </row>
    <row r="222">
      <c r="A222" s="1" t="s">
        <v>552</v>
      </c>
      <c r="B222" s="1" t="s">
        <v>83</v>
      </c>
      <c r="C222" s="1">
        <v>95.6382</v>
      </c>
      <c r="D222" s="1" t="s">
        <v>17</v>
      </c>
      <c r="E222" s="1" t="s">
        <v>123</v>
      </c>
      <c r="F222" s="1">
        <v>46.47</v>
      </c>
      <c r="G222" s="1">
        <v>46.44</v>
      </c>
      <c r="H222" s="1">
        <v>2.1696064512E10</v>
      </c>
      <c r="I222" s="1">
        <v>2.4439232161E10</v>
      </c>
      <c r="J222" s="1" t="s">
        <v>553</v>
      </c>
      <c r="K222" s="1" t="s">
        <v>554</v>
      </c>
      <c r="L222" s="1">
        <v>2.31</v>
      </c>
      <c r="M222" s="1">
        <v>220.92</v>
      </c>
      <c r="N222" s="1">
        <v>221.0</v>
      </c>
      <c r="O222" s="1">
        <v>18343.0</v>
      </c>
    </row>
    <row r="223">
      <c r="A223" s="1" t="s">
        <v>555</v>
      </c>
      <c r="B223" s="1" t="s">
        <v>46</v>
      </c>
      <c r="C223" s="1">
        <v>494.502</v>
      </c>
      <c r="D223" s="1" t="s">
        <v>21</v>
      </c>
      <c r="E223" s="1" t="s">
        <v>58</v>
      </c>
      <c r="F223" s="1">
        <v>29.77</v>
      </c>
      <c r="G223" s="1">
        <v>58.97</v>
      </c>
      <c r="H223" s="1">
        <v>8.6182660634E10</v>
      </c>
      <c r="I223" s="1">
        <v>8.7998260723E10</v>
      </c>
      <c r="J223" s="1" t="s">
        <v>556</v>
      </c>
      <c r="K223" s="1" t="s">
        <v>557</v>
      </c>
      <c r="L223" s="1">
        <v>9.68</v>
      </c>
      <c r="M223" s="1">
        <v>4786.78</v>
      </c>
      <c r="N223" s="1">
        <v>4787.0</v>
      </c>
      <c r="O223" s="1">
        <v>397321.0</v>
      </c>
    </row>
    <row r="224">
      <c r="A224" s="1" t="s">
        <v>558</v>
      </c>
      <c r="B224" s="1" t="s">
        <v>16</v>
      </c>
      <c r="C224" s="1">
        <v>922.602</v>
      </c>
      <c r="D224" s="1" t="s">
        <v>17</v>
      </c>
      <c r="E224" s="1" t="s">
        <v>155</v>
      </c>
      <c r="F224" s="1">
        <v>26.96</v>
      </c>
      <c r="G224" s="1">
        <v>78.62</v>
      </c>
      <c r="H224" s="1">
        <v>4.2388780819E10</v>
      </c>
      <c r="I224" s="1">
        <v>4.7250108241E10</v>
      </c>
      <c r="J224" s="1" t="s">
        <v>559</v>
      </c>
      <c r="K224" s="1" t="s">
        <v>560</v>
      </c>
      <c r="L224" s="1">
        <v>9.49</v>
      </c>
      <c r="M224" s="1">
        <v>8755.49</v>
      </c>
      <c r="N224" s="1">
        <v>8755.0</v>
      </c>
      <c r="O224" s="1">
        <v>726665.0</v>
      </c>
    </row>
    <row r="225">
      <c r="A225" s="1" t="s">
        <v>561</v>
      </c>
      <c r="B225" s="1" t="s">
        <v>53</v>
      </c>
      <c r="C225" s="1">
        <v>250.9953</v>
      </c>
      <c r="D225" s="1" t="s">
        <v>17</v>
      </c>
      <c r="E225" s="1" t="s">
        <v>32</v>
      </c>
      <c r="F225" s="1">
        <v>44.11</v>
      </c>
      <c r="G225" s="1">
        <v>63.35</v>
      </c>
      <c r="H225" s="1">
        <v>4.6527911504E10</v>
      </c>
      <c r="I225" s="1">
        <v>5.1328599957E10</v>
      </c>
      <c r="J225" s="1" t="s">
        <v>562</v>
      </c>
      <c r="K225" s="1" t="s">
        <v>563</v>
      </c>
      <c r="L225" s="1">
        <v>4.86</v>
      </c>
      <c r="M225" s="1">
        <v>1219.84</v>
      </c>
      <c r="N225" s="1">
        <v>1220.0</v>
      </c>
      <c r="O225" s="1">
        <v>101260.0</v>
      </c>
    </row>
    <row r="226">
      <c r="A226" s="1" t="s">
        <v>564</v>
      </c>
      <c r="B226" s="1" t="s">
        <v>169</v>
      </c>
      <c r="C226" s="1">
        <v>289.8287</v>
      </c>
      <c r="D226" s="1" t="s">
        <v>17</v>
      </c>
      <c r="E226" s="1" t="s">
        <v>58</v>
      </c>
      <c r="F226" s="1">
        <v>8.77</v>
      </c>
      <c r="G226" s="1">
        <v>37.92</v>
      </c>
      <c r="H226" s="1">
        <v>9.4296289933E10</v>
      </c>
      <c r="I226" s="3">
        <v>1.02776E11</v>
      </c>
      <c r="J226" s="2">
        <v>45542.49444444444</v>
      </c>
      <c r="K226" s="2">
        <v>45633.04513888889</v>
      </c>
      <c r="L226" s="1">
        <v>5.02</v>
      </c>
      <c r="M226" s="1">
        <v>1454.94</v>
      </c>
      <c r="N226" s="1">
        <v>1455.0</v>
      </c>
      <c r="O226" s="1">
        <v>120765.0</v>
      </c>
    </row>
    <row r="227">
      <c r="A227" s="1" t="s">
        <v>565</v>
      </c>
      <c r="B227" s="1" t="s">
        <v>36</v>
      </c>
      <c r="C227" s="1">
        <v>265.6305</v>
      </c>
      <c r="D227" s="1" t="s">
        <v>17</v>
      </c>
      <c r="E227" s="1" t="s">
        <v>155</v>
      </c>
      <c r="F227" s="1">
        <v>13.61</v>
      </c>
      <c r="G227" s="1">
        <v>33.39</v>
      </c>
      <c r="H227" s="1">
        <v>7.3610364832E10</v>
      </c>
      <c r="I227" s="1">
        <v>8.0068828866E10</v>
      </c>
      <c r="J227" s="1" t="s">
        <v>566</v>
      </c>
      <c r="K227" s="1" t="s">
        <v>567</v>
      </c>
      <c r="L227" s="1">
        <v>2.52</v>
      </c>
      <c r="M227" s="1">
        <v>669.39</v>
      </c>
      <c r="N227" s="1">
        <v>669.0</v>
      </c>
      <c r="O227" s="1">
        <v>55527.0</v>
      </c>
    </row>
    <row r="228">
      <c r="A228" s="1" t="s">
        <v>568</v>
      </c>
      <c r="B228" s="1" t="s">
        <v>60</v>
      </c>
      <c r="C228" s="1">
        <v>135.35</v>
      </c>
      <c r="D228" s="1" t="s">
        <v>42</v>
      </c>
      <c r="E228" s="1" t="s">
        <v>74</v>
      </c>
      <c r="F228" s="1">
        <v>64.56</v>
      </c>
      <c r="G228" s="1">
        <v>81.23</v>
      </c>
      <c r="H228" s="1">
        <v>2.2637099957E10</v>
      </c>
      <c r="I228" s="1">
        <v>2.3764552187E10</v>
      </c>
      <c r="J228" s="1" t="s">
        <v>569</v>
      </c>
      <c r="K228" s="2">
        <v>45420.63611111111</v>
      </c>
      <c r="L228" s="1">
        <v>5.77</v>
      </c>
      <c r="M228" s="1">
        <v>780.97</v>
      </c>
      <c r="N228" s="1">
        <v>781.0</v>
      </c>
      <c r="O228" s="1">
        <v>64823.0</v>
      </c>
    </row>
    <row r="229">
      <c r="A229" s="1" t="s">
        <v>570</v>
      </c>
      <c r="B229" s="1" t="s">
        <v>122</v>
      </c>
      <c r="C229" s="1">
        <v>799.878</v>
      </c>
      <c r="D229" s="1" t="s">
        <v>17</v>
      </c>
      <c r="E229" s="1" t="s">
        <v>105</v>
      </c>
      <c r="F229" s="1">
        <v>51.03</v>
      </c>
      <c r="G229" s="1">
        <v>1.84</v>
      </c>
      <c r="H229" s="1">
        <v>4.7731592778E10</v>
      </c>
      <c r="I229" s="1">
        <v>5.7265004862E10</v>
      </c>
      <c r="J229" s="2">
        <v>45512.22430555556</v>
      </c>
      <c r="K229" s="2">
        <v>45634.76736111111</v>
      </c>
      <c r="L229" s="1">
        <v>7.23</v>
      </c>
      <c r="M229" s="1">
        <v>5783.12</v>
      </c>
      <c r="N229" s="1">
        <v>5783.0</v>
      </c>
      <c r="O229" s="1">
        <v>479989.0</v>
      </c>
    </row>
    <row r="230">
      <c r="A230" s="1" t="s">
        <v>571</v>
      </c>
      <c r="B230" s="1" t="s">
        <v>128</v>
      </c>
      <c r="C230" s="1">
        <v>137.0785</v>
      </c>
      <c r="D230" s="1" t="s">
        <v>21</v>
      </c>
      <c r="E230" s="1" t="s">
        <v>74</v>
      </c>
      <c r="F230" s="1">
        <v>68.78</v>
      </c>
      <c r="G230" s="1">
        <v>27.66</v>
      </c>
      <c r="H230" s="1">
        <v>5.9076497181E10</v>
      </c>
      <c r="I230" s="1">
        <v>6.864671836E10</v>
      </c>
      <c r="J230" s="1" t="s">
        <v>572</v>
      </c>
      <c r="K230" s="2">
        <v>45420.52916666667</v>
      </c>
      <c r="L230" s="1">
        <v>5.63</v>
      </c>
      <c r="M230" s="1">
        <v>771.75</v>
      </c>
      <c r="N230" s="1">
        <v>772.0</v>
      </c>
      <c r="O230" s="1">
        <v>64076.0</v>
      </c>
    </row>
    <row r="231">
      <c r="A231" s="1" t="s">
        <v>573</v>
      </c>
      <c r="B231" s="1" t="s">
        <v>41</v>
      </c>
      <c r="C231" s="1">
        <v>130.9667</v>
      </c>
      <c r="D231" s="1" t="s">
        <v>42</v>
      </c>
      <c r="E231" s="1" t="s">
        <v>22</v>
      </c>
      <c r="F231" s="1">
        <v>30.4</v>
      </c>
      <c r="G231" s="1">
        <v>68.73</v>
      </c>
      <c r="H231" s="1">
        <v>2.0878335863E10</v>
      </c>
      <c r="I231" s="1">
        <v>2.2466351666E10</v>
      </c>
      <c r="J231" s="1" t="s">
        <v>574</v>
      </c>
      <c r="K231" s="1" t="s">
        <v>575</v>
      </c>
      <c r="L231" s="1">
        <v>1.84</v>
      </c>
      <c r="M231" s="1">
        <v>240.98</v>
      </c>
      <c r="N231" s="1">
        <v>241.0</v>
      </c>
      <c r="O231" s="1">
        <v>20003.0</v>
      </c>
    </row>
    <row r="232">
      <c r="A232" s="1" t="s">
        <v>576</v>
      </c>
      <c r="B232" s="1" t="s">
        <v>66</v>
      </c>
      <c r="C232" s="1">
        <v>60.418</v>
      </c>
      <c r="D232" s="1" t="s">
        <v>21</v>
      </c>
      <c r="E232" s="1" t="s">
        <v>22</v>
      </c>
      <c r="F232" s="1">
        <v>73.04</v>
      </c>
      <c r="G232" s="1">
        <v>7.02</v>
      </c>
      <c r="H232" s="1">
        <v>6.5950112568E10</v>
      </c>
      <c r="I232" s="1">
        <v>6.7804396568E10</v>
      </c>
      <c r="J232" s="2">
        <v>45390.60972222222</v>
      </c>
      <c r="K232" s="2">
        <v>45420.958333333336</v>
      </c>
      <c r="L232" s="1">
        <v>7.09</v>
      </c>
      <c r="M232" s="1">
        <v>428.36</v>
      </c>
      <c r="N232" s="1">
        <v>428.0</v>
      </c>
      <c r="O232" s="1">
        <v>35524.0</v>
      </c>
    </row>
    <row r="233">
      <c r="A233" s="1" t="s">
        <v>577</v>
      </c>
      <c r="B233" s="1" t="s">
        <v>128</v>
      </c>
      <c r="C233" s="1">
        <v>571.2061</v>
      </c>
      <c r="D233" s="1" t="s">
        <v>17</v>
      </c>
      <c r="E233" s="1" t="s">
        <v>155</v>
      </c>
      <c r="F233" s="1">
        <v>96.9</v>
      </c>
      <c r="G233" s="1">
        <v>91.73</v>
      </c>
      <c r="H233" s="1">
        <v>1.5610460343E10</v>
      </c>
      <c r="I233" s="1">
        <v>1.8782478171E10</v>
      </c>
      <c r="J233" s="2">
        <v>45481.90902777778</v>
      </c>
      <c r="K233" s="2">
        <v>45573.03055555555</v>
      </c>
      <c r="L233" s="1">
        <v>1.9</v>
      </c>
      <c r="M233" s="1">
        <v>1085.29</v>
      </c>
      <c r="N233" s="1">
        <v>1085.0</v>
      </c>
      <c r="O233" s="1">
        <v>90055.0</v>
      </c>
    </row>
    <row r="234">
      <c r="A234" s="1" t="s">
        <v>578</v>
      </c>
      <c r="B234" s="1" t="s">
        <v>147</v>
      </c>
      <c r="C234" s="1">
        <v>62.0833</v>
      </c>
      <c r="D234" s="1" t="s">
        <v>42</v>
      </c>
      <c r="E234" s="1" t="s">
        <v>123</v>
      </c>
      <c r="F234" s="1">
        <v>5.5</v>
      </c>
      <c r="G234" s="1">
        <v>31.02</v>
      </c>
      <c r="H234" s="1">
        <v>9.801629391E10</v>
      </c>
      <c r="I234" s="3">
        <v>1.07696E11</v>
      </c>
      <c r="J234" s="1" t="s">
        <v>579</v>
      </c>
      <c r="K234" s="1" t="s">
        <v>580</v>
      </c>
      <c r="L234" s="1">
        <v>1.24</v>
      </c>
      <c r="M234" s="1">
        <v>76.98</v>
      </c>
      <c r="N234" s="1">
        <v>77.0</v>
      </c>
      <c r="O234" s="1">
        <v>6391.0</v>
      </c>
    </row>
    <row r="235">
      <c r="A235" s="1" t="s">
        <v>581</v>
      </c>
      <c r="B235" s="1" t="s">
        <v>350</v>
      </c>
      <c r="C235" s="1">
        <v>453.6261</v>
      </c>
      <c r="D235" s="1" t="s">
        <v>21</v>
      </c>
      <c r="E235" s="1" t="s">
        <v>70</v>
      </c>
      <c r="F235" s="1">
        <v>43.49</v>
      </c>
      <c r="G235" s="1">
        <v>25.0</v>
      </c>
      <c r="H235" s="1">
        <v>6.8066971596E10</v>
      </c>
      <c r="I235" s="1">
        <v>7.514564801E10</v>
      </c>
      <c r="J235" s="2">
        <v>45542.558333333334</v>
      </c>
      <c r="K235" s="1" t="s">
        <v>582</v>
      </c>
      <c r="L235" s="1">
        <v>3.7</v>
      </c>
      <c r="M235" s="1">
        <v>1678.42</v>
      </c>
      <c r="N235" s="1">
        <v>1678.0</v>
      </c>
      <c r="O235" s="1">
        <v>139274.0</v>
      </c>
    </row>
    <row r="236">
      <c r="A236" s="1" t="s">
        <v>583</v>
      </c>
      <c r="B236" s="1" t="s">
        <v>66</v>
      </c>
      <c r="C236" s="1">
        <v>274.034</v>
      </c>
      <c r="D236" s="1" t="s">
        <v>21</v>
      </c>
      <c r="E236" s="1" t="s">
        <v>22</v>
      </c>
      <c r="F236" s="1">
        <v>11.9</v>
      </c>
      <c r="G236" s="1">
        <v>67.98</v>
      </c>
      <c r="H236" s="1">
        <v>4.382792397E9</v>
      </c>
      <c r="I236" s="1">
        <v>9.767562785E9</v>
      </c>
      <c r="J236" s="1" t="s">
        <v>584</v>
      </c>
      <c r="K236" s="1" t="s">
        <v>585</v>
      </c>
      <c r="L236" s="1">
        <v>2.06</v>
      </c>
      <c r="M236" s="1">
        <v>564.51</v>
      </c>
      <c r="N236" s="1">
        <v>565.0</v>
      </c>
      <c r="O236" s="1">
        <v>46895.0</v>
      </c>
    </row>
    <row r="237">
      <c r="A237" s="1" t="s">
        <v>586</v>
      </c>
      <c r="B237" s="1" t="s">
        <v>36</v>
      </c>
      <c r="C237" s="1">
        <v>676.4654</v>
      </c>
      <c r="D237" s="1" t="s">
        <v>17</v>
      </c>
      <c r="E237" s="1" t="s">
        <v>123</v>
      </c>
      <c r="F237" s="1">
        <v>2.68</v>
      </c>
      <c r="G237" s="1">
        <v>88.7</v>
      </c>
      <c r="H237" s="1">
        <v>8.7271684521E10</v>
      </c>
      <c r="I237" s="1">
        <v>9.0506586119E10</v>
      </c>
      <c r="J237" s="2">
        <v>45634.01111111111</v>
      </c>
      <c r="K237" s="1" t="s">
        <v>587</v>
      </c>
      <c r="L237" s="1">
        <v>6.43</v>
      </c>
      <c r="M237" s="1">
        <v>4349.67</v>
      </c>
      <c r="N237" s="1">
        <v>4350.0</v>
      </c>
      <c r="O237" s="1">
        <v>361050.0</v>
      </c>
    </row>
    <row r="238">
      <c r="A238" s="1" t="s">
        <v>588</v>
      </c>
      <c r="B238" s="1" t="s">
        <v>53</v>
      </c>
      <c r="C238" s="1">
        <v>547.5155</v>
      </c>
      <c r="D238" s="1" t="s">
        <v>17</v>
      </c>
      <c r="E238" s="1" t="s">
        <v>74</v>
      </c>
      <c r="F238" s="1">
        <v>93.59</v>
      </c>
      <c r="G238" s="1">
        <v>69.43</v>
      </c>
      <c r="H238" s="1">
        <v>6.5049379625E10</v>
      </c>
      <c r="I238" s="1">
        <v>7.1696600966E10</v>
      </c>
      <c r="J238" s="1" t="s">
        <v>589</v>
      </c>
      <c r="K238" s="1" t="s">
        <v>590</v>
      </c>
      <c r="L238" s="1">
        <v>5.71</v>
      </c>
      <c r="M238" s="1">
        <v>3126.31</v>
      </c>
      <c r="N238" s="1">
        <v>3126.0</v>
      </c>
      <c r="O238" s="1">
        <v>259458.0</v>
      </c>
    </row>
    <row r="239">
      <c r="A239" s="1" t="s">
        <v>591</v>
      </c>
      <c r="B239" s="1" t="s">
        <v>57</v>
      </c>
      <c r="C239" s="1">
        <v>401.4413</v>
      </c>
      <c r="D239" s="1" t="s">
        <v>21</v>
      </c>
      <c r="E239" s="1" t="s">
        <v>155</v>
      </c>
      <c r="F239" s="1">
        <v>46.83</v>
      </c>
      <c r="G239" s="1">
        <v>38.33</v>
      </c>
      <c r="H239" s="1">
        <v>1.0445114237E10</v>
      </c>
      <c r="I239" s="1">
        <v>1.5856476534E10</v>
      </c>
      <c r="J239" s="1" t="s">
        <v>592</v>
      </c>
      <c r="K239" s="1" t="s">
        <v>593</v>
      </c>
      <c r="L239" s="1">
        <v>2.83</v>
      </c>
      <c r="M239" s="1">
        <v>1136.08</v>
      </c>
      <c r="N239" s="1">
        <v>1136.0</v>
      </c>
      <c r="O239" s="1">
        <v>94288.0</v>
      </c>
    </row>
    <row r="240">
      <c r="A240" s="1" t="s">
        <v>594</v>
      </c>
      <c r="B240" s="1" t="s">
        <v>273</v>
      </c>
      <c r="C240" s="1">
        <v>427.4798</v>
      </c>
      <c r="D240" s="1" t="s">
        <v>17</v>
      </c>
      <c r="E240" s="1" t="s">
        <v>54</v>
      </c>
      <c r="F240" s="1">
        <v>58.13</v>
      </c>
      <c r="G240" s="1">
        <v>46.11</v>
      </c>
      <c r="H240" s="1">
        <v>5.82749435E10</v>
      </c>
      <c r="I240" s="1">
        <v>6.3345882101E10</v>
      </c>
      <c r="J240" s="1" t="s">
        <v>595</v>
      </c>
      <c r="K240" s="1" t="s">
        <v>596</v>
      </c>
      <c r="L240" s="1">
        <v>2.26</v>
      </c>
      <c r="M240" s="1">
        <v>966.1</v>
      </c>
      <c r="N240" s="1">
        <v>966.0</v>
      </c>
      <c r="O240" s="1">
        <v>80178.0</v>
      </c>
    </row>
    <row r="241">
      <c r="A241" s="1" t="s">
        <v>597</v>
      </c>
      <c r="B241" s="1" t="s">
        <v>99</v>
      </c>
      <c r="C241" s="1">
        <v>615.3185</v>
      </c>
      <c r="D241" s="1" t="s">
        <v>21</v>
      </c>
      <c r="E241" s="1" t="s">
        <v>155</v>
      </c>
      <c r="F241" s="1">
        <v>16.34</v>
      </c>
      <c r="G241" s="1">
        <v>95.4</v>
      </c>
      <c r="H241" s="1">
        <v>3.814191214E10</v>
      </c>
      <c r="I241" s="1">
        <v>4.4961747527E10</v>
      </c>
      <c r="J241" s="1" t="s">
        <v>598</v>
      </c>
      <c r="K241" s="1" t="s">
        <v>599</v>
      </c>
      <c r="L241" s="1">
        <v>9.3</v>
      </c>
      <c r="M241" s="1">
        <v>5722.46</v>
      </c>
      <c r="N241" s="1">
        <v>5722.0</v>
      </c>
      <c r="O241" s="1">
        <v>474926.0</v>
      </c>
    </row>
    <row r="242">
      <c r="A242" s="1" t="s">
        <v>600</v>
      </c>
      <c r="B242" s="1" t="s">
        <v>16</v>
      </c>
      <c r="C242" s="1">
        <v>923.9322</v>
      </c>
      <c r="D242" s="1" t="s">
        <v>17</v>
      </c>
      <c r="E242" s="1" t="s">
        <v>27</v>
      </c>
      <c r="F242" s="1">
        <v>7.35</v>
      </c>
      <c r="G242" s="1">
        <v>60.67</v>
      </c>
      <c r="H242" s="1">
        <v>6.920202928E10</v>
      </c>
      <c r="I242" s="1">
        <v>7.3959120285E10</v>
      </c>
      <c r="J242" s="2">
        <v>45542.197916666664</v>
      </c>
      <c r="K242" s="2">
        <v>45572.643055555556</v>
      </c>
      <c r="L242" s="1">
        <v>9.56</v>
      </c>
      <c r="M242" s="1">
        <v>8832.79</v>
      </c>
      <c r="N242" s="1">
        <v>8833.0</v>
      </c>
      <c r="O242" s="1">
        <v>733139.0</v>
      </c>
    </row>
    <row r="243">
      <c r="A243" s="1" t="s">
        <v>601</v>
      </c>
      <c r="B243" s="1" t="s">
        <v>99</v>
      </c>
      <c r="C243" s="1">
        <v>523.1705</v>
      </c>
      <c r="D243" s="1" t="s">
        <v>17</v>
      </c>
      <c r="E243" s="1" t="s">
        <v>74</v>
      </c>
      <c r="F243" s="1">
        <v>63.29</v>
      </c>
      <c r="G243" s="1">
        <v>2.7</v>
      </c>
      <c r="H243" s="1">
        <v>7.0920563187E10</v>
      </c>
      <c r="I243" s="1">
        <v>7.7653883062E10</v>
      </c>
      <c r="J243" s="2">
        <v>45512.43541666667</v>
      </c>
      <c r="K243" s="1" t="s">
        <v>602</v>
      </c>
      <c r="L243" s="1">
        <v>7.84</v>
      </c>
      <c r="M243" s="1">
        <v>4101.66</v>
      </c>
      <c r="N243" s="1">
        <v>4102.0</v>
      </c>
      <c r="O243" s="1">
        <v>340466.0</v>
      </c>
    </row>
    <row r="244">
      <c r="A244" s="1" t="s">
        <v>603</v>
      </c>
      <c r="B244" s="1" t="s">
        <v>62</v>
      </c>
      <c r="C244" s="1">
        <v>38.4</v>
      </c>
      <c r="D244" s="1" t="s">
        <v>42</v>
      </c>
      <c r="E244" s="1" t="s">
        <v>22</v>
      </c>
      <c r="F244" s="1">
        <v>8.55</v>
      </c>
      <c r="G244" s="1">
        <v>52.81</v>
      </c>
      <c r="H244" s="1">
        <v>5.884612949E10</v>
      </c>
      <c r="I244" s="1">
        <v>5.9441536233E10</v>
      </c>
      <c r="J244" s="2">
        <v>45511.291666666664</v>
      </c>
      <c r="K244" s="2">
        <v>45542.89166666667</v>
      </c>
      <c r="L244" s="1">
        <v>9.67</v>
      </c>
      <c r="M244" s="1">
        <v>371.33</v>
      </c>
      <c r="N244" s="1">
        <v>371.0</v>
      </c>
      <c r="O244" s="1">
        <v>30793.0</v>
      </c>
    </row>
    <row r="245">
      <c r="A245" s="1" t="s">
        <v>604</v>
      </c>
      <c r="B245" s="1" t="s">
        <v>99</v>
      </c>
      <c r="C245" s="1">
        <v>577.191</v>
      </c>
      <c r="D245" s="1" t="s">
        <v>17</v>
      </c>
      <c r="E245" s="1" t="s">
        <v>123</v>
      </c>
      <c r="F245" s="1">
        <v>5.13</v>
      </c>
      <c r="G245" s="1">
        <v>74.47</v>
      </c>
      <c r="H245" s="1">
        <v>6.6605578559E10</v>
      </c>
      <c r="I245" s="1">
        <v>6.9688806846E10</v>
      </c>
      <c r="J245" s="1" t="s">
        <v>605</v>
      </c>
      <c r="K245" s="1" t="s">
        <v>606</v>
      </c>
      <c r="L245" s="1">
        <v>8.94</v>
      </c>
      <c r="M245" s="1">
        <v>5160.09</v>
      </c>
      <c r="N245" s="1">
        <v>5160.0</v>
      </c>
      <c r="O245" s="1">
        <v>428280.0</v>
      </c>
    </row>
    <row r="246">
      <c r="A246" s="1" t="s">
        <v>607</v>
      </c>
      <c r="B246" s="1" t="s">
        <v>183</v>
      </c>
      <c r="C246" s="1">
        <v>320.712</v>
      </c>
      <c r="D246" s="1" t="s">
        <v>21</v>
      </c>
      <c r="E246" s="1" t="s">
        <v>70</v>
      </c>
      <c r="F246" s="1">
        <v>51.38</v>
      </c>
      <c r="G246" s="1">
        <v>64.92</v>
      </c>
      <c r="H246" s="1">
        <v>6.365195429E9</v>
      </c>
      <c r="I246" s="1">
        <v>8.569198627E9</v>
      </c>
      <c r="J246" s="2">
        <v>45420.614583333336</v>
      </c>
      <c r="K246" s="2">
        <v>45573.197916666664</v>
      </c>
      <c r="L246" s="1">
        <v>7.23</v>
      </c>
      <c r="M246" s="1">
        <v>2318.75</v>
      </c>
      <c r="N246" s="1">
        <v>2319.0</v>
      </c>
      <c r="O246" s="1">
        <v>192477.0</v>
      </c>
    </row>
    <row r="247">
      <c r="A247" s="1" t="s">
        <v>608</v>
      </c>
      <c r="B247" s="1" t="s">
        <v>57</v>
      </c>
      <c r="C247" s="1">
        <v>25.9515</v>
      </c>
      <c r="D247" s="1" t="s">
        <v>17</v>
      </c>
      <c r="E247" s="1" t="s">
        <v>32</v>
      </c>
      <c r="F247" s="1">
        <v>36.35</v>
      </c>
      <c r="G247" s="1">
        <v>48.36</v>
      </c>
      <c r="H247" s="1">
        <v>6.0113044013E10</v>
      </c>
      <c r="I247" s="1">
        <v>6.2635393177E10</v>
      </c>
      <c r="J247" s="1" t="s">
        <v>609</v>
      </c>
      <c r="K247" s="1" t="s">
        <v>610</v>
      </c>
      <c r="L247" s="1">
        <v>4.1</v>
      </c>
      <c r="M247" s="1">
        <v>106.4</v>
      </c>
      <c r="N247" s="1">
        <v>106.0</v>
      </c>
      <c r="O247" s="1">
        <v>8798.0</v>
      </c>
    </row>
    <row r="248">
      <c r="A248" s="1" t="s">
        <v>611</v>
      </c>
      <c r="B248" s="1" t="s">
        <v>273</v>
      </c>
      <c r="C248" s="1">
        <v>216.1408</v>
      </c>
      <c r="D248" s="1" t="s">
        <v>17</v>
      </c>
      <c r="E248" s="1" t="s">
        <v>70</v>
      </c>
      <c r="F248" s="1">
        <v>44.68</v>
      </c>
      <c r="G248" s="1">
        <v>72.15</v>
      </c>
      <c r="H248" s="1">
        <v>5.4360034912E10</v>
      </c>
      <c r="I248" s="1">
        <v>5.8284153066E10</v>
      </c>
      <c r="J248" s="2">
        <v>45451.94236111111</v>
      </c>
      <c r="K248" s="2">
        <v>45543.63958333333</v>
      </c>
      <c r="L248" s="1">
        <v>1.84</v>
      </c>
      <c r="M248" s="1">
        <v>397.7</v>
      </c>
      <c r="N248" s="1">
        <v>398.0</v>
      </c>
      <c r="O248" s="1">
        <v>33034.0</v>
      </c>
    </row>
    <row r="249">
      <c r="A249" s="1" t="s">
        <v>612</v>
      </c>
      <c r="B249" s="1" t="s">
        <v>99</v>
      </c>
      <c r="C249" s="1">
        <v>405.8485</v>
      </c>
      <c r="D249" s="1" t="s">
        <v>17</v>
      </c>
      <c r="E249" s="1" t="s">
        <v>123</v>
      </c>
      <c r="F249" s="1">
        <v>0.06</v>
      </c>
      <c r="G249" s="1">
        <v>26.34</v>
      </c>
      <c r="H249" s="1">
        <v>7.4333715439E10</v>
      </c>
      <c r="I249" s="1">
        <v>8.1951096832E10</v>
      </c>
      <c r="J249" s="2">
        <v>45573.89513888889</v>
      </c>
      <c r="K249" s="1" t="s">
        <v>613</v>
      </c>
      <c r="L249" s="1">
        <v>7.66</v>
      </c>
      <c r="M249" s="1">
        <v>3108.8</v>
      </c>
      <c r="N249" s="1">
        <v>3109.0</v>
      </c>
      <c r="O249" s="1">
        <v>258047.0</v>
      </c>
    </row>
    <row r="250">
      <c r="A250" s="1" t="s">
        <v>614</v>
      </c>
      <c r="B250" s="1" t="s">
        <v>41</v>
      </c>
      <c r="C250" s="1">
        <v>82.8667</v>
      </c>
      <c r="D250" s="1" t="s">
        <v>42</v>
      </c>
      <c r="E250" s="1" t="s">
        <v>22</v>
      </c>
      <c r="F250" s="1">
        <v>58.16</v>
      </c>
      <c r="G250" s="1">
        <v>83.44</v>
      </c>
      <c r="H250" s="1">
        <v>4.0399318096E10</v>
      </c>
      <c r="I250" s="1">
        <v>4.8297071888E10</v>
      </c>
      <c r="J250" s="2">
        <v>45390.39375</v>
      </c>
      <c r="K250" s="2">
        <v>45481.84652777778</v>
      </c>
      <c r="L250" s="1">
        <v>8.17</v>
      </c>
      <c r="M250" s="1">
        <v>677.02</v>
      </c>
      <c r="N250" s="1">
        <v>677.0</v>
      </c>
      <c r="O250" s="1">
        <v>56191.0</v>
      </c>
    </row>
    <row r="251">
      <c r="A251" s="1" t="s">
        <v>615</v>
      </c>
      <c r="B251" s="1" t="s">
        <v>26</v>
      </c>
      <c r="C251" s="1">
        <v>108.1187</v>
      </c>
      <c r="D251" s="1" t="s">
        <v>17</v>
      </c>
      <c r="E251" s="1" t="s">
        <v>74</v>
      </c>
      <c r="F251" s="1">
        <v>65.62</v>
      </c>
      <c r="G251" s="1">
        <v>2.46</v>
      </c>
      <c r="H251" s="1">
        <v>1.6232800047E10</v>
      </c>
      <c r="I251" s="1">
        <v>1.9510703401E10</v>
      </c>
      <c r="J251" s="2">
        <v>45420.461805555555</v>
      </c>
      <c r="K251" s="2">
        <v>45481.69236111111</v>
      </c>
      <c r="L251" s="1">
        <v>5.04</v>
      </c>
      <c r="M251" s="1">
        <v>544.92</v>
      </c>
      <c r="N251" s="1">
        <v>545.0</v>
      </c>
      <c r="O251" s="1">
        <v>45235.0</v>
      </c>
    </row>
    <row r="252">
      <c r="A252" s="1" t="s">
        <v>616</v>
      </c>
      <c r="B252" s="1" t="s">
        <v>122</v>
      </c>
      <c r="C252" s="1">
        <v>371.4837</v>
      </c>
      <c r="D252" s="1" t="s">
        <v>21</v>
      </c>
      <c r="E252" s="1" t="s">
        <v>32</v>
      </c>
      <c r="F252" s="1">
        <v>92.77</v>
      </c>
      <c r="G252" s="1">
        <v>41.13</v>
      </c>
      <c r="H252" s="1">
        <v>3.3496707994E10</v>
      </c>
      <c r="I252" s="1">
        <v>3.9632106621E10</v>
      </c>
      <c r="J252" s="2">
        <v>45330.06875</v>
      </c>
      <c r="K252" s="2">
        <v>45420.347916666666</v>
      </c>
      <c r="L252" s="1">
        <v>1.13</v>
      </c>
      <c r="M252" s="1">
        <v>419.78</v>
      </c>
      <c r="N252" s="1">
        <v>420.0</v>
      </c>
      <c r="O252" s="1">
        <v>34860.0</v>
      </c>
    </row>
    <row r="253">
      <c r="A253" s="1" t="s">
        <v>617</v>
      </c>
      <c r="B253" s="1" t="s">
        <v>79</v>
      </c>
      <c r="C253" s="1">
        <v>940.2852</v>
      </c>
      <c r="D253" s="1" t="s">
        <v>21</v>
      </c>
      <c r="E253" s="1" t="s">
        <v>22</v>
      </c>
      <c r="F253" s="1">
        <v>81.75</v>
      </c>
      <c r="G253" s="1">
        <v>33.75</v>
      </c>
      <c r="H253" s="1">
        <v>1.4077225055E10</v>
      </c>
      <c r="I253" s="1">
        <v>2.056344042E10</v>
      </c>
      <c r="J253" s="1" t="s">
        <v>618</v>
      </c>
      <c r="K253" s="1" t="s">
        <v>619</v>
      </c>
      <c r="L253" s="1">
        <v>5.71</v>
      </c>
      <c r="M253" s="1">
        <v>5369.03</v>
      </c>
      <c r="N253" s="1">
        <v>5369.0</v>
      </c>
      <c r="O253" s="1">
        <v>445627.0</v>
      </c>
    </row>
    <row r="254">
      <c r="A254" s="1" t="s">
        <v>620</v>
      </c>
      <c r="B254" s="1" t="s">
        <v>183</v>
      </c>
      <c r="C254" s="1">
        <v>134.4698</v>
      </c>
      <c r="D254" s="1" t="s">
        <v>21</v>
      </c>
      <c r="E254" s="1" t="s">
        <v>27</v>
      </c>
      <c r="F254" s="1">
        <v>73.31</v>
      </c>
      <c r="G254" s="1">
        <v>17.42</v>
      </c>
      <c r="H254" s="1">
        <v>7.8806557651E10</v>
      </c>
      <c r="I254" s="1">
        <v>8.1285853739E10</v>
      </c>
      <c r="J254" s="2">
        <v>45450.02013888889</v>
      </c>
      <c r="K254" s="2">
        <v>45480.98055555556</v>
      </c>
      <c r="L254" s="1">
        <v>3.22</v>
      </c>
      <c r="M254" s="1">
        <v>432.99</v>
      </c>
      <c r="N254" s="1">
        <v>433.0</v>
      </c>
      <c r="O254" s="1">
        <v>35939.0</v>
      </c>
    </row>
    <row r="255">
      <c r="A255" s="1" t="s">
        <v>621</v>
      </c>
      <c r="B255" s="1" t="s">
        <v>36</v>
      </c>
      <c r="C255" s="1">
        <v>267.6789</v>
      </c>
      <c r="D255" s="1" t="s">
        <v>17</v>
      </c>
      <c r="E255" s="1" t="s">
        <v>70</v>
      </c>
      <c r="F255" s="1">
        <v>21.38</v>
      </c>
      <c r="G255" s="1">
        <v>42.53</v>
      </c>
      <c r="H255" s="1">
        <v>5.3588211707E10</v>
      </c>
      <c r="I255" s="1">
        <v>6.214938759E10</v>
      </c>
      <c r="J255" s="1" t="s">
        <v>622</v>
      </c>
      <c r="K255" s="1" t="s">
        <v>623</v>
      </c>
      <c r="L255" s="1">
        <v>6.2</v>
      </c>
      <c r="M255" s="1">
        <v>1659.61</v>
      </c>
      <c r="N255" s="1">
        <v>1660.0</v>
      </c>
      <c r="O255" s="1">
        <v>137780.0</v>
      </c>
    </row>
    <row r="256">
      <c r="A256" s="1" t="s">
        <v>624</v>
      </c>
      <c r="B256" s="1" t="s">
        <v>147</v>
      </c>
      <c r="C256" s="1">
        <v>138.2667</v>
      </c>
      <c r="D256" s="1" t="s">
        <v>42</v>
      </c>
      <c r="E256" s="1" t="s">
        <v>37</v>
      </c>
      <c r="F256" s="1">
        <v>88.59</v>
      </c>
      <c r="G256" s="1">
        <v>93.78</v>
      </c>
      <c r="H256" s="1">
        <v>4.6054613143E10</v>
      </c>
      <c r="I256" s="1">
        <v>5.068203206E10</v>
      </c>
      <c r="J256" s="2">
        <v>45358.35833333333</v>
      </c>
      <c r="K256" s="2">
        <v>45542.11944444444</v>
      </c>
      <c r="L256" s="1">
        <v>5.26</v>
      </c>
      <c r="M256" s="1">
        <v>727.28</v>
      </c>
      <c r="N256" s="1">
        <v>727.0</v>
      </c>
      <c r="O256" s="1">
        <v>60341.0</v>
      </c>
    </row>
    <row r="257">
      <c r="A257" s="1" t="s">
        <v>625</v>
      </c>
      <c r="B257" s="1" t="s">
        <v>147</v>
      </c>
      <c r="C257" s="1">
        <v>112.55</v>
      </c>
      <c r="D257" s="1" t="s">
        <v>42</v>
      </c>
      <c r="E257" s="1" t="s">
        <v>37</v>
      </c>
      <c r="F257" s="1">
        <v>35.7</v>
      </c>
      <c r="G257" s="1">
        <v>67.45</v>
      </c>
      <c r="H257" s="1">
        <v>5.111385877E9</v>
      </c>
      <c r="I257" s="1">
        <v>6.501324003E9</v>
      </c>
      <c r="J257" s="1" t="s">
        <v>626</v>
      </c>
      <c r="K257" s="1" t="s">
        <v>627</v>
      </c>
      <c r="L257" s="1">
        <v>4.79</v>
      </c>
      <c r="M257" s="1">
        <v>539.11</v>
      </c>
      <c r="N257" s="1">
        <v>539.0</v>
      </c>
      <c r="O257" s="1">
        <v>44737.0</v>
      </c>
    </row>
    <row r="258">
      <c r="A258" s="1" t="s">
        <v>628</v>
      </c>
      <c r="B258" s="1" t="s">
        <v>20</v>
      </c>
      <c r="C258" s="1">
        <v>381.5112</v>
      </c>
      <c r="D258" s="1" t="s">
        <v>21</v>
      </c>
      <c r="E258" s="1" t="s">
        <v>58</v>
      </c>
      <c r="F258" s="1">
        <v>62.25</v>
      </c>
      <c r="G258" s="1">
        <v>99.81</v>
      </c>
      <c r="H258" s="1">
        <v>6.0174329539E10</v>
      </c>
      <c r="I258" s="1">
        <v>6.4004040156E10</v>
      </c>
      <c r="J258" s="1" t="s">
        <v>629</v>
      </c>
      <c r="K258" s="1" t="s">
        <v>630</v>
      </c>
      <c r="L258" s="1">
        <v>7.66</v>
      </c>
      <c r="M258" s="1">
        <v>2922.38</v>
      </c>
      <c r="N258" s="1">
        <v>2922.0</v>
      </c>
      <c r="O258" s="1">
        <v>242526.0</v>
      </c>
    </row>
    <row r="259">
      <c r="A259" s="1" t="s">
        <v>631</v>
      </c>
      <c r="B259" s="1" t="s">
        <v>183</v>
      </c>
      <c r="C259" s="1">
        <v>896.8482</v>
      </c>
      <c r="D259" s="1" t="s">
        <v>21</v>
      </c>
      <c r="E259" s="1" t="s">
        <v>123</v>
      </c>
      <c r="F259" s="1">
        <v>41.92</v>
      </c>
      <c r="G259" s="1">
        <v>18.62</v>
      </c>
      <c r="H259" s="1">
        <v>9.2219059947E10</v>
      </c>
      <c r="I259" s="3">
        <v>1.01562E11</v>
      </c>
      <c r="J259" s="1" t="s">
        <v>632</v>
      </c>
      <c r="K259" s="1" t="s">
        <v>633</v>
      </c>
      <c r="L259" s="1">
        <v>1.88</v>
      </c>
      <c r="M259" s="1">
        <v>1686.07</v>
      </c>
      <c r="N259" s="1">
        <v>1686.0</v>
      </c>
      <c r="O259" s="1">
        <v>139938.0</v>
      </c>
    </row>
    <row r="260">
      <c r="A260" s="1" t="s">
        <v>634</v>
      </c>
      <c r="B260" s="1" t="s">
        <v>46</v>
      </c>
      <c r="C260" s="1">
        <v>45.4336</v>
      </c>
      <c r="D260" s="1" t="s">
        <v>17</v>
      </c>
      <c r="E260" s="1" t="s">
        <v>58</v>
      </c>
      <c r="F260" s="1">
        <v>67.64</v>
      </c>
      <c r="G260" s="1">
        <v>95.66</v>
      </c>
      <c r="H260" s="1">
        <v>4.6536399963E10</v>
      </c>
      <c r="I260" s="1">
        <v>5.3165909418E10</v>
      </c>
      <c r="J260" s="2">
        <v>45451.89375</v>
      </c>
      <c r="K260" s="2">
        <v>45543.34930555556</v>
      </c>
      <c r="L260" s="1">
        <v>2.52</v>
      </c>
      <c r="M260" s="1">
        <v>114.49</v>
      </c>
      <c r="N260" s="1">
        <v>114.0</v>
      </c>
      <c r="O260" s="1">
        <v>9462.0</v>
      </c>
    </row>
    <row r="261">
      <c r="A261" s="1" t="s">
        <v>635</v>
      </c>
      <c r="B261" s="1" t="s">
        <v>46</v>
      </c>
      <c r="C261" s="1">
        <v>483.5996</v>
      </c>
      <c r="D261" s="1" t="s">
        <v>17</v>
      </c>
      <c r="E261" s="1" t="s">
        <v>155</v>
      </c>
      <c r="F261" s="1">
        <v>3.75</v>
      </c>
      <c r="G261" s="1">
        <v>27.96</v>
      </c>
      <c r="H261" s="1">
        <v>5.2489355406E10</v>
      </c>
      <c r="I261" s="1">
        <v>5.8053628767E10</v>
      </c>
      <c r="J261" s="2">
        <v>45512.268055555556</v>
      </c>
      <c r="K261" s="2">
        <v>45604.83194444444</v>
      </c>
      <c r="L261" s="1">
        <v>3.72</v>
      </c>
      <c r="M261" s="1">
        <v>1798.99</v>
      </c>
      <c r="N261" s="1">
        <v>1799.0</v>
      </c>
      <c r="O261" s="1">
        <v>149317.0</v>
      </c>
    </row>
    <row r="262">
      <c r="A262" s="1" t="s">
        <v>636</v>
      </c>
      <c r="B262" s="1" t="s">
        <v>16</v>
      </c>
      <c r="C262" s="1">
        <v>833.4644</v>
      </c>
      <c r="D262" s="1" t="s">
        <v>17</v>
      </c>
      <c r="E262" s="1" t="s">
        <v>22</v>
      </c>
      <c r="F262" s="1">
        <v>44.35</v>
      </c>
      <c r="G262" s="1">
        <v>6.1</v>
      </c>
      <c r="H262" s="1">
        <v>3.437493141E9</v>
      </c>
      <c r="I262" s="1">
        <v>6.431679144E9</v>
      </c>
      <c r="J262" s="1" t="s">
        <v>637</v>
      </c>
      <c r="K262" s="1" t="s">
        <v>638</v>
      </c>
      <c r="L262" s="1">
        <v>4.33</v>
      </c>
      <c r="M262" s="1">
        <v>3608.9</v>
      </c>
      <c r="N262" s="1">
        <v>3609.0</v>
      </c>
      <c r="O262" s="1">
        <v>299547.0</v>
      </c>
    </row>
    <row r="263">
      <c r="A263" s="1" t="s">
        <v>639</v>
      </c>
      <c r="B263" s="1" t="s">
        <v>66</v>
      </c>
      <c r="C263" s="1">
        <v>336.8194</v>
      </c>
      <c r="D263" s="1" t="s">
        <v>21</v>
      </c>
      <c r="E263" s="1" t="s">
        <v>32</v>
      </c>
      <c r="F263" s="1">
        <v>81.41</v>
      </c>
      <c r="G263" s="1">
        <v>14.64</v>
      </c>
      <c r="H263" s="1">
        <v>2.8049316982E10</v>
      </c>
      <c r="I263" s="1">
        <v>3.1461262667E10</v>
      </c>
      <c r="J263" s="1" t="s">
        <v>640</v>
      </c>
      <c r="K263" s="1" t="s">
        <v>641</v>
      </c>
      <c r="L263" s="1">
        <v>4.45</v>
      </c>
      <c r="M263" s="1">
        <v>1498.85</v>
      </c>
      <c r="N263" s="1">
        <v>1499.0</v>
      </c>
      <c r="O263" s="1">
        <v>124417.0</v>
      </c>
    </row>
    <row r="264">
      <c r="A264" s="1" t="s">
        <v>642</v>
      </c>
      <c r="B264" s="1" t="s">
        <v>79</v>
      </c>
      <c r="C264" s="1">
        <v>645.5661</v>
      </c>
      <c r="D264" s="1" t="s">
        <v>17</v>
      </c>
      <c r="E264" s="1" t="s">
        <v>54</v>
      </c>
      <c r="F264" s="1">
        <v>78.94</v>
      </c>
      <c r="G264" s="1">
        <v>83.01</v>
      </c>
      <c r="H264" s="1">
        <v>9.185164573E9</v>
      </c>
      <c r="I264" s="1">
        <v>1.7039727483E10</v>
      </c>
      <c r="J264" s="1" t="s">
        <v>643</v>
      </c>
      <c r="K264" s="1" t="s">
        <v>644</v>
      </c>
      <c r="L264" s="1">
        <v>9.84</v>
      </c>
      <c r="M264" s="1">
        <v>6352.37</v>
      </c>
      <c r="N264" s="1">
        <v>6352.0</v>
      </c>
      <c r="O264" s="1">
        <v>527216.0</v>
      </c>
    </row>
    <row r="265">
      <c r="A265" s="1" t="s">
        <v>645</v>
      </c>
      <c r="B265" s="1" t="s">
        <v>79</v>
      </c>
      <c r="C265" s="1">
        <v>184.1868</v>
      </c>
      <c r="D265" s="1" t="s">
        <v>21</v>
      </c>
      <c r="E265" s="1" t="s">
        <v>22</v>
      </c>
      <c r="F265" s="1">
        <v>19.59</v>
      </c>
      <c r="G265" s="1">
        <v>92.69</v>
      </c>
      <c r="H265" s="1">
        <v>3.327188954E9</v>
      </c>
      <c r="I265" s="1">
        <v>8.8186344E9</v>
      </c>
      <c r="J265" s="1" t="s">
        <v>646</v>
      </c>
      <c r="K265" s="2">
        <v>45299.322916666664</v>
      </c>
      <c r="L265" s="1">
        <v>2.12</v>
      </c>
      <c r="M265" s="1">
        <v>390.48</v>
      </c>
      <c r="N265" s="1">
        <v>390.0</v>
      </c>
      <c r="O265" s="1">
        <v>32370.0</v>
      </c>
    </row>
    <row r="266">
      <c r="A266" s="1" t="s">
        <v>647</v>
      </c>
      <c r="B266" s="1" t="s">
        <v>41</v>
      </c>
      <c r="C266" s="1">
        <v>118.8667</v>
      </c>
      <c r="D266" s="1" t="s">
        <v>42</v>
      </c>
      <c r="E266" s="1" t="s">
        <v>37</v>
      </c>
      <c r="F266" s="1">
        <v>51.91</v>
      </c>
      <c r="G266" s="1">
        <v>4.78</v>
      </c>
      <c r="H266" s="1">
        <v>1.7654042718E10</v>
      </c>
      <c r="I266" s="1">
        <v>2.6546624938E10</v>
      </c>
      <c r="J266" s="1" t="s">
        <v>648</v>
      </c>
      <c r="K266" s="1" t="s">
        <v>649</v>
      </c>
      <c r="L266" s="1">
        <v>9.05</v>
      </c>
      <c r="M266" s="1">
        <v>1075.74</v>
      </c>
      <c r="N266" s="1">
        <v>1076.0</v>
      </c>
      <c r="O266" s="1">
        <v>89308.0</v>
      </c>
    </row>
    <row r="267">
      <c r="A267" s="1" t="s">
        <v>650</v>
      </c>
      <c r="B267" s="1" t="s">
        <v>122</v>
      </c>
      <c r="C267" s="1">
        <v>466.6962</v>
      </c>
      <c r="D267" s="1" t="s">
        <v>17</v>
      </c>
      <c r="E267" s="1" t="s">
        <v>105</v>
      </c>
      <c r="F267" s="1">
        <v>40.42</v>
      </c>
      <c r="G267" s="1">
        <v>70.42</v>
      </c>
      <c r="H267" s="1">
        <v>7.9766617491E10</v>
      </c>
      <c r="I267" s="1">
        <v>8.8136650406E10</v>
      </c>
      <c r="J267" s="2">
        <v>45299.0125</v>
      </c>
      <c r="K267" s="2">
        <v>45359.995833333334</v>
      </c>
      <c r="L267" s="1">
        <v>7.6</v>
      </c>
      <c r="M267" s="1">
        <v>3546.89</v>
      </c>
      <c r="N267" s="1">
        <v>3547.0</v>
      </c>
      <c r="O267" s="1">
        <v>294401.0</v>
      </c>
    </row>
    <row r="268">
      <c r="A268" s="1" t="s">
        <v>651</v>
      </c>
      <c r="B268" s="1" t="s">
        <v>147</v>
      </c>
      <c r="C268" s="1">
        <v>129.45</v>
      </c>
      <c r="D268" s="1" t="s">
        <v>42</v>
      </c>
      <c r="E268" s="1" t="s">
        <v>123</v>
      </c>
      <c r="F268" s="1">
        <v>8.92</v>
      </c>
      <c r="G268" s="1">
        <v>70.83</v>
      </c>
      <c r="H268" s="1">
        <v>1.1207230058E10</v>
      </c>
      <c r="I268" s="1">
        <v>1.7444929033E10</v>
      </c>
      <c r="J268" s="2">
        <v>45419.433333333334</v>
      </c>
      <c r="K268" s="2">
        <v>45572.82708333333</v>
      </c>
      <c r="L268" s="1">
        <v>7.82</v>
      </c>
      <c r="M268" s="1">
        <v>1012.3</v>
      </c>
      <c r="N268" s="1">
        <v>1012.0</v>
      </c>
      <c r="O268" s="1">
        <v>83996.0</v>
      </c>
    </row>
    <row r="269">
      <c r="A269" s="1" t="s">
        <v>652</v>
      </c>
      <c r="B269" s="1" t="s">
        <v>16</v>
      </c>
      <c r="C269" s="1">
        <v>479.1793</v>
      </c>
      <c r="D269" s="1" t="s">
        <v>17</v>
      </c>
      <c r="E269" s="1" t="s">
        <v>74</v>
      </c>
      <c r="F269" s="1">
        <v>33.56</v>
      </c>
      <c r="G269" s="1">
        <v>71.15</v>
      </c>
      <c r="H269" s="1">
        <v>8.0918182788E10</v>
      </c>
      <c r="I269" s="1">
        <v>8.3320113115E10</v>
      </c>
      <c r="J269" s="1" t="s">
        <v>653</v>
      </c>
      <c r="K269" s="1" t="s">
        <v>654</v>
      </c>
      <c r="L269" s="1">
        <v>2.96</v>
      </c>
      <c r="M269" s="1">
        <v>1418.37</v>
      </c>
      <c r="N269" s="1">
        <v>1418.0</v>
      </c>
      <c r="O269" s="1">
        <v>117694.0</v>
      </c>
    </row>
    <row r="270">
      <c r="A270" s="1" t="s">
        <v>655</v>
      </c>
      <c r="B270" s="1" t="s">
        <v>273</v>
      </c>
      <c r="C270" s="1">
        <v>982.2498</v>
      </c>
      <c r="D270" s="1" t="s">
        <v>17</v>
      </c>
      <c r="E270" s="1" t="s">
        <v>70</v>
      </c>
      <c r="F270" s="1">
        <v>17.08</v>
      </c>
      <c r="G270" s="1">
        <v>91.07</v>
      </c>
      <c r="H270" s="1">
        <v>1.3345361356E10</v>
      </c>
      <c r="I270" s="1">
        <v>1.3858425661E10</v>
      </c>
      <c r="J270" s="2">
        <v>45511.538194444445</v>
      </c>
      <c r="K270" s="2">
        <v>45633.49166666667</v>
      </c>
      <c r="L270" s="1">
        <v>8.59</v>
      </c>
      <c r="M270" s="1">
        <v>8437.53</v>
      </c>
      <c r="N270" s="1">
        <v>8438.0</v>
      </c>
      <c r="O270" s="1">
        <v>700354.0</v>
      </c>
    </row>
    <row r="271">
      <c r="A271" s="1" t="s">
        <v>656</v>
      </c>
      <c r="B271" s="1" t="s">
        <v>183</v>
      </c>
      <c r="C271" s="1">
        <v>194.8714</v>
      </c>
      <c r="D271" s="1" t="s">
        <v>21</v>
      </c>
      <c r="E271" s="1" t="s">
        <v>37</v>
      </c>
      <c r="F271" s="1">
        <v>18.2</v>
      </c>
      <c r="G271" s="1">
        <v>26.03</v>
      </c>
      <c r="H271" s="1">
        <v>9.7735710909E10</v>
      </c>
      <c r="I271" s="3">
        <v>1.03576E11</v>
      </c>
      <c r="J271" s="1" t="s">
        <v>657</v>
      </c>
      <c r="K271" s="2">
        <v>45299.09722222222</v>
      </c>
      <c r="L271" s="1">
        <v>2.74</v>
      </c>
      <c r="M271" s="1">
        <v>533.95</v>
      </c>
      <c r="N271" s="1">
        <v>534.0</v>
      </c>
      <c r="O271" s="1">
        <v>44322.0</v>
      </c>
    </row>
    <row r="272">
      <c r="A272" s="1" t="s">
        <v>658</v>
      </c>
      <c r="B272" s="1" t="s">
        <v>169</v>
      </c>
      <c r="C272" s="1">
        <v>995.4</v>
      </c>
      <c r="D272" s="1" t="s">
        <v>21</v>
      </c>
      <c r="E272" s="1" t="s">
        <v>37</v>
      </c>
      <c r="F272" s="1">
        <v>32.11</v>
      </c>
      <c r="G272" s="1">
        <v>36.38</v>
      </c>
      <c r="H272" s="1">
        <v>3.7777140467E10</v>
      </c>
      <c r="I272" s="1">
        <v>3.8001018152E10</v>
      </c>
      <c r="J272" s="1" t="s">
        <v>659</v>
      </c>
      <c r="K272" s="1" t="s">
        <v>660</v>
      </c>
      <c r="L272" s="1">
        <v>1.77</v>
      </c>
      <c r="M272" s="1">
        <v>1761.86</v>
      </c>
      <c r="N272" s="1">
        <v>1762.0</v>
      </c>
      <c r="O272" s="1">
        <v>146246.0</v>
      </c>
    </row>
    <row r="273">
      <c r="A273" s="1" t="s">
        <v>661</v>
      </c>
      <c r="B273" s="1" t="s">
        <v>147</v>
      </c>
      <c r="C273" s="1">
        <v>83.0</v>
      </c>
      <c r="D273" s="1" t="s">
        <v>42</v>
      </c>
      <c r="E273" s="1" t="s">
        <v>22</v>
      </c>
      <c r="F273" s="1">
        <v>68.3</v>
      </c>
      <c r="G273" s="1">
        <v>88.53</v>
      </c>
      <c r="H273" s="1">
        <v>8.3987459484E10</v>
      </c>
      <c r="I273" s="1">
        <v>8.4757771662E10</v>
      </c>
      <c r="J273" s="1" t="s">
        <v>662</v>
      </c>
      <c r="K273" s="1" t="s">
        <v>663</v>
      </c>
      <c r="L273" s="1">
        <v>1.83</v>
      </c>
      <c r="M273" s="1">
        <v>151.89</v>
      </c>
      <c r="N273" s="1">
        <v>152.0</v>
      </c>
      <c r="O273" s="1">
        <v>12616.0</v>
      </c>
    </row>
    <row r="274">
      <c r="A274" s="1" t="s">
        <v>664</v>
      </c>
      <c r="B274" s="1" t="s">
        <v>99</v>
      </c>
      <c r="C274" s="1">
        <v>616.4254</v>
      </c>
      <c r="D274" s="1" t="s">
        <v>17</v>
      </c>
      <c r="E274" s="1" t="s">
        <v>37</v>
      </c>
      <c r="F274" s="1">
        <v>32.51</v>
      </c>
      <c r="G274" s="1">
        <v>19.15</v>
      </c>
      <c r="H274" s="1">
        <v>2.5286343338E10</v>
      </c>
      <c r="I274" s="1">
        <v>2.7269641999E10</v>
      </c>
      <c r="J274" s="1" t="s">
        <v>665</v>
      </c>
      <c r="K274" s="1" t="s">
        <v>666</v>
      </c>
      <c r="L274" s="1">
        <v>9.37</v>
      </c>
      <c r="M274" s="1">
        <v>5775.91</v>
      </c>
      <c r="N274" s="1">
        <v>5776.0</v>
      </c>
      <c r="O274" s="1">
        <v>479408.0</v>
      </c>
    </row>
    <row r="275">
      <c r="A275" s="1" t="s">
        <v>667</v>
      </c>
      <c r="B275" s="1" t="s">
        <v>41</v>
      </c>
      <c r="C275" s="1">
        <v>136.75</v>
      </c>
      <c r="D275" s="1" t="s">
        <v>42</v>
      </c>
      <c r="E275" s="1" t="s">
        <v>22</v>
      </c>
      <c r="F275" s="1">
        <v>4.02</v>
      </c>
      <c r="G275" s="1">
        <v>94.8</v>
      </c>
      <c r="H275" s="1">
        <v>6.223155302E9</v>
      </c>
      <c r="I275" s="1">
        <v>1.0482162987E10</v>
      </c>
      <c r="J275" s="2">
        <v>45359.64861111111</v>
      </c>
      <c r="K275" s="2">
        <v>45543.34652777778</v>
      </c>
      <c r="L275" s="1">
        <v>7.49</v>
      </c>
      <c r="M275" s="1">
        <v>1024.26</v>
      </c>
      <c r="N275" s="1">
        <v>1024.0</v>
      </c>
      <c r="O275" s="1">
        <v>84992.0</v>
      </c>
    </row>
    <row r="276">
      <c r="A276" s="1" t="s">
        <v>668</v>
      </c>
      <c r="B276" s="1" t="s">
        <v>20</v>
      </c>
      <c r="C276" s="1">
        <v>45.1096</v>
      </c>
      <c r="D276" s="1" t="s">
        <v>17</v>
      </c>
      <c r="E276" s="1" t="s">
        <v>27</v>
      </c>
      <c r="F276" s="1">
        <v>6.62</v>
      </c>
      <c r="G276" s="1">
        <v>2.48</v>
      </c>
      <c r="H276" s="1">
        <v>5.96499864E9</v>
      </c>
      <c r="I276" s="1">
        <v>1.4068838454E10</v>
      </c>
      <c r="J276" s="2">
        <v>45450.45347222222</v>
      </c>
      <c r="K276" s="2">
        <v>45511.25625</v>
      </c>
      <c r="L276" s="1">
        <v>7.8</v>
      </c>
      <c r="M276" s="1">
        <v>351.85</v>
      </c>
      <c r="N276" s="1">
        <v>352.0</v>
      </c>
      <c r="O276" s="1">
        <v>29216.0</v>
      </c>
    </row>
    <row r="277">
      <c r="A277" s="1" t="s">
        <v>669</v>
      </c>
      <c r="B277" s="1" t="s">
        <v>166</v>
      </c>
      <c r="C277" s="1">
        <v>948.5312</v>
      </c>
      <c r="D277" s="1" t="s">
        <v>17</v>
      </c>
      <c r="E277" s="1" t="s">
        <v>32</v>
      </c>
      <c r="F277" s="1">
        <v>74.25</v>
      </c>
      <c r="G277" s="1">
        <v>80.49</v>
      </c>
      <c r="H277" s="1">
        <v>5.7735263274E10</v>
      </c>
      <c r="I277" s="1">
        <v>5.8051523084E10</v>
      </c>
      <c r="J277" s="1" t="s">
        <v>670</v>
      </c>
      <c r="K277" s="1" t="s">
        <v>671</v>
      </c>
      <c r="L277" s="1">
        <v>6.15</v>
      </c>
      <c r="M277" s="1">
        <v>5833.47</v>
      </c>
      <c r="N277" s="1">
        <v>5833.0</v>
      </c>
      <c r="O277" s="1">
        <v>484139.0</v>
      </c>
    </row>
    <row r="278">
      <c r="A278" s="1" t="s">
        <v>672</v>
      </c>
      <c r="B278" s="1" t="s">
        <v>57</v>
      </c>
      <c r="C278" s="1">
        <v>457.1743</v>
      </c>
      <c r="D278" s="1" t="s">
        <v>21</v>
      </c>
      <c r="E278" s="1" t="s">
        <v>105</v>
      </c>
      <c r="F278" s="1">
        <v>50.29</v>
      </c>
      <c r="G278" s="1">
        <v>51.26</v>
      </c>
      <c r="H278" s="1">
        <v>4.7312241597E10</v>
      </c>
      <c r="I278" s="1">
        <v>5.3532146138E10</v>
      </c>
      <c r="J278" s="1" t="s">
        <v>673</v>
      </c>
      <c r="K278" s="2">
        <v>45331.21527777778</v>
      </c>
      <c r="L278" s="1">
        <v>3.17</v>
      </c>
      <c r="M278" s="1">
        <v>1449.24</v>
      </c>
      <c r="N278" s="1">
        <v>1449.0</v>
      </c>
      <c r="O278" s="1">
        <v>120267.0</v>
      </c>
    </row>
    <row r="279">
      <c r="A279" s="1" t="s">
        <v>674</v>
      </c>
      <c r="B279" s="1" t="s">
        <v>112</v>
      </c>
      <c r="C279" s="1">
        <v>40.4833</v>
      </c>
      <c r="D279" s="1" t="s">
        <v>42</v>
      </c>
      <c r="E279" s="1" t="s">
        <v>70</v>
      </c>
      <c r="F279" s="1">
        <v>85.18</v>
      </c>
      <c r="G279" s="1">
        <v>32.81</v>
      </c>
      <c r="H279" s="1">
        <v>2.4102967462E10</v>
      </c>
      <c r="I279" s="1">
        <v>2.8484820198E10</v>
      </c>
      <c r="J279" s="2">
        <v>45329.87222222222</v>
      </c>
      <c r="K279" s="2">
        <v>45389.55902777778</v>
      </c>
      <c r="L279" s="1">
        <v>6.88</v>
      </c>
      <c r="M279" s="1">
        <v>278.53</v>
      </c>
      <c r="N279" s="1">
        <v>279.0</v>
      </c>
      <c r="O279" s="1">
        <v>23157.0</v>
      </c>
    </row>
    <row r="280">
      <c r="A280" s="1" t="s">
        <v>675</v>
      </c>
      <c r="B280" s="1" t="s">
        <v>62</v>
      </c>
      <c r="C280" s="1">
        <v>89.5833</v>
      </c>
      <c r="D280" s="1" t="s">
        <v>42</v>
      </c>
      <c r="E280" s="1" t="s">
        <v>22</v>
      </c>
      <c r="F280" s="1">
        <v>63.73</v>
      </c>
      <c r="G280" s="1">
        <v>82.35</v>
      </c>
      <c r="H280" s="1">
        <v>1.3766036928E10</v>
      </c>
      <c r="I280" s="1">
        <v>1.4907381903E10</v>
      </c>
      <c r="J280" s="1" t="s">
        <v>676</v>
      </c>
      <c r="K280" s="1" t="s">
        <v>677</v>
      </c>
      <c r="L280" s="1">
        <v>6.09</v>
      </c>
      <c r="M280" s="1">
        <v>545.56</v>
      </c>
      <c r="N280" s="1">
        <v>546.0</v>
      </c>
      <c r="O280" s="1">
        <v>45318.0</v>
      </c>
    </row>
    <row r="281">
      <c r="A281" s="1" t="s">
        <v>678</v>
      </c>
      <c r="B281" s="1" t="s">
        <v>79</v>
      </c>
      <c r="C281" s="1">
        <v>203.1992</v>
      </c>
      <c r="D281" s="1" t="s">
        <v>17</v>
      </c>
      <c r="E281" s="1" t="s">
        <v>70</v>
      </c>
      <c r="F281" s="1">
        <v>40.52</v>
      </c>
      <c r="G281" s="1">
        <v>68.48</v>
      </c>
      <c r="H281" s="1">
        <v>6.3199644696E10</v>
      </c>
      <c r="I281" s="1">
        <v>6.345413886E10</v>
      </c>
      <c r="J281" s="1" t="s">
        <v>679</v>
      </c>
      <c r="K281" s="1" t="s">
        <v>680</v>
      </c>
      <c r="L281" s="1">
        <v>4.16</v>
      </c>
      <c r="M281" s="1">
        <v>845.31</v>
      </c>
      <c r="N281" s="1">
        <v>845.0</v>
      </c>
      <c r="O281" s="1">
        <v>70135.0</v>
      </c>
    </row>
    <row r="282">
      <c r="A282" s="1" t="s">
        <v>681</v>
      </c>
      <c r="B282" s="1" t="s">
        <v>273</v>
      </c>
      <c r="C282" s="1">
        <v>407.7949</v>
      </c>
      <c r="D282" s="1" t="s">
        <v>17</v>
      </c>
      <c r="E282" s="1" t="s">
        <v>105</v>
      </c>
      <c r="F282" s="1">
        <v>9.69</v>
      </c>
      <c r="G282" s="1">
        <v>65.3</v>
      </c>
      <c r="H282" s="1">
        <v>5.4268857907E10</v>
      </c>
      <c r="I282" s="1">
        <v>6.2015184822E10</v>
      </c>
      <c r="J282" s="1" t="s">
        <v>682</v>
      </c>
      <c r="K282" s="1" t="s">
        <v>683</v>
      </c>
      <c r="L282" s="1">
        <v>2.27</v>
      </c>
      <c r="M282" s="1">
        <v>925.69</v>
      </c>
      <c r="N282" s="1">
        <v>926.0</v>
      </c>
      <c r="O282" s="1">
        <v>76858.0</v>
      </c>
    </row>
    <row r="283">
      <c r="A283" s="1" t="s">
        <v>684</v>
      </c>
      <c r="B283" s="1" t="s">
        <v>26</v>
      </c>
      <c r="C283" s="1">
        <v>210.4333</v>
      </c>
      <c r="D283" s="1" t="s">
        <v>21</v>
      </c>
      <c r="E283" s="1" t="s">
        <v>27</v>
      </c>
      <c r="F283" s="1">
        <v>84.06</v>
      </c>
      <c r="G283" s="1">
        <v>56.96</v>
      </c>
      <c r="H283" s="1">
        <v>6.8388437354E10</v>
      </c>
      <c r="I283" s="1">
        <v>7.6892712268E10</v>
      </c>
      <c r="J283" s="1" t="s">
        <v>685</v>
      </c>
      <c r="K283" s="1" t="s">
        <v>686</v>
      </c>
      <c r="L283" s="1">
        <v>3.63</v>
      </c>
      <c r="M283" s="1">
        <v>763.87</v>
      </c>
      <c r="N283" s="1">
        <v>764.0</v>
      </c>
      <c r="O283" s="1">
        <v>63412.0</v>
      </c>
    </row>
    <row r="284">
      <c r="A284" s="1" t="s">
        <v>687</v>
      </c>
      <c r="B284" s="1" t="s">
        <v>46</v>
      </c>
      <c r="C284" s="1">
        <v>687.6223</v>
      </c>
      <c r="D284" s="1" t="s">
        <v>21</v>
      </c>
      <c r="E284" s="1" t="s">
        <v>37</v>
      </c>
      <c r="F284" s="1">
        <v>71.14</v>
      </c>
      <c r="G284" s="1">
        <v>94.07</v>
      </c>
      <c r="H284" s="1">
        <v>3.8892223577E10</v>
      </c>
      <c r="I284" s="1">
        <v>4.0407543548E10</v>
      </c>
      <c r="J284" s="2">
        <v>45329.623611111114</v>
      </c>
      <c r="K284" s="2">
        <v>45450.308333333334</v>
      </c>
      <c r="L284" s="1">
        <v>2.39</v>
      </c>
      <c r="M284" s="1">
        <v>1643.42</v>
      </c>
      <c r="N284" s="1">
        <v>1643.0</v>
      </c>
      <c r="O284" s="1">
        <v>136369.0</v>
      </c>
    </row>
    <row r="285">
      <c r="A285" s="1" t="s">
        <v>688</v>
      </c>
      <c r="B285" s="1" t="s">
        <v>166</v>
      </c>
      <c r="C285" s="1">
        <v>479.8823</v>
      </c>
      <c r="D285" s="1" t="s">
        <v>17</v>
      </c>
      <c r="E285" s="1" t="s">
        <v>18</v>
      </c>
      <c r="F285" s="1">
        <v>77.45</v>
      </c>
      <c r="G285" s="1">
        <v>1.08</v>
      </c>
      <c r="H285" s="1">
        <v>7.2020991027E10</v>
      </c>
      <c r="I285" s="1">
        <v>7.2727629424E10</v>
      </c>
      <c r="J285" s="1" t="s">
        <v>689</v>
      </c>
      <c r="K285" s="1" t="s">
        <v>690</v>
      </c>
      <c r="L285" s="1">
        <v>8.15</v>
      </c>
      <c r="M285" s="1">
        <v>3911.04</v>
      </c>
      <c r="N285" s="1">
        <v>3911.0</v>
      </c>
      <c r="O285" s="1">
        <v>324613.0</v>
      </c>
    </row>
    <row r="286">
      <c r="A286" s="1" t="s">
        <v>691</v>
      </c>
      <c r="B286" s="1" t="s">
        <v>60</v>
      </c>
      <c r="C286" s="1">
        <v>109.9833</v>
      </c>
      <c r="D286" s="1" t="s">
        <v>42</v>
      </c>
      <c r="E286" s="1" t="s">
        <v>155</v>
      </c>
      <c r="F286" s="1">
        <v>32.21</v>
      </c>
      <c r="G286" s="1">
        <v>24.58</v>
      </c>
      <c r="H286" s="1">
        <v>1.6213958271E10</v>
      </c>
      <c r="I286" s="1">
        <v>1.9574357777E10</v>
      </c>
      <c r="J286" s="2">
        <v>45633.44652777778</v>
      </c>
      <c r="K286" s="1" t="s">
        <v>692</v>
      </c>
      <c r="L286" s="1">
        <v>6.18</v>
      </c>
      <c r="M286" s="1">
        <v>679.7</v>
      </c>
      <c r="N286" s="1">
        <v>680.0</v>
      </c>
      <c r="O286" s="1">
        <v>56440.0</v>
      </c>
    </row>
    <row r="287">
      <c r="A287" s="1" t="s">
        <v>693</v>
      </c>
      <c r="B287" s="1" t="s">
        <v>46</v>
      </c>
      <c r="C287" s="1">
        <v>277.6608</v>
      </c>
      <c r="D287" s="1" t="s">
        <v>17</v>
      </c>
      <c r="E287" s="1" t="s">
        <v>74</v>
      </c>
      <c r="F287" s="1">
        <v>66.09</v>
      </c>
      <c r="G287" s="1">
        <v>22.93</v>
      </c>
      <c r="H287" s="1">
        <v>7.3947753429E10</v>
      </c>
      <c r="I287" s="1">
        <v>7.4062804247E10</v>
      </c>
      <c r="J287" s="2">
        <v>45512.31736111111</v>
      </c>
      <c r="K287" s="2">
        <v>45573.55069444444</v>
      </c>
      <c r="L287" s="1">
        <v>3.82</v>
      </c>
      <c r="M287" s="1">
        <v>1060.66</v>
      </c>
      <c r="N287" s="1">
        <v>1061.0</v>
      </c>
      <c r="O287" s="1">
        <v>88063.0</v>
      </c>
    </row>
    <row r="288">
      <c r="A288" s="1" t="s">
        <v>694</v>
      </c>
      <c r="B288" s="1" t="s">
        <v>128</v>
      </c>
      <c r="C288" s="1">
        <v>941.414</v>
      </c>
      <c r="D288" s="1" t="s">
        <v>17</v>
      </c>
      <c r="E288" s="1" t="s">
        <v>22</v>
      </c>
      <c r="F288" s="1">
        <v>68.48</v>
      </c>
      <c r="G288" s="1">
        <v>73.0</v>
      </c>
      <c r="H288" s="1">
        <v>4.028608736E9</v>
      </c>
      <c r="I288" s="1">
        <v>1.0733576597E10</v>
      </c>
      <c r="J288" s="2">
        <v>45542.64236111111</v>
      </c>
      <c r="K288" s="1" t="s">
        <v>695</v>
      </c>
      <c r="L288" s="1">
        <v>6.86</v>
      </c>
      <c r="M288" s="1">
        <v>6458.1</v>
      </c>
      <c r="N288" s="1">
        <v>6458.0</v>
      </c>
      <c r="O288" s="1">
        <v>536014.0</v>
      </c>
    </row>
    <row r="289">
      <c r="A289" s="1" t="s">
        <v>696</v>
      </c>
      <c r="B289" s="1" t="s">
        <v>20</v>
      </c>
      <c r="C289" s="1">
        <v>381.8599</v>
      </c>
      <c r="D289" s="1" t="s">
        <v>21</v>
      </c>
      <c r="E289" s="1" t="s">
        <v>155</v>
      </c>
      <c r="F289" s="1">
        <v>4.46</v>
      </c>
      <c r="G289" s="1">
        <v>99.8</v>
      </c>
      <c r="H289" s="1">
        <v>4.1790748625E10</v>
      </c>
      <c r="I289" s="1">
        <v>4.3925495516E10</v>
      </c>
      <c r="J289" s="1" t="s">
        <v>697</v>
      </c>
      <c r="K289" s="1" t="s">
        <v>698</v>
      </c>
      <c r="L289" s="1">
        <v>5.71</v>
      </c>
      <c r="M289" s="1">
        <v>2180.42</v>
      </c>
      <c r="N289" s="1">
        <v>2180.0</v>
      </c>
      <c r="O289" s="1">
        <v>180940.0</v>
      </c>
    </row>
    <row r="290">
      <c r="A290" s="1" t="s">
        <v>699</v>
      </c>
      <c r="B290" s="1" t="s">
        <v>66</v>
      </c>
      <c r="C290" s="1">
        <v>747.7278</v>
      </c>
      <c r="D290" s="1" t="s">
        <v>21</v>
      </c>
      <c r="E290" s="1" t="s">
        <v>37</v>
      </c>
      <c r="F290" s="1">
        <v>29.11</v>
      </c>
      <c r="G290" s="1">
        <v>28.36</v>
      </c>
      <c r="H290" s="1">
        <v>5.710974286E10</v>
      </c>
      <c r="I290" s="1">
        <v>6.6197385049E10</v>
      </c>
      <c r="J290" s="2">
        <v>45451.27291666667</v>
      </c>
      <c r="K290" s="2">
        <v>45512.58541666667</v>
      </c>
      <c r="L290" s="1">
        <v>7.86</v>
      </c>
      <c r="M290" s="1">
        <v>5877.14</v>
      </c>
      <c r="N290" s="1">
        <v>5877.0</v>
      </c>
      <c r="O290" s="1">
        <v>487791.0</v>
      </c>
    </row>
    <row r="291">
      <c r="A291" s="1" t="s">
        <v>700</v>
      </c>
      <c r="B291" s="1" t="s">
        <v>46</v>
      </c>
      <c r="C291" s="1">
        <v>515.3703</v>
      </c>
      <c r="D291" s="1" t="s">
        <v>17</v>
      </c>
      <c r="E291" s="1" t="s">
        <v>18</v>
      </c>
      <c r="F291" s="1">
        <v>20.74</v>
      </c>
      <c r="G291" s="1">
        <v>98.76</v>
      </c>
      <c r="H291" s="1">
        <v>8.8335739819E10</v>
      </c>
      <c r="I291" s="1">
        <v>9.6914457716E10</v>
      </c>
      <c r="J291" s="2">
        <v>45633.73819444444</v>
      </c>
      <c r="K291" s="1" t="s">
        <v>701</v>
      </c>
      <c r="L291" s="1">
        <v>9.55</v>
      </c>
      <c r="M291" s="1">
        <v>4921.79</v>
      </c>
      <c r="N291" s="1">
        <v>4922.0</v>
      </c>
      <c r="O291" s="1">
        <v>408526.0</v>
      </c>
    </row>
    <row r="292">
      <c r="A292" s="1" t="s">
        <v>702</v>
      </c>
      <c r="B292" s="1" t="s">
        <v>41</v>
      </c>
      <c r="C292" s="1">
        <v>71.4</v>
      </c>
      <c r="D292" s="1" t="s">
        <v>42</v>
      </c>
      <c r="E292" s="1" t="s">
        <v>32</v>
      </c>
      <c r="F292" s="1">
        <v>60.35</v>
      </c>
      <c r="G292" s="1">
        <v>81.87</v>
      </c>
      <c r="H292" s="1">
        <v>1.031886918E9</v>
      </c>
      <c r="I292" s="1">
        <v>2.820539317E9</v>
      </c>
      <c r="J292" s="1" t="s">
        <v>703</v>
      </c>
      <c r="K292" s="1" t="s">
        <v>704</v>
      </c>
      <c r="L292" s="1">
        <v>3.05</v>
      </c>
      <c r="M292" s="1">
        <v>217.77</v>
      </c>
      <c r="N292" s="1">
        <v>218.0</v>
      </c>
      <c r="O292" s="1">
        <v>18094.0</v>
      </c>
    </row>
    <row r="293">
      <c r="A293" s="1" t="s">
        <v>705</v>
      </c>
      <c r="B293" s="1" t="s">
        <v>31</v>
      </c>
      <c r="C293" s="1">
        <v>177.7278</v>
      </c>
      <c r="D293" s="1" t="s">
        <v>21</v>
      </c>
      <c r="E293" s="1" t="s">
        <v>27</v>
      </c>
      <c r="F293" s="1">
        <v>40.15</v>
      </c>
      <c r="G293" s="1">
        <v>7.95</v>
      </c>
      <c r="H293" s="1">
        <v>9.2640197584E10</v>
      </c>
      <c r="I293" s="1">
        <v>9.2794051251E10</v>
      </c>
      <c r="J293" s="2">
        <v>45572.775</v>
      </c>
      <c r="K293" s="2">
        <v>45633.42152777778</v>
      </c>
      <c r="L293" s="1">
        <v>6.65</v>
      </c>
      <c r="M293" s="1">
        <v>1181.89</v>
      </c>
      <c r="N293" s="1">
        <v>1182.0</v>
      </c>
      <c r="O293" s="1">
        <v>98106.0</v>
      </c>
    </row>
    <row r="294">
      <c r="A294" s="1" t="s">
        <v>706</v>
      </c>
      <c r="B294" s="1" t="s">
        <v>147</v>
      </c>
      <c r="C294" s="1">
        <v>70.9</v>
      </c>
      <c r="D294" s="1" t="s">
        <v>42</v>
      </c>
      <c r="E294" s="1" t="s">
        <v>58</v>
      </c>
      <c r="F294" s="1">
        <v>99.65</v>
      </c>
      <c r="G294" s="1">
        <v>64.13</v>
      </c>
      <c r="H294" s="1">
        <v>6.9458668373E10</v>
      </c>
      <c r="I294" s="1">
        <v>7.4057033715E10</v>
      </c>
      <c r="J294" s="1" t="s">
        <v>707</v>
      </c>
      <c r="K294" s="1" t="s">
        <v>708</v>
      </c>
      <c r="L294" s="1">
        <v>6.52</v>
      </c>
      <c r="M294" s="1">
        <v>462.27</v>
      </c>
      <c r="N294" s="1">
        <v>462.0</v>
      </c>
      <c r="O294" s="1">
        <v>38346.0</v>
      </c>
    </row>
    <row r="295">
      <c r="A295" s="1" t="s">
        <v>709</v>
      </c>
      <c r="B295" s="1" t="s">
        <v>20</v>
      </c>
      <c r="C295" s="1">
        <v>417.5436</v>
      </c>
      <c r="D295" s="1" t="s">
        <v>21</v>
      </c>
      <c r="E295" s="1" t="s">
        <v>27</v>
      </c>
      <c r="F295" s="1">
        <v>26.2</v>
      </c>
      <c r="G295" s="1">
        <v>39.45</v>
      </c>
      <c r="H295" s="1">
        <v>8.3207228959E10</v>
      </c>
      <c r="I295" s="1">
        <v>8.7342143354E10</v>
      </c>
      <c r="J295" s="1" t="s">
        <v>710</v>
      </c>
      <c r="K295" s="2">
        <v>45330.47083333333</v>
      </c>
      <c r="L295" s="1">
        <v>5.3</v>
      </c>
      <c r="M295" s="1">
        <v>2212.98</v>
      </c>
      <c r="N295" s="1">
        <v>2213.0</v>
      </c>
      <c r="O295" s="1">
        <v>183679.0</v>
      </c>
    </row>
    <row r="296">
      <c r="A296" s="1" t="s">
        <v>711</v>
      </c>
      <c r="B296" s="1" t="s">
        <v>79</v>
      </c>
      <c r="C296" s="1">
        <v>64.1684</v>
      </c>
      <c r="D296" s="1" t="s">
        <v>17</v>
      </c>
      <c r="E296" s="1" t="s">
        <v>123</v>
      </c>
      <c r="F296" s="1">
        <v>98.89</v>
      </c>
      <c r="G296" s="1">
        <v>90.96</v>
      </c>
      <c r="H296" s="1">
        <v>2.8166238801E10</v>
      </c>
      <c r="I296" s="1">
        <v>3.353296822E10</v>
      </c>
      <c r="J296" s="2">
        <v>45481.36388888889</v>
      </c>
      <c r="K296" s="2">
        <v>45573.65833333333</v>
      </c>
      <c r="L296" s="1">
        <v>1.83</v>
      </c>
      <c r="M296" s="1">
        <v>117.43</v>
      </c>
      <c r="N296" s="1">
        <v>117.0</v>
      </c>
      <c r="O296" s="1">
        <v>9711.0</v>
      </c>
    </row>
    <row r="297">
      <c r="A297" s="1" t="s">
        <v>712</v>
      </c>
      <c r="B297" s="1" t="s">
        <v>79</v>
      </c>
      <c r="C297" s="1">
        <v>119.3159</v>
      </c>
      <c r="D297" s="1" t="s">
        <v>17</v>
      </c>
      <c r="E297" s="1" t="s">
        <v>37</v>
      </c>
      <c r="F297" s="1">
        <v>22.8</v>
      </c>
      <c r="G297" s="1">
        <v>42.14</v>
      </c>
      <c r="H297" s="1">
        <v>2.857084277E9</v>
      </c>
      <c r="I297" s="1">
        <v>1.0388720149E10</v>
      </c>
      <c r="J297" s="1" t="s">
        <v>713</v>
      </c>
      <c r="K297" s="1" t="s">
        <v>714</v>
      </c>
      <c r="L297" s="1">
        <v>7.93</v>
      </c>
      <c r="M297" s="1">
        <v>946.18</v>
      </c>
      <c r="N297" s="1">
        <v>946.0</v>
      </c>
      <c r="O297" s="1">
        <v>78518.0</v>
      </c>
    </row>
    <row r="298">
      <c r="A298" s="1" t="s">
        <v>715</v>
      </c>
      <c r="B298" s="1" t="s">
        <v>62</v>
      </c>
      <c r="C298" s="1">
        <v>62.4667</v>
      </c>
      <c r="D298" s="1" t="s">
        <v>42</v>
      </c>
      <c r="E298" s="1" t="s">
        <v>155</v>
      </c>
      <c r="F298" s="1">
        <v>13.03</v>
      </c>
      <c r="G298" s="1">
        <v>88.6</v>
      </c>
      <c r="H298" s="1">
        <v>5.6299065995E10</v>
      </c>
      <c r="I298" s="1">
        <v>5.8695200121E10</v>
      </c>
      <c r="J298" s="1" t="s">
        <v>716</v>
      </c>
      <c r="K298" s="1" t="s">
        <v>717</v>
      </c>
      <c r="L298" s="1">
        <v>9.62</v>
      </c>
      <c r="M298" s="1">
        <v>600.93</v>
      </c>
      <c r="N298" s="1">
        <v>601.0</v>
      </c>
      <c r="O298" s="1">
        <v>49883.0</v>
      </c>
    </row>
    <row r="299">
      <c r="A299" s="1" t="s">
        <v>718</v>
      </c>
      <c r="B299" s="1" t="s">
        <v>147</v>
      </c>
      <c r="C299" s="1">
        <v>60.7</v>
      </c>
      <c r="D299" s="1" t="s">
        <v>42</v>
      </c>
      <c r="E299" s="1" t="s">
        <v>37</v>
      </c>
      <c r="F299" s="1">
        <v>38.88</v>
      </c>
      <c r="G299" s="1">
        <v>59.1</v>
      </c>
      <c r="H299" s="1">
        <v>3.4279058769E10</v>
      </c>
      <c r="I299" s="1">
        <v>3.4342664992E10</v>
      </c>
      <c r="J299" s="2">
        <v>45511.60277777778</v>
      </c>
      <c r="K299" s="2">
        <v>45603.131944444445</v>
      </c>
      <c r="L299" s="1">
        <v>6.52</v>
      </c>
      <c r="M299" s="1">
        <v>395.76</v>
      </c>
      <c r="N299" s="1">
        <v>396.0</v>
      </c>
      <c r="O299" s="1">
        <v>32868.0</v>
      </c>
    </row>
    <row r="300">
      <c r="A300" s="1" t="s">
        <v>719</v>
      </c>
      <c r="B300" s="1" t="s">
        <v>79</v>
      </c>
      <c r="C300" s="1">
        <v>331.7406</v>
      </c>
      <c r="D300" s="1" t="s">
        <v>17</v>
      </c>
      <c r="E300" s="1" t="s">
        <v>70</v>
      </c>
      <c r="F300" s="1">
        <v>8.42</v>
      </c>
      <c r="G300" s="1">
        <v>45.09</v>
      </c>
      <c r="H300" s="1">
        <v>8.190551982E10</v>
      </c>
      <c r="I300" s="1">
        <v>8.6264730884E10</v>
      </c>
      <c r="J300" s="1" t="s">
        <v>720</v>
      </c>
      <c r="K300" s="1" t="s">
        <v>721</v>
      </c>
      <c r="L300" s="1">
        <v>3.09</v>
      </c>
      <c r="M300" s="1">
        <v>1025.08</v>
      </c>
      <c r="N300" s="1">
        <v>1025.0</v>
      </c>
      <c r="O300" s="1">
        <v>85075.0</v>
      </c>
    </row>
    <row r="301">
      <c r="A301" s="1" t="s">
        <v>722</v>
      </c>
      <c r="B301" s="1" t="s">
        <v>62</v>
      </c>
      <c r="C301" s="1">
        <v>125.55</v>
      </c>
      <c r="D301" s="1" t="s">
        <v>42</v>
      </c>
      <c r="E301" s="1" t="s">
        <v>70</v>
      </c>
      <c r="F301" s="1">
        <v>17.84</v>
      </c>
      <c r="G301" s="1">
        <v>37.57</v>
      </c>
      <c r="H301" s="1">
        <v>7.5269655994E10</v>
      </c>
      <c r="I301" s="1">
        <v>8.08348427E10</v>
      </c>
      <c r="J301" s="1" t="s">
        <v>723</v>
      </c>
      <c r="K301" s="1" t="s">
        <v>724</v>
      </c>
      <c r="L301" s="1">
        <v>9.55</v>
      </c>
      <c r="M301" s="1">
        <v>1199.0</v>
      </c>
      <c r="N301" s="1">
        <v>1199.0</v>
      </c>
      <c r="O301" s="1">
        <v>99517.0</v>
      </c>
    </row>
    <row r="302">
      <c r="A302" s="1" t="s">
        <v>725</v>
      </c>
      <c r="B302" s="1" t="s">
        <v>16</v>
      </c>
      <c r="C302" s="1">
        <v>163.075</v>
      </c>
      <c r="D302" s="1" t="s">
        <v>17</v>
      </c>
      <c r="E302" s="1" t="s">
        <v>18</v>
      </c>
      <c r="F302" s="1">
        <v>20.21</v>
      </c>
      <c r="G302" s="1">
        <v>93.53</v>
      </c>
      <c r="H302" s="1">
        <v>7.872419289E10</v>
      </c>
      <c r="I302" s="1">
        <v>8.3475645504E10</v>
      </c>
      <c r="J302" s="2">
        <v>45359.09166666667</v>
      </c>
      <c r="K302" s="2">
        <v>45512.245833333334</v>
      </c>
      <c r="L302" s="1">
        <v>3.32</v>
      </c>
      <c r="M302" s="1">
        <v>541.41</v>
      </c>
      <c r="N302" s="1">
        <v>541.0</v>
      </c>
      <c r="O302" s="1">
        <v>44903.0</v>
      </c>
    </row>
    <row r="303">
      <c r="A303" s="1" t="s">
        <v>726</v>
      </c>
      <c r="B303" s="1" t="s">
        <v>128</v>
      </c>
      <c r="C303" s="1">
        <v>724.7898</v>
      </c>
      <c r="D303" s="1" t="s">
        <v>21</v>
      </c>
      <c r="E303" s="1" t="s">
        <v>27</v>
      </c>
      <c r="F303" s="1">
        <v>73.18</v>
      </c>
      <c r="G303" s="1">
        <v>60.63</v>
      </c>
      <c r="H303" s="1">
        <v>7.8477752098E10</v>
      </c>
      <c r="I303" s="1">
        <v>8.8271877239E10</v>
      </c>
      <c r="J303" s="1" t="s">
        <v>727</v>
      </c>
      <c r="K303" s="1" t="s">
        <v>728</v>
      </c>
      <c r="L303" s="1">
        <v>9.79</v>
      </c>
      <c r="M303" s="1">
        <v>7095.69</v>
      </c>
      <c r="N303" s="1">
        <v>7096.0</v>
      </c>
      <c r="O303" s="1">
        <v>588968.0</v>
      </c>
    </row>
    <row r="304">
      <c r="A304" s="1" t="s">
        <v>729</v>
      </c>
      <c r="B304" s="1" t="s">
        <v>26</v>
      </c>
      <c r="C304" s="1">
        <v>589.1842</v>
      </c>
      <c r="D304" s="1" t="s">
        <v>21</v>
      </c>
      <c r="E304" s="1" t="s">
        <v>70</v>
      </c>
      <c r="F304" s="1">
        <v>69.14</v>
      </c>
      <c r="G304" s="1">
        <v>13.82</v>
      </c>
      <c r="H304" s="1">
        <v>8.7811828441E10</v>
      </c>
      <c r="I304" s="1">
        <v>9.4364577288E10</v>
      </c>
      <c r="J304" s="1" t="s">
        <v>730</v>
      </c>
      <c r="K304" s="2">
        <v>45360.59652777778</v>
      </c>
      <c r="L304" s="1">
        <v>7.93</v>
      </c>
      <c r="M304" s="1">
        <v>4672.23</v>
      </c>
      <c r="N304" s="1">
        <v>4672.0</v>
      </c>
      <c r="O304" s="1">
        <v>387776.0</v>
      </c>
    </row>
    <row r="305">
      <c r="A305" s="1" t="s">
        <v>731</v>
      </c>
      <c r="B305" s="1" t="s">
        <v>31</v>
      </c>
      <c r="C305" s="1">
        <v>295.4871</v>
      </c>
      <c r="D305" s="1" t="s">
        <v>17</v>
      </c>
      <c r="E305" s="1" t="s">
        <v>70</v>
      </c>
      <c r="F305" s="1">
        <v>38.52</v>
      </c>
      <c r="G305" s="1">
        <v>27.02</v>
      </c>
      <c r="H305" s="1">
        <v>3.592743618E9</v>
      </c>
      <c r="I305" s="1">
        <v>7.584104509E9</v>
      </c>
      <c r="J305" s="2">
        <v>45572.72083333333</v>
      </c>
      <c r="K305" s="2">
        <v>45633.26597222222</v>
      </c>
      <c r="L305" s="1">
        <v>3.76</v>
      </c>
      <c r="M305" s="1">
        <v>1111.03</v>
      </c>
      <c r="N305" s="1">
        <v>1111.0</v>
      </c>
      <c r="O305" s="1">
        <v>92213.0</v>
      </c>
    </row>
    <row r="306">
      <c r="A306" s="1" t="s">
        <v>732</v>
      </c>
      <c r="B306" s="1" t="s">
        <v>41</v>
      </c>
      <c r="C306" s="1">
        <v>93.4167</v>
      </c>
      <c r="D306" s="1" t="s">
        <v>42</v>
      </c>
      <c r="E306" s="1" t="s">
        <v>58</v>
      </c>
      <c r="F306" s="1">
        <v>39.06</v>
      </c>
      <c r="G306" s="1">
        <v>68.85</v>
      </c>
      <c r="H306" s="1">
        <v>9.9747398472E10</v>
      </c>
      <c r="I306" s="3">
        <v>1.06154E11</v>
      </c>
      <c r="J306" s="1" t="s">
        <v>733</v>
      </c>
      <c r="K306" s="1" t="s">
        <v>734</v>
      </c>
      <c r="L306" s="1">
        <v>3.94</v>
      </c>
      <c r="M306" s="1">
        <v>368.06</v>
      </c>
      <c r="N306" s="1">
        <v>368.0</v>
      </c>
      <c r="O306" s="1">
        <v>30544.0</v>
      </c>
    </row>
    <row r="307">
      <c r="A307" s="1" t="s">
        <v>735</v>
      </c>
      <c r="B307" s="1" t="s">
        <v>41</v>
      </c>
      <c r="C307" s="1">
        <v>46.3667</v>
      </c>
      <c r="D307" s="1" t="s">
        <v>42</v>
      </c>
      <c r="E307" s="1" t="s">
        <v>18</v>
      </c>
      <c r="F307" s="1">
        <v>26.96</v>
      </c>
      <c r="G307" s="1">
        <v>61.26</v>
      </c>
      <c r="H307" s="1">
        <v>2.865101214E10</v>
      </c>
      <c r="I307" s="1">
        <v>3.6341944171E10</v>
      </c>
      <c r="J307" s="1" t="s">
        <v>736</v>
      </c>
      <c r="K307" s="1" t="s">
        <v>737</v>
      </c>
      <c r="L307" s="1">
        <v>2.9</v>
      </c>
      <c r="M307" s="1">
        <v>134.46</v>
      </c>
      <c r="N307" s="1">
        <v>134.0</v>
      </c>
      <c r="O307" s="1">
        <v>11122.0</v>
      </c>
    </row>
    <row r="308">
      <c r="A308" s="1" t="s">
        <v>738</v>
      </c>
      <c r="B308" s="1" t="s">
        <v>26</v>
      </c>
      <c r="C308" s="1">
        <v>406.9697</v>
      </c>
      <c r="D308" s="1" t="s">
        <v>21</v>
      </c>
      <c r="E308" s="1" t="s">
        <v>123</v>
      </c>
      <c r="F308" s="1">
        <v>75.97</v>
      </c>
      <c r="G308" s="1">
        <v>35.59</v>
      </c>
      <c r="H308" s="1">
        <v>7.1136873838E10</v>
      </c>
      <c r="I308" s="1">
        <v>7.9539464593E10</v>
      </c>
      <c r="J308" s="1" t="s">
        <v>739</v>
      </c>
      <c r="K308" s="1" t="s">
        <v>740</v>
      </c>
      <c r="L308" s="1">
        <v>2.95</v>
      </c>
      <c r="M308" s="1">
        <v>1200.56</v>
      </c>
      <c r="N308" s="1">
        <v>1201.0</v>
      </c>
      <c r="O308" s="1">
        <v>99683.0</v>
      </c>
    </row>
    <row r="309">
      <c r="A309" s="1" t="s">
        <v>741</v>
      </c>
      <c r="B309" s="1" t="s">
        <v>31</v>
      </c>
      <c r="C309" s="1">
        <v>778.2469</v>
      </c>
      <c r="D309" s="1" t="s">
        <v>21</v>
      </c>
      <c r="E309" s="1" t="s">
        <v>58</v>
      </c>
      <c r="F309" s="1">
        <v>1.26</v>
      </c>
      <c r="G309" s="1">
        <v>40.65</v>
      </c>
      <c r="H309" s="1">
        <v>2.4624786354E10</v>
      </c>
      <c r="I309" s="1">
        <v>3.2975101756E10</v>
      </c>
      <c r="J309" s="1" t="s">
        <v>742</v>
      </c>
      <c r="K309" s="1" t="s">
        <v>743</v>
      </c>
      <c r="L309" s="1">
        <v>5.55</v>
      </c>
      <c r="M309" s="1">
        <v>4319.27</v>
      </c>
      <c r="N309" s="1">
        <v>4319.0</v>
      </c>
      <c r="O309" s="1">
        <v>358477.0</v>
      </c>
    </row>
    <row r="310">
      <c r="A310" s="1" t="s">
        <v>744</v>
      </c>
      <c r="B310" s="1" t="s">
        <v>147</v>
      </c>
      <c r="C310" s="1">
        <v>118.1</v>
      </c>
      <c r="D310" s="1" t="s">
        <v>42</v>
      </c>
      <c r="E310" s="1" t="s">
        <v>32</v>
      </c>
      <c r="F310" s="1">
        <v>84.66</v>
      </c>
      <c r="G310" s="1">
        <v>59.16</v>
      </c>
      <c r="H310" s="1">
        <v>4.773068726E9</v>
      </c>
      <c r="I310" s="1">
        <v>5.71712999E9</v>
      </c>
      <c r="J310" s="2">
        <v>45358.865277777775</v>
      </c>
      <c r="K310" s="2">
        <v>45511.78611111111</v>
      </c>
      <c r="L310" s="1">
        <v>3.34</v>
      </c>
      <c r="M310" s="1">
        <v>394.45</v>
      </c>
      <c r="N310" s="1">
        <v>394.0</v>
      </c>
      <c r="O310" s="1">
        <v>32702.0</v>
      </c>
    </row>
    <row r="311">
      <c r="A311" s="1" t="s">
        <v>745</v>
      </c>
      <c r="B311" s="1" t="s">
        <v>112</v>
      </c>
      <c r="C311" s="1">
        <v>86.9833</v>
      </c>
      <c r="D311" s="1" t="s">
        <v>42</v>
      </c>
      <c r="E311" s="1" t="s">
        <v>32</v>
      </c>
      <c r="F311" s="1">
        <v>95.91</v>
      </c>
      <c r="G311" s="1">
        <v>89.27</v>
      </c>
      <c r="H311" s="1">
        <v>7.0761031842E10</v>
      </c>
      <c r="I311" s="1">
        <v>7.9512127244E10</v>
      </c>
      <c r="J311" s="2">
        <v>45572.50347222222</v>
      </c>
      <c r="K311" s="1" t="s">
        <v>746</v>
      </c>
      <c r="L311" s="1">
        <v>7.63</v>
      </c>
      <c r="M311" s="1">
        <v>663.68</v>
      </c>
      <c r="N311" s="1">
        <v>664.0</v>
      </c>
      <c r="O311" s="1">
        <v>55112.0</v>
      </c>
    </row>
    <row r="312">
      <c r="A312" s="1" t="s">
        <v>747</v>
      </c>
      <c r="B312" s="1" t="s">
        <v>46</v>
      </c>
      <c r="C312" s="1">
        <v>406.7662</v>
      </c>
      <c r="D312" s="1" t="s">
        <v>17</v>
      </c>
      <c r="E312" s="1" t="s">
        <v>18</v>
      </c>
      <c r="F312" s="1">
        <v>61.25</v>
      </c>
      <c r="G312" s="1">
        <v>52.83</v>
      </c>
      <c r="H312" s="1">
        <v>3.6836744438E10</v>
      </c>
      <c r="I312" s="1">
        <v>4.4586206736E10</v>
      </c>
      <c r="J312" s="1" t="s">
        <v>748</v>
      </c>
      <c r="K312" s="1" t="s">
        <v>749</v>
      </c>
      <c r="L312" s="1">
        <v>8.65</v>
      </c>
      <c r="M312" s="1">
        <v>3518.53</v>
      </c>
      <c r="N312" s="1">
        <v>3519.0</v>
      </c>
      <c r="O312" s="1">
        <v>292077.0</v>
      </c>
    </row>
    <row r="313">
      <c r="A313" s="1" t="s">
        <v>750</v>
      </c>
      <c r="B313" s="1" t="s">
        <v>20</v>
      </c>
      <c r="C313" s="1">
        <v>675.0447</v>
      </c>
      <c r="D313" s="1" t="s">
        <v>17</v>
      </c>
      <c r="E313" s="1" t="s">
        <v>22</v>
      </c>
      <c r="F313" s="1">
        <v>31.52</v>
      </c>
      <c r="G313" s="1">
        <v>46.67</v>
      </c>
      <c r="H313" s="1">
        <v>3.4586931717E10</v>
      </c>
      <c r="I313" s="1">
        <v>4.3826455816E10</v>
      </c>
      <c r="J313" s="1" t="s">
        <v>751</v>
      </c>
      <c r="K313" s="1" t="s">
        <v>752</v>
      </c>
      <c r="L313" s="1">
        <v>8.47</v>
      </c>
      <c r="M313" s="1">
        <v>5717.63</v>
      </c>
      <c r="N313" s="1">
        <v>5718.0</v>
      </c>
      <c r="O313" s="1">
        <v>474594.0</v>
      </c>
    </row>
    <row r="314">
      <c r="A314" s="1" t="s">
        <v>753</v>
      </c>
      <c r="B314" s="1" t="s">
        <v>273</v>
      </c>
      <c r="C314" s="1">
        <v>152.5828</v>
      </c>
      <c r="D314" s="1" t="s">
        <v>21</v>
      </c>
      <c r="E314" s="1" t="s">
        <v>18</v>
      </c>
      <c r="F314" s="1">
        <v>31.48</v>
      </c>
      <c r="G314" s="1">
        <v>80.03</v>
      </c>
      <c r="H314" s="1">
        <v>7.4586150767E10</v>
      </c>
      <c r="I314" s="1">
        <v>8.1343833263E10</v>
      </c>
      <c r="J314" s="1" t="s">
        <v>754</v>
      </c>
      <c r="K314" s="1" t="s">
        <v>755</v>
      </c>
      <c r="L314" s="1">
        <v>1.54</v>
      </c>
      <c r="M314" s="1">
        <v>234.98</v>
      </c>
      <c r="N314" s="1">
        <v>235.0</v>
      </c>
      <c r="O314" s="1">
        <v>19505.0</v>
      </c>
    </row>
    <row r="315">
      <c r="A315" s="1" t="s">
        <v>756</v>
      </c>
      <c r="B315" s="1" t="s">
        <v>183</v>
      </c>
      <c r="C315" s="1">
        <v>250.3807</v>
      </c>
      <c r="D315" s="1" t="s">
        <v>17</v>
      </c>
      <c r="E315" s="1" t="s">
        <v>70</v>
      </c>
      <c r="F315" s="1">
        <v>78.41</v>
      </c>
      <c r="G315" s="1">
        <v>51.91</v>
      </c>
      <c r="H315" s="1">
        <v>5.6910738249E10</v>
      </c>
      <c r="I315" s="1">
        <v>5.795980854E10</v>
      </c>
      <c r="J315" s="2">
        <v>45358.88958333333</v>
      </c>
      <c r="K315" s="2">
        <v>45480.82083333333</v>
      </c>
      <c r="L315" s="1">
        <v>3.77</v>
      </c>
      <c r="M315" s="1">
        <v>943.94</v>
      </c>
      <c r="N315" s="1">
        <v>944.0</v>
      </c>
      <c r="O315" s="1">
        <v>78352.0</v>
      </c>
    </row>
    <row r="316">
      <c r="A316" s="1" t="s">
        <v>757</v>
      </c>
      <c r="B316" s="1" t="s">
        <v>16</v>
      </c>
      <c r="C316" s="1">
        <v>376.8075</v>
      </c>
      <c r="D316" s="1" t="s">
        <v>17</v>
      </c>
      <c r="E316" s="1" t="s">
        <v>74</v>
      </c>
      <c r="F316" s="1">
        <v>20.6</v>
      </c>
      <c r="G316" s="1">
        <v>1.99</v>
      </c>
      <c r="H316" s="1">
        <v>3.9391998186E10</v>
      </c>
      <c r="I316" s="1">
        <v>4.4986088106E10</v>
      </c>
      <c r="J316" s="2">
        <v>45330.12986111111</v>
      </c>
      <c r="K316" s="2">
        <v>45481.16805555556</v>
      </c>
      <c r="L316" s="1">
        <v>1.35</v>
      </c>
      <c r="M316" s="1">
        <v>508.69</v>
      </c>
      <c r="N316" s="1">
        <v>509.0</v>
      </c>
      <c r="O316" s="1">
        <v>42247.0</v>
      </c>
    </row>
    <row r="317">
      <c r="A317" s="1" t="s">
        <v>758</v>
      </c>
      <c r="B317" s="1" t="s">
        <v>20</v>
      </c>
      <c r="C317" s="1">
        <v>881.6954</v>
      </c>
      <c r="D317" s="1" t="s">
        <v>21</v>
      </c>
      <c r="E317" s="1" t="s">
        <v>18</v>
      </c>
      <c r="F317" s="1">
        <v>29.61</v>
      </c>
      <c r="G317" s="1">
        <v>41.17</v>
      </c>
      <c r="H317" s="1">
        <v>5.2142857257E10</v>
      </c>
      <c r="I317" s="1">
        <v>5.4045175891E10</v>
      </c>
      <c r="J317" s="2">
        <v>45573.11111111111</v>
      </c>
      <c r="K317" s="1" t="s">
        <v>759</v>
      </c>
      <c r="L317" s="1">
        <v>8.63</v>
      </c>
      <c r="M317" s="1">
        <v>7609.03</v>
      </c>
      <c r="N317" s="1">
        <v>7609.0</v>
      </c>
      <c r="O317" s="1">
        <v>631547.0</v>
      </c>
    </row>
    <row r="318">
      <c r="A318" s="1" t="s">
        <v>760</v>
      </c>
      <c r="B318" s="1" t="s">
        <v>20</v>
      </c>
      <c r="C318" s="1">
        <v>468.1951</v>
      </c>
      <c r="D318" s="1" t="s">
        <v>21</v>
      </c>
      <c r="E318" s="1" t="s">
        <v>37</v>
      </c>
      <c r="F318" s="1">
        <v>92.1</v>
      </c>
      <c r="G318" s="1">
        <v>60.77</v>
      </c>
      <c r="H318" s="1">
        <v>8.1939046283E10</v>
      </c>
      <c r="I318" s="1">
        <v>8.6683174597E10</v>
      </c>
      <c r="J318" s="2">
        <v>45390.256944444445</v>
      </c>
      <c r="K318" s="2">
        <v>45512.68680555555</v>
      </c>
      <c r="L318" s="1">
        <v>1.54</v>
      </c>
      <c r="M318" s="1">
        <v>721.02</v>
      </c>
      <c r="N318" s="1">
        <v>721.0</v>
      </c>
      <c r="O318" s="1">
        <v>59843.0</v>
      </c>
    </row>
    <row r="319">
      <c r="A319" s="1" t="s">
        <v>761</v>
      </c>
      <c r="B319" s="1" t="s">
        <v>79</v>
      </c>
      <c r="C319" s="1">
        <v>113.9094</v>
      </c>
      <c r="D319" s="1" t="s">
        <v>21</v>
      </c>
      <c r="E319" s="1" t="s">
        <v>18</v>
      </c>
      <c r="F319" s="1">
        <v>60.01</v>
      </c>
      <c r="G319" s="1">
        <v>78.71</v>
      </c>
      <c r="H319" s="1">
        <v>2.5364257534E10</v>
      </c>
      <c r="I319" s="1">
        <v>3.5178408351E10</v>
      </c>
      <c r="J319" s="2">
        <v>45298.89027777778</v>
      </c>
      <c r="K319" s="2">
        <v>45480.52013888889</v>
      </c>
      <c r="L319" s="1">
        <v>4.63</v>
      </c>
      <c r="M319" s="1">
        <v>527.4</v>
      </c>
      <c r="N319" s="1">
        <v>527.0</v>
      </c>
      <c r="O319" s="1">
        <v>43741.0</v>
      </c>
    </row>
    <row r="320">
      <c r="A320" s="1" t="s">
        <v>762</v>
      </c>
      <c r="B320" s="1" t="s">
        <v>57</v>
      </c>
      <c r="C320" s="1">
        <v>23.909</v>
      </c>
      <c r="D320" s="1" t="s">
        <v>21</v>
      </c>
      <c r="E320" s="1" t="s">
        <v>155</v>
      </c>
      <c r="F320" s="1">
        <v>68.87</v>
      </c>
      <c r="G320" s="1">
        <v>77.27</v>
      </c>
      <c r="H320" s="1">
        <v>3.730716178E10</v>
      </c>
      <c r="I320" s="1">
        <v>3.9665526563E10</v>
      </c>
      <c r="J320" s="1" t="s">
        <v>763</v>
      </c>
      <c r="K320" s="1" t="s">
        <v>764</v>
      </c>
      <c r="L320" s="1">
        <v>3.46</v>
      </c>
      <c r="M320" s="1">
        <v>82.73</v>
      </c>
      <c r="N320" s="1">
        <v>83.0</v>
      </c>
      <c r="O320" s="1">
        <v>6889.0</v>
      </c>
    </row>
    <row r="321">
      <c r="A321" s="1" t="s">
        <v>765</v>
      </c>
      <c r="B321" s="1" t="s">
        <v>99</v>
      </c>
      <c r="C321" s="1">
        <v>79.1905</v>
      </c>
      <c r="D321" s="1" t="s">
        <v>17</v>
      </c>
      <c r="E321" s="1" t="s">
        <v>18</v>
      </c>
      <c r="F321" s="1">
        <v>98.14</v>
      </c>
      <c r="G321" s="1">
        <v>55.84</v>
      </c>
      <c r="H321" s="1">
        <v>8.6611985073E10</v>
      </c>
      <c r="I321" s="1">
        <v>8.8475289609E10</v>
      </c>
      <c r="J321" s="1" t="s">
        <v>766</v>
      </c>
      <c r="K321" s="1" t="s">
        <v>767</v>
      </c>
      <c r="L321" s="1">
        <v>5.37</v>
      </c>
      <c r="M321" s="1">
        <v>425.25</v>
      </c>
      <c r="N321" s="1">
        <v>425.0</v>
      </c>
      <c r="O321" s="1">
        <v>35275.0</v>
      </c>
    </row>
    <row r="322">
      <c r="A322" s="1" t="s">
        <v>768</v>
      </c>
      <c r="B322" s="1" t="s">
        <v>273</v>
      </c>
      <c r="C322" s="1">
        <v>366.9656</v>
      </c>
      <c r="D322" s="1" t="s">
        <v>17</v>
      </c>
      <c r="E322" s="1" t="s">
        <v>54</v>
      </c>
      <c r="F322" s="1">
        <v>84.63</v>
      </c>
      <c r="G322" s="1">
        <v>96.47</v>
      </c>
      <c r="H322" s="1">
        <v>4.0233865968E10</v>
      </c>
      <c r="I322" s="1">
        <v>4.9040528356E10</v>
      </c>
      <c r="J322" s="1" t="s">
        <v>769</v>
      </c>
      <c r="K322" s="1" t="s">
        <v>770</v>
      </c>
      <c r="L322" s="1">
        <v>8.88</v>
      </c>
      <c r="M322" s="1">
        <v>3258.65</v>
      </c>
      <c r="N322" s="1">
        <v>3259.0</v>
      </c>
      <c r="O322" s="1">
        <v>270497.0</v>
      </c>
    </row>
    <row r="323">
      <c r="A323" s="1" t="s">
        <v>771</v>
      </c>
      <c r="B323" s="1" t="s">
        <v>41</v>
      </c>
      <c r="C323" s="1">
        <v>117.0833</v>
      </c>
      <c r="D323" s="1" t="s">
        <v>42</v>
      </c>
      <c r="E323" s="1" t="s">
        <v>58</v>
      </c>
      <c r="F323" s="1">
        <v>87.35</v>
      </c>
      <c r="G323" s="1">
        <v>70.7</v>
      </c>
      <c r="H323" s="1">
        <v>5.1699509941E10</v>
      </c>
      <c r="I323" s="1">
        <v>5.6177287267E10</v>
      </c>
      <c r="J323" s="2">
        <v>45451.243055555555</v>
      </c>
      <c r="K323" s="2">
        <v>45604.12152777778</v>
      </c>
      <c r="L323" s="1">
        <v>5.94</v>
      </c>
      <c r="M323" s="1">
        <v>695.47</v>
      </c>
      <c r="N323" s="1">
        <v>695.0</v>
      </c>
      <c r="O323" s="1">
        <v>57685.0</v>
      </c>
    </row>
    <row r="324">
      <c r="A324" s="1" t="s">
        <v>772</v>
      </c>
      <c r="B324" s="1" t="s">
        <v>60</v>
      </c>
      <c r="C324" s="1">
        <v>105.0167</v>
      </c>
      <c r="D324" s="1" t="s">
        <v>42</v>
      </c>
      <c r="E324" s="1" t="s">
        <v>70</v>
      </c>
      <c r="F324" s="1">
        <v>60.48</v>
      </c>
      <c r="G324" s="1">
        <v>2.65</v>
      </c>
      <c r="H324" s="1">
        <v>9.313854289E10</v>
      </c>
      <c r="I324" s="1">
        <v>9.3485815275E10</v>
      </c>
      <c r="J324" s="1" t="s">
        <v>773</v>
      </c>
      <c r="K324" s="1" t="s">
        <v>774</v>
      </c>
      <c r="L324" s="1">
        <v>9.2</v>
      </c>
      <c r="M324" s="1">
        <v>966.15</v>
      </c>
      <c r="N324" s="1">
        <v>966.0</v>
      </c>
      <c r="O324" s="1">
        <v>80178.0</v>
      </c>
    </row>
    <row r="325">
      <c r="A325" s="1" t="s">
        <v>775</v>
      </c>
      <c r="B325" s="1" t="s">
        <v>122</v>
      </c>
      <c r="C325" s="1">
        <v>636.7192</v>
      </c>
      <c r="D325" s="1" t="s">
        <v>17</v>
      </c>
      <c r="E325" s="1" t="s">
        <v>18</v>
      </c>
      <c r="F325" s="1">
        <v>69.63</v>
      </c>
      <c r="G325" s="1">
        <v>29.21</v>
      </c>
      <c r="H325" s="1">
        <v>3.777085117E9</v>
      </c>
      <c r="I325" s="1">
        <v>6.701606221E9</v>
      </c>
      <c r="J325" s="2">
        <v>45389.5</v>
      </c>
      <c r="K325" s="2">
        <v>45572.36111111111</v>
      </c>
      <c r="L325" s="1">
        <v>1.12</v>
      </c>
      <c r="M325" s="1">
        <v>713.13</v>
      </c>
      <c r="N325" s="1">
        <v>713.0</v>
      </c>
      <c r="O325" s="1">
        <v>59179.0</v>
      </c>
    </row>
    <row r="326">
      <c r="A326" s="1" t="s">
        <v>776</v>
      </c>
      <c r="B326" s="1" t="s">
        <v>273</v>
      </c>
      <c r="C326" s="1">
        <v>753.0083</v>
      </c>
      <c r="D326" s="1" t="s">
        <v>21</v>
      </c>
      <c r="E326" s="1" t="s">
        <v>32</v>
      </c>
      <c r="F326" s="1">
        <v>26.45</v>
      </c>
      <c r="G326" s="1">
        <v>34.41</v>
      </c>
      <c r="H326" s="1">
        <v>7.2340339037E10</v>
      </c>
      <c r="I326" s="1">
        <v>7.4874466857E10</v>
      </c>
      <c r="J326" s="2">
        <v>45511.81041666667</v>
      </c>
      <c r="K326" s="1" t="s">
        <v>777</v>
      </c>
      <c r="L326" s="1">
        <v>4.34</v>
      </c>
      <c r="M326" s="1">
        <v>3268.06</v>
      </c>
      <c r="N326" s="1">
        <v>3268.0</v>
      </c>
      <c r="O326" s="1">
        <v>271244.0</v>
      </c>
    </row>
    <row r="327">
      <c r="A327" s="1" t="s">
        <v>778</v>
      </c>
      <c r="B327" s="1" t="s">
        <v>350</v>
      </c>
      <c r="C327" s="1">
        <v>460.4479</v>
      </c>
      <c r="D327" s="1" t="s">
        <v>21</v>
      </c>
      <c r="E327" s="1" t="s">
        <v>123</v>
      </c>
      <c r="F327" s="1">
        <v>68.88</v>
      </c>
      <c r="G327" s="1">
        <v>94.74</v>
      </c>
      <c r="H327" s="1">
        <v>7.3702127574E10</v>
      </c>
      <c r="I327" s="1">
        <v>7.4049499148E10</v>
      </c>
      <c r="J327" s="2">
        <v>45604.895833333336</v>
      </c>
      <c r="K327" s="1" t="s">
        <v>779</v>
      </c>
      <c r="L327" s="1">
        <v>6.96</v>
      </c>
      <c r="M327" s="1">
        <v>3204.72</v>
      </c>
      <c r="N327" s="1">
        <v>3205.0</v>
      </c>
      <c r="O327" s="1">
        <v>266015.0</v>
      </c>
    </row>
    <row r="328">
      <c r="A328" s="1" t="s">
        <v>780</v>
      </c>
      <c r="B328" s="1" t="s">
        <v>139</v>
      </c>
      <c r="C328" s="1">
        <v>103.3</v>
      </c>
      <c r="D328" s="1" t="s">
        <v>42</v>
      </c>
      <c r="E328" s="1" t="s">
        <v>123</v>
      </c>
      <c r="F328" s="1">
        <v>18.42</v>
      </c>
      <c r="G328" s="1">
        <v>2.48</v>
      </c>
      <c r="H328" s="1">
        <v>4.0692757568E10</v>
      </c>
      <c r="I328" s="1">
        <v>4.5569071764E10</v>
      </c>
      <c r="J328" s="1" t="s">
        <v>781</v>
      </c>
      <c r="K328" s="2">
        <v>45390.32847222222</v>
      </c>
      <c r="L328" s="1">
        <v>8.19</v>
      </c>
      <c r="M328" s="1">
        <v>846.03</v>
      </c>
      <c r="N328" s="1">
        <v>846.0</v>
      </c>
      <c r="O328" s="1">
        <v>70218.0</v>
      </c>
    </row>
    <row r="329">
      <c r="A329" s="1" t="s">
        <v>782</v>
      </c>
      <c r="B329" s="1" t="s">
        <v>46</v>
      </c>
      <c r="C329" s="1">
        <v>618.0578</v>
      </c>
      <c r="D329" s="1" t="s">
        <v>21</v>
      </c>
      <c r="E329" s="1" t="s">
        <v>105</v>
      </c>
      <c r="F329" s="1">
        <v>37.03</v>
      </c>
      <c r="G329" s="1">
        <v>47.91</v>
      </c>
      <c r="H329" s="1">
        <v>8.8779763311E10</v>
      </c>
      <c r="I329" s="1">
        <v>8.9159125555E10</v>
      </c>
      <c r="J329" s="2">
        <v>45420.17361111111</v>
      </c>
      <c r="K329" s="2">
        <v>45481.56597222222</v>
      </c>
      <c r="L329" s="1">
        <v>9.39</v>
      </c>
      <c r="M329" s="1">
        <v>5803.56</v>
      </c>
      <c r="N329" s="1">
        <v>5804.0</v>
      </c>
      <c r="O329" s="1">
        <v>481732.0</v>
      </c>
    </row>
    <row r="330">
      <c r="A330" s="1" t="s">
        <v>783</v>
      </c>
      <c r="B330" s="1" t="s">
        <v>36</v>
      </c>
      <c r="C330" s="1">
        <v>788.1574</v>
      </c>
      <c r="D330" s="1" t="s">
        <v>21</v>
      </c>
      <c r="E330" s="1" t="s">
        <v>27</v>
      </c>
      <c r="F330" s="1">
        <v>13.67</v>
      </c>
      <c r="G330" s="1">
        <v>83.33</v>
      </c>
      <c r="H330" s="1">
        <v>5.7395783635E10</v>
      </c>
      <c r="I330" s="1">
        <v>6.6477797434E10</v>
      </c>
      <c r="J330" s="2">
        <v>45390.30972222222</v>
      </c>
      <c r="K330" s="2">
        <v>45451.705555555556</v>
      </c>
      <c r="L330" s="1">
        <v>2.61</v>
      </c>
      <c r="M330" s="1">
        <v>2057.09</v>
      </c>
      <c r="N330" s="1">
        <v>2057.0</v>
      </c>
      <c r="O330" s="1">
        <v>170731.0</v>
      </c>
    </row>
    <row r="331">
      <c r="A331" s="1" t="s">
        <v>784</v>
      </c>
      <c r="B331" s="1" t="s">
        <v>122</v>
      </c>
      <c r="C331" s="1">
        <v>217.147</v>
      </c>
      <c r="D331" s="1" t="s">
        <v>21</v>
      </c>
      <c r="E331" s="1" t="s">
        <v>27</v>
      </c>
      <c r="F331" s="1">
        <v>27.43</v>
      </c>
      <c r="G331" s="1">
        <v>84.27</v>
      </c>
      <c r="H331" s="1">
        <v>8.3416670685E10</v>
      </c>
      <c r="I331" s="1">
        <v>8.8105164618E10</v>
      </c>
      <c r="J331" s="2">
        <v>45299.26666666667</v>
      </c>
      <c r="K331" s="2">
        <v>45420.075</v>
      </c>
      <c r="L331" s="1">
        <v>7.5</v>
      </c>
      <c r="M331" s="1">
        <v>1628.6</v>
      </c>
      <c r="N331" s="1">
        <v>1629.0</v>
      </c>
      <c r="O331" s="1">
        <v>135207.0</v>
      </c>
    </row>
    <row r="332">
      <c r="A332" s="1" t="s">
        <v>785</v>
      </c>
      <c r="B332" s="1" t="s">
        <v>139</v>
      </c>
      <c r="C332" s="1">
        <v>116.3833</v>
      </c>
      <c r="D332" s="1" t="s">
        <v>42</v>
      </c>
      <c r="E332" s="1" t="s">
        <v>32</v>
      </c>
      <c r="F332" s="1">
        <v>93.19</v>
      </c>
      <c r="G332" s="1">
        <v>83.81</v>
      </c>
      <c r="H332" s="1">
        <v>5.3504390791E10</v>
      </c>
      <c r="I332" s="1">
        <v>5.8269033764E10</v>
      </c>
      <c r="J332" s="1" t="s">
        <v>786</v>
      </c>
      <c r="K332" s="1" t="s">
        <v>787</v>
      </c>
      <c r="L332" s="1">
        <v>5.32</v>
      </c>
      <c r="M332" s="1">
        <v>619.16</v>
      </c>
      <c r="N332" s="1">
        <v>619.0</v>
      </c>
      <c r="O332" s="1">
        <v>51377.0</v>
      </c>
    </row>
    <row r="333">
      <c r="A333" s="1" t="s">
        <v>788</v>
      </c>
      <c r="B333" s="1" t="s">
        <v>112</v>
      </c>
      <c r="C333" s="1">
        <v>34.35</v>
      </c>
      <c r="D333" s="1" t="s">
        <v>42</v>
      </c>
      <c r="E333" s="1" t="s">
        <v>58</v>
      </c>
      <c r="F333" s="1">
        <v>43.47</v>
      </c>
      <c r="G333" s="1">
        <v>0.06</v>
      </c>
      <c r="H333" s="1">
        <v>6.3239879907E10</v>
      </c>
      <c r="I333" s="1">
        <v>6.5056157071E10</v>
      </c>
      <c r="J333" s="2">
        <v>45390.342361111114</v>
      </c>
      <c r="K333" s="2">
        <v>45420.77361111111</v>
      </c>
      <c r="L333" s="1">
        <v>1.06</v>
      </c>
      <c r="M333" s="1">
        <v>36.41</v>
      </c>
      <c r="N333" s="1">
        <v>36.0</v>
      </c>
      <c r="O333" s="1">
        <v>2988.0</v>
      </c>
    </row>
    <row r="334">
      <c r="A334" s="1" t="s">
        <v>789</v>
      </c>
      <c r="B334" s="1" t="s">
        <v>53</v>
      </c>
      <c r="C334" s="1">
        <v>375.6492</v>
      </c>
      <c r="D334" s="1" t="s">
        <v>21</v>
      </c>
      <c r="E334" s="1" t="s">
        <v>155</v>
      </c>
      <c r="F334" s="1">
        <v>29.57</v>
      </c>
      <c r="G334" s="1">
        <v>45.03</v>
      </c>
      <c r="H334" s="1">
        <v>5.0490854855E10</v>
      </c>
      <c r="I334" s="1">
        <v>6.0271962685E10</v>
      </c>
      <c r="J334" s="1" t="s">
        <v>790</v>
      </c>
      <c r="K334" s="1" t="s">
        <v>791</v>
      </c>
      <c r="L334" s="1">
        <v>1.25</v>
      </c>
      <c r="M334" s="1">
        <v>469.56</v>
      </c>
      <c r="N334" s="1">
        <v>470.0</v>
      </c>
      <c r="O334" s="1">
        <v>39010.0</v>
      </c>
    </row>
    <row r="335">
      <c r="A335" s="1" t="s">
        <v>792</v>
      </c>
      <c r="B335" s="1" t="s">
        <v>139</v>
      </c>
      <c r="C335" s="1">
        <v>73.45</v>
      </c>
      <c r="D335" s="1" t="s">
        <v>42</v>
      </c>
      <c r="E335" s="1" t="s">
        <v>22</v>
      </c>
      <c r="F335" s="1">
        <v>56.31</v>
      </c>
      <c r="G335" s="1">
        <v>71.53</v>
      </c>
      <c r="H335" s="1">
        <v>9.3719184439E10</v>
      </c>
      <c r="I335" s="3">
        <v>1.00431E11</v>
      </c>
      <c r="J335" s="2">
        <v>45390.2</v>
      </c>
      <c r="K335" s="2">
        <v>45481.260416666664</v>
      </c>
      <c r="L335" s="1">
        <v>7.25</v>
      </c>
      <c r="M335" s="1">
        <v>532.51</v>
      </c>
      <c r="N335" s="1">
        <v>533.0</v>
      </c>
      <c r="O335" s="1">
        <v>44239.0</v>
      </c>
    </row>
    <row r="336">
      <c r="A336" s="1" t="s">
        <v>793</v>
      </c>
      <c r="B336" s="1" t="s">
        <v>26</v>
      </c>
      <c r="C336" s="1">
        <v>53.5267</v>
      </c>
      <c r="D336" s="1" t="s">
        <v>17</v>
      </c>
      <c r="E336" s="1" t="s">
        <v>123</v>
      </c>
      <c r="F336" s="1">
        <v>15.56</v>
      </c>
      <c r="G336" s="1">
        <v>49.7</v>
      </c>
      <c r="H336" s="1">
        <v>5.1211702E10</v>
      </c>
      <c r="I336" s="1">
        <v>5.8407799456E10</v>
      </c>
      <c r="J336" s="2">
        <v>45604.09583333333</v>
      </c>
      <c r="K336" s="2">
        <v>45634.45347222222</v>
      </c>
      <c r="L336" s="1">
        <v>9.83</v>
      </c>
      <c r="M336" s="1">
        <v>526.17</v>
      </c>
      <c r="N336" s="1">
        <v>526.0</v>
      </c>
      <c r="O336" s="1">
        <v>43658.0</v>
      </c>
    </row>
    <row r="337">
      <c r="A337" s="1" t="s">
        <v>794</v>
      </c>
      <c r="B337" s="1" t="s">
        <v>147</v>
      </c>
      <c r="C337" s="1">
        <v>64.4</v>
      </c>
      <c r="D337" s="1" t="s">
        <v>42</v>
      </c>
      <c r="E337" s="1" t="s">
        <v>155</v>
      </c>
      <c r="F337" s="1">
        <v>73.65</v>
      </c>
      <c r="G337" s="1">
        <v>78.18</v>
      </c>
      <c r="H337" s="1">
        <v>7.858161709E9</v>
      </c>
      <c r="I337" s="1">
        <v>1.102079631E10</v>
      </c>
      <c r="J337" s="2">
        <v>45511.461805555555</v>
      </c>
      <c r="K337" s="2">
        <v>45603.14513888889</v>
      </c>
      <c r="L337" s="1">
        <v>3.67</v>
      </c>
      <c r="M337" s="1">
        <v>236.35</v>
      </c>
      <c r="N337" s="1">
        <v>236.0</v>
      </c>
      <c r="O337" s="1">
        <v>19588.0</v>
      </c>
    </row>
    <row r="338">
      <c r="A338" s="1" t="s">
        <v>795</v>
      </c>
      <c r="B338" s="1" t="s">
        <v>53</v>
      </c>
      <c r="C338" s="1">
        <v>335.9038</v>
      </c>
      <c r="D338" s="1" t="s">
        <v>21</v>
      </c>
      <c r="E338" s="1" t="s">
        <v>37</v>
      </c>
      <c r="F338" s="1">
        <v>63.9</v>
      </c>
      <c r="G338" s="1">
        <v>21.88</v>
      </c>
      <c r="H338" s="1">
        <v>9.5554380366E10</v>
      </c>
      <c r="I338" s="1">
        <v>9.8928289894E10</v>
      </c>
      <c r="J338" s="2">
        <v>45299.069444444445</v>
      </c>
      <c r="K338" s="2">
        <v>45330.52361111111</v>
      </c>
      <c r="L338" s="1">
        <v>2.1</v>
      </c>
      <c r="M338" s="1">
        <v>705.4</v>
      </c>
      <c r="N338" s="1">
        <v>705.0</v>
      </c>
      <c r="O338" s="1">
        <v>58515.0</v>
      </c>
    </row>
    <row r="339">
      <c r="A339" s="1" t="s">
        <v>796</v>
      </c>
      <c r="B339" s="1" t="s">
        <v>20</v>
      </c>
      <c r="C339" s="1">
        <v>290.508</v>
      </c>
      <c r="D339" s="1" t="s">
        <v>17</v>
      </c>
      <c r="E339" s="1" t="s">
        <v>105</v>
      </c>
      <c r="F339" s="1">
        <v>64.4</v>
      </c>
      <c r="G339" s="1">
        <v>61.47</v>
      </c>
      <c r="H339" s="1">
        <v>8.2517483439E10</v>
      </c>
      <c r="I339" s="1">
        <v>9.0231208571E10</v>
      </c>
      <c r="J339" s="2">
        <v>45329.356944444444</v>
      </c>
      <c r="K339" s="2">
        <v>45450.65555555555</v>
      </c>
      <c r="L339" s="1">
        <v>9.99</v>
      </c>
      <c r="M339" s="1">
        <v>2902.17</v>
      </c>
      <c r="N339" s="1">
        <v>2902.0</v>
      </c>
      <c r="O339" s="1">
        <v>240866.0</v>
      </c>
    </row>
    <row r="340">
      <c r="A340" s="1" t="s">
        <v>797</v>
      </c>
      <c r="B340" s="1" t="s">
        <v>57</v>
      </c>
      <c r="C340" s="1">
        <v>998.0055</v>
      </c>
      <c r="D340" s="1" t="s">
        <v>17</v>
      </c>
      <c r="E340" s="1" t="s">
        <v>54</v>
      </c>
      <c r="F340" s="1">
        <v>72.52</v>
      </c>
      <c r="G340" s="1">
        <v>76.42</v>
      </c>
      <c r="H340" s="1">
        <v>7.1141485983E10</v>
      </c>
      <c r="I340" s="1">
        <v>7.3658693575E10</v>
      </c>
      <c r="J340" s="1" t="s">
        <v>798</v>
      </c>
      <c r="K340" s="1" t="s">
        <v>799</v>
      </c>
      <c r="L340" s="1">
        <v>5.54</v>
      </c>
      <c r="M340" s="1">
        <v>5528.95</v>
      </c>
      <c r="N340" s="1">
        <v>5529.0</v>
      </c>
      <c r="O340" s="1">
        <v>458907.0</v>
      </c>
    </row>
    <row r="341">
      <c r="A341" s="1" t="s">
        <v>800</v>
      </c>
      <c r="B341" s="1" t="s">
        <v>60</v>
      </c>
      <c r="C341" s="1">
        <v>129.6833</v>
      </c>
      <c r="D341" s="1" t="s">
        <v>42</v>
      </c>
      <c r="E341" s="1" t="s">
        <v>74</v>
      </c>
      <c r="F341" s="1">
        <v>43.54</v>
      </c>
      <c r="G341" s="1">
        <v>40.44</v>
      </c>
      <c r="H341" s="1">
        <v>8.3812667148E10</v>
      </c>
      <c r="I341" s="1">
        <v>9.034736429E10</v>
      </c>
      <c r="J341" s="1" t="s">
        <v>801</v>
      </c>
      <c r="K341" s="1" t="s">
        <v>802</v>
      </c>
      <c r="L341" s="1">
        <v>6.1</v>
      </c>
      <c r="M341" s="1">
        <v>791.07</v>
      </c>
      <c r="N341" s="1">
        <v>791.0</v>
      </c>
      <c r="O341" s="1">
        <v>65653.0</v>
      </c>
    </row>
    <row r="342">
      <c r="A342" s="1" t="s">
        <v>803</v>
      </c>
      <c r="B342" s="1" t="s">
        <v>99</v>
      </c>
      <c r="C342" s="1">
        <v>352.7508</v>
      </c>
      <c r="D342" s="1" t="s">
        <v>21</v>
      </c>
      <c r="E342" s="1" t="s">
        <v>105</v>
      </c>
      <c r="F342" s="1">
        <v>2.34</v>
      </c>
      <c r="G342" s="1">
        <v>57.32</v>
      </c>
      <c r="H342" s="1">
        <v>6.503092444E9</v>
      </c>
      <c r="I342" s="1">
        <v>1.0855614594E10</v>
      </c>
      <c r="J342" s="2">
        <v>45511.88125</v>
      </c>
      <c r="K342" s="2">
        <v>45572.59166666667</v>
      </c>
      <c r="L342" s="1">
        <v>4.19</v>
      </c>
      <c r="M342" s="1">
        <v>1478.03</v>
      </c>
      <c r="N342" s="1">
        <v>1478.0</v>
      </c>
      <c r="O342" s="1">
        <v>122674.0</v>
      </c>
    </row>
    <row r="343">
      <c r="A343" s="1" t="s">
        <v>804</v>
      </c>
      <c r="B343" s="1" t="s">
        <v>128</v>
      </c>
      <c r="C343" s="1">
        <v>564.102</v>
      </c>
      <c r="D343" s="1" t="s">
        <v>17</v>
      </c>
      <c r="E343" s="1" t="s">
        <v>37</v>
      </c>
      <c r="F343" s="1">
        <v>18.88</v>
      </c>
      <c r="G343" s="1">
        <v>49.82</v>
      </c>
      <c r="H343" s="1">
        <v>3.688312366E9</v>
      </c>
      <c r="I343" s="1">
        <v>4.358233797E9</v>
      </c>
      <c r="J343" s="2">
        <v>45511.69375</v>
      </c>
      <c r="K343" s="2">
        <v>45603.631944444445</v>
      </c>
      <c r="L343" s="1">
        <v>2.9</v>
      </c>
      <c r="M343" s="1">
        <v>1635.9</v>
      </c>
      <c r="N343" s="1">
        <v>1636.0</v>
      </c>
      <c r="O343" s="1">
        <v>135788.0</v>
      </c>
    </row>
    <row r="344">
      <c r="A344" s="1" t="s">
        <v>805</v>
      </c>
      <c r="B344" s="1" t="s">
        <v>31</v>
      </c>
      <c r="C344" s="1">
        <v>898.8626</v>
      </c>
      <c r="D344" s="1" t="s">
        <v>21</v>
      </c>
      <c r="E344" s="1" t="s">
        <v>74</v>
      </c>
      <c r="F344" s="1">
        <v>2.58</v>
      </c>
      <c r="G344" s="1">
        <v>23.13</v>
      </c>
      <c r="H344" s="1">
        <v>5.3035924242E10</v>
      </c>
      <c r="I344" s="1">
        <v>6.3011001843E10</v>
      </c>
      <c r="J344" s="1" t="s">
        <v>806</v>
      </c>
      <c r="K344" s="1" t="s">
        <v>807</v>
      </c>
      <c r="L344" s="1">
        <v>5.18</v>
      </c>
      <c r="M344" s="1">
        <v>4656.11</v>
      </c>
      <c r="N344" s="1">
        <v>4656.0</v>
      </c>
      <c r="O344" s="1">
        <v>386448.0</v>
      </c>
    </row>
    <row r="345">
      <c r="A345" s="1" t="s">
        <v>808</v>
      </c>
      <c r="B345" s="1" t="s">
        <v>60</v>
      </c>
      <c r="C345" s="1">
        <v>142.35</v>
      </c>
      <c r="D345" s="1" t="s">
        <v>42</v>
      </c>
      <c r="E345" s="1" t="s">
        <v>155</v>
      </c>
      <c r="F345" s="1">
        <v>79.34</v>
      </c>
      <c r="G345" s="1">
        <v>95.42</v>
      </c>
      <c r="H345" s="1">
        <v>8.6268017228E10</v>
      </c>
      <c r="I345" s="1">
        <v>8.6566473016E10</v>
      </c>
      <c r="J345" s="1" t="s">
        <v>809</v>
      </c>
      <c r="K345" s="1" t="s">
        <v>810</v>
      </c>
      <c r="L345" s="1">
        <v>7.0</v>
      </c>
      <c r="M345" s="1">
        <v>996.45</v>
      </c>
      <c r="N345" s="1">
        <v>996.0</v>
      </c>
      <c r="O345" s="1">
        <v>82668.0</v>
      </c>
    </row>
    <row r="346">
      <c r="A346" s="1" t="s">
        <v>811</v>
      </c>
      <c r="B346" s="1" t="s">
        <v>139</v>
      </c>
      <c r="C346" s="1">
        <v>72.1167</v>
      </c>
      <c r="D346" s="1" t="s">
        <v>42</v>
      </c>
      <c r="E346" s="1" t="s">
        <v>54</v>
      </c>
      <c r="F346" s="1">
        <v>30.82</v>
      </c>
      <c r="G346" s="1">
        <v>50.6</v>
      </c>
      <c r="H346" s="1">
        <v>8.9055577237E10</v>
      </c>
      <c r="I346" s="1">
        <v>9.316345914E10</v>
      </c>
      <c r="J346" s="1" t="s">
        <v>812</v>
      </c>
      <c r="K346" s="1" t="s">
        <v>813</v>
      </c>
      <c r="L346" s="1">
        <v>8.17</v>
      </c>
      <c r="M346" s="1">
        <v>589.19</v>
      </c>
      <c r="N346" s="1">
        <v>589.0</v>
      </c>
      <c r="O346" s="1">
        <v>48887.0</v>
      </c>
    </row>
    <row r="347">
      <c r="A347" s="1" t="s">
        <v>814</v>
      </c>
      <c r="B347" s="1" t="s">
        <v>166</v>
      </c>
      <c r="C347" s="1">
        <v>342.8746</v>
      </c>
      <c r="D347" s="1" t="s">
        <v>17</v>
      </c>
      <c r="E347" s="1" t="s">
        <v>54</v>
      </c>
      <c r="F347" s="1">
        <v>55.67</v>
      </c>
      <c r="G347" s="1">
        <v>44.48</v>
      </c>
      <c r="H347" s="1">
        <v>4.2891926185E10</v>
      </c>
      <c r="I347" s="1">
        <v>4.6557880799E10</v>
      </c>
      <c r="J347" s="1" t="s">
        <v>815</v>
      </c>
      <c r="K347" s="1" t="s">
        <v>816</v>
      </c>
      <c r="L347" s="1">
        <v>7.65</v>
      </c>
      <c r="M347" s="1">
        <v>2622.99</v>
      </c>
      <c r="N347" s="1">
        <v>2623.0</v>
      </c>
      <c r="O347" s="1">
        <v>217709.0</v>
      </c>
    </row>
    <row r="348">
      <c r="A348" s="1" t="s">
        <v>817</v>
      </c>
      <c r="B348" s="1" t="s">
        <v>62</v>
      </c>
      <c r="C348" s="1">
        <v>104.4167</v>
      </c>
      <c r="D348" s="1" t="s">
        <v>42</v>
      </c>
      <c r="E348" s="1" t="s">
        <v>155</v>
      </c>
      <c r="F348" s="1">
        <v>77.76</v>
      </c>
      <c r="G348" s="1">
        <v>26.69</v>
      </c>
      <c r="H348" s="1">
        <v>4.6183519043E10</v>
      </c>
      <c r="I348" s="1">
        <v>5.2895790556E10</v>
      </c>
      <c r="J348" s="2">
        <v>45511.94305555556</v>
      </c>
      <c r="K348" s="1" t="s">
        <v>818</v>
      </c>
      <c r="L348" s="1">
        <v>4.06</v>
      </c>
      <c r="M348" s="1">
        <v>423.93</v>
      </c>
      <c r="N348" s="1">
        <v>424.0</v>
      </c>
      <c r="O348" s="1">
        <v>35192.0</v>
      </c>
    </row>
    <row r="349">
      <c r="A349" s="1" t="s">
        <v>819</v>
      </c>
      <c r="B349" s="1" t="s">
        <v>139</v>
      </c>
      <c r="C349" s="1">
        <v>98.75</v>
      </c>
      <c r="D349" s="1" t="s">
        <v>42</v>
      </c>
      <c r="E349" s="1" t="s">
        <v>22</v>
      </c>
      <c r="F349" s="1">
        <v>82.78</v>
      </c>
      <c r="G349" s="1">
        <v>31.85</v>
      </c>
      <c r="H349" s="1">
        <v>5.8779022555E10</v>
      </c>
      <c r="I349" s="1">
        <v>6.8138790366E10</v>
      </c>
      <c r="J349" s="1" t="s">
        <v>820</v>
      </c>
      <c r="K349" s="2">
        <v>45390.07430555556</v>
      </c>
      <c r="L349" s="1">
        <v>8.69</v>
      </c>
      <c r="M349" s="1">
        <v>858.14</v>
      </c>
      <c r="N349" s="1">
        <v>858.0</v>
      </c>
      <c r="O349" s="1">
        <v>71214.0</v>
      </c>
    </row>
    <row r="350">
      <c r="A350" s="1" t="s">
        <v>821</v>
      </c>
      <c r="B350" s="1" t="s">
        <v>41</v>
      </c>
      <c r="C350" s="1">
        <v>29.9333</v>
      </c>
      <c r="D350" s="1" t="s">
        <v>42</v>
      </c>
      <c r="E350" s="1" t="s">
        <v>37</v>
      </c>
      <c r="F350" s="1">
        <v>33.42</v>
      </c>
      <c r="G350" s="1">
        <v>31.61</v>
      </c>
      <c r="H350" s="1">
        <v>6.2393207408E10</v>
      </c>
      <c r="I350" s="1">
        <v>6.4076790752E10</v>
      </c>
      <c r="J350" s="1" t="s">
        <v>822</v>
      </c>
      <c r="K350" s="1" t="s">
        <v>823</v>
      </c>
      <c r="L350" s="1">
        <v>9.71</v>
      </c>
      <c r="M350" s="1">
        <v>290.65</v>
      </c>
      <c r="N350" s="1">
        <v>291.0</v>
      </c>
      <c r="O350" s="1">
        <v>24153.0</v>
      </c>
    </row>
    <row r="351">
      <c r="A351" s="1" t="s">
        <v>824</v>
      </c>
      <c r="B351" s="1" t="s">
        <v>31</v>
      </c>
      <c r="C351" s="1">
        <v>247.0655</v>
      </c>
      <c r="D351" s="1" t="s">
        <v>17</v>
      </c>
      <c r="E351" s="1" t="s">
        <v>58</v>
      </c>
      <c r="F351" s="1">
        <v>79.69</v>
      </c>
      <c r="G351" s="1">
        <v>67.46</v>
      </c>
      <c r="H351" s="1">
        <v>1.9398010695E10</v>
      </c>
      <c r="I351" s="1">
        <v>2.3641523168E10</v>
      </c>
      <c r="J351" s="1" t="s">
        <v>825</v>
      </c>
      <c r="K351" s="1" t="s">
        <v>826</v>
      </c>
      <c r="L351" s="1">
        <v>7.93</v>
      </c>
      <c r="M351" s="1">
        <v>1959.23</v>
      </c>
      <c r="N351" s="1">
        <v>1959.0</v>
      </c>
      <c r="O351" s="1">
        <v>162597.0</v>
      </c>
    </row>
    <row r="352">
      <c r="A352" s="1" t="s">
        <v>827</v>
      </c>
      <c r="B352" s="1" t="s">
        <v>99</v>
      </c>
      <c r="C352" s="1">
        <v>529.6849</v>
      </c>
      <c r="D352" s="1" t="s">
        <v>21</v>
      </c>
      <c r="E352" s="1" t="s">
        <v>155</v>
      </c>
      <c r="F352" s="1">
        <v>65.42</v>
      </c>
      <c r="G352" s="1">
        <v>29.42</v>
      </c>
      <c r="H352" s="1">
        <v>5.1345086472E10</v>
      </c>
      <c r="I352" s="1">
        <v>5.4488299958E10</v>
      </c>
      <c r="J352" s="1" t="s">
        <v>828</v>
      </c>
      <c r="K352" s="1" t="s">
        <v>829</v>
      </c>
      <c r="L352" s="1">
        <v>4.64</v>
      </c>
      <c r="M352" s="1">
        <v>2457.74</v>
      </c>
      <c r="N352" s="1">
        <v>2458.0</v>
      </c>
      <c r="O352" s="1">
        <v>204014.0</v>
      </c>
    </row>
    <row r="353">
      <c r="A353" s="1" t="s">
        <v>830</v>
      </c>
      <c r="B353" s="1" t="s">
        <v>147</v>
      </c>
      <c r="C353" s="1">
        <v>45.7667</v>
      </c>
      <c r="D353" s="1" t="s">
        <v>42</v>
      </c>
      <c r="E353" s="1" t="s">
        <v>155</v>
      </c>
      <c r="F353" s="1">
        <v>92.04</v>
      </c>
      <c r="G353" s="1">
        <v>82.45</v>
      </c>
      <c r="H353" s="1">
        <v>3.1573493695E10</v>
      </c>
      <c r="I353" s="1">
        <v>3.8621208749E10</v>
      </c>
      <c r="J353" s="2">
        <v>45603.31180555555</v>
      </c>
      <c r="K353" s="1" t="s">
        <v>831</v>
      </c>
      <c r="L353" s="1">
        <v>5.52</v>
      </c>
      <c r="M353" s="1">
        <v>252.63</v>
      </c>
      <c r="N353" s="1">
        <v>253.0</v>
      </c>
      <c r="O353" s="1">
        <v>20999.0</v>
      </c>
    </row>
    <row r="354">
      <c r="A354" s="1" t="s">
        <v>832</v>
      </c>
      <c r="B354" s="1" t="s">
        <v>26</v>
      </c>
      <c r="C354" s="1">
        <v>123.1474</v>
      </c>
      <c r="D354" s="1" t="s">
        <v>21</v>
      </c>
      <c r="E354" s="1" t="s">
        <v>105</v>
      </c>
      <c r="F354" s="1">
        <v>18.99</v>
      </c>
      <c r="G354" s="1">
        <v>59.28</v>
      </c>
      <c r="H354" s="1">
        <v>5.4377988584E10</v>
      </c>
      <c r="I354" s="1">
        <v>5.8507427252E10</v>
      </c>
      <c r="J354" s="2">
        <v>45634.07430555556</v>
      </c>
      <c r="K354" s="1" t="s">
        <v>833</v>
      </c>
      <c r="L354" s="1">
        <v>6.31</v>
      </c>
      <c r="M354" s="1">
        <v>777.06</v>
      </c>
      <c r="N354" s="1">
        <v>777.0</v>
      </c>
      <c r="O354" s="1">
        <v>64491.0</v>
      </c>
    </row>
    <row r="355">
      <c r="A355" s="1" t="s">
        <v>834</v>
      </c>
      <c r="B355" s="1" t="s">
        <v>169</v>
      </c>
      <c r="C355" s="1">
        <v>415.0475</v>
      </c>
      <c r="D355" s="1" t="s">
        <v>21</v>
      </c>
      <c r="E355" s="1" t="s">
        <v>105</v>
      </c>
      <c r="F355" s="1">
        <v>65.15</v>
      </c>
      <c r="G355" s="1">
        <v>81.42</v>
      </c>
      <c r="H355" s="1">
        <v>6.1746897051E10</v>
      </c>
      <c r="I355" s="1">
        <v>6.8053505667E10</v>
      </c>
      <c r="J355" s="2">
        <v>45604.02777777778</v>
      </c>
      <c r="K355" s="1" t="s">
        <v>835</v>
      </c>
      <c r="L355" s="1">
        <v>1.33</v>
      </c>
      <c r="M355" s="1">
        <v>552.01</v>
      </c>
      <c r="N355" s="1">
        <v>552.0</v>
      </c>
      <c r="O355" s="1">
        <v>45816.0</v>
      </c>
    </row>
    <row r="356">
      <c r="A356" s="1" t="s">
        <v>836</v>
      </c>
      <c r="B356" s="1" t="s">
        <v>83</v>
      </c>
      <c r="C356" s="1">
        <v>562.1492</v>
      </c>
      <c r="D356" s="1" t="s">
        <v>21</v>
      </c>
      <c r="E356" s="1" t="s">
        <v>37</v>
      </c>
      <c r="F356" s="1">
        <v>10.79</v>
      </c>
      <c r="G356" s="1">
        <v>45.08</v>
      </c>
      <c r="H356" s="1">
        <v>6.6518850001E10</v>
      </c>
      <c r="I356" s="1">
        <v>7.3243258909E10</v>
      </c>
      <c r="J356" s="1" t="s">
        <v>837</v>
      </c>
      <c r="K356" s="1" t="s">
        <v>838</v>
      </c>
      <c r="L356" s="1">
        <v>8.23</v>
      </c>
      <c r="M356" s="1">
        <v>4626.49</v>
      </c>
      <c r="N356" s="1">
        <v>4626.0</v>
      </c>
      <c r="O356" s="1">
        <v>383958.0</v>
      </c>
    </row>
    <row r="357">
      <c r="A357" s="1" t="s">
        <v>839</v>
      </c>
      <c r="B357" s="1" t="s">
        <v>122</v>
      </c>
      <c r="C357" s="1">
        <v>411.0275</v>
      </c>
      <c r="D357" s="1" t="s">
        <v>17</v>
      </c>
      <c r="E357" s="1" t="s">
        <v>22</v>
      </c>
      <c r="F357" s="1">
        <v>57.33</v>
      </c>
      <c r="G357" s="1">
        <v>79.37</v>
      </c>
      <c r="H357" s="1">
        <v>6.5136667002E10</v>
      </c>
      <c r="I357" s="1">
        <v>7.3782969971E10</v>
      </c>
      <c r="J357" s="1" t="s">
        <v>840</v>
      </c>
      <c r="K357" s="1" t="s">
        <v>841</v>
      </c>
      <c r="L357" s="1">
        <v>3.2</v>
      </c>
      <c r="M357" s="1">
        <v>1315.29</v>
      </c>
      <c r="N357" s="1">
        <v>1315.0</v>
      </c>
      <c r="O357" s="1">
        <v>109145.0</v>
      </c>
    </row>
    <row r="358">
      <c r="A358" s="1" t="s">
        <v>842</v>
      </c>
      <c r="B358" s="1" t="s">
        <v>31</v>
      </c>
      <c r="C358" s="1">
        <v>137.2256</v>
      </c>
      <c r="D358" s="1" t="s">
        <v>17</v>
      </c>
      <c r="E358" s="1" t="s">
        <v>32</v>
      </c>
      <c r="F358" s="1">
        <v>62.81</v>
      </c>
      <c r="G358" s="1">
        <v>7.46</v>
      </c>
      <c r="H358" s="1">
        <v>9.263934936E10</v>
      </c>
      <c r="I358" s="1">
        <v>9.6100658663E10</v>
      </c>
      <c r="J358" s="1" t="s">
        <v>843</v>
      </c>
      <c r="K358" s="1" t="s">
        <v>844</v>
      </c>
      <c r="L358" s="1">
        <v>9.68</v>
      </c>
      <c r="M358" s="1">
        <v>1328.34</v>
      </c>
      <c r="N358" s="1">
        <v>1328.0</v>
      </c>
      <c r="O358" s="1">
        <v>110224.0</v>
      </c>
    </row>
    <row r="359">
      <c r="A359" s="1" t="s">
        <v>845</v>
      </c>
      <c r="B359" s="1" t="s">
        <v>166</v>
      </c>
      <c r="C359" s="1">
        <v>28.625</v>
      </c>
      <c r="D359" s="1" t="s">
        <v>21</v>
      </c>
      <c r="E359" s="1" t="s">
        <v>37</v>
      </c>
      <c r="F359" s="1">
        <v>62.21</v>
      </c>
      <c r="G359" s="1">
        <v>85.89</v>
      </c>
      <c r="H359" s="1">
        <v>1.376717326E10</v>
      </c>
      <c r="I359" s="1">
        <v>2.3195002465E10</v>
      </c>
      <c r="J359" s="2">
        <v>45358.19930555556</v>
      </c>
      <c r="K359" s="2">
        <v>45389.711805555555</v>
      </c>
      <c r="L359" s="1">
        <v>3.13</v>
      </c>
      <c r="M359" s="1">
        <v>89.6</v>
      </c>
      <c r="N359" s="1">
        <v>90.0</v>
      </c>
      <c r="O359" s="1">
        <v>7470.0</v>
      </c>
    </row>
    <row r="360">
      <c r="A360" s="1" t="s">
        <v>846</v>
      </c>
      <c r="B360" s="1" t="s">
        <v>66</v>
      </c>
      <c r="C360" s="1">
        <v>410.1007</v>
      </c>
      <c r="D360" s="1" t="s">
        <v>17</v>
      </c>
      <c r="E360" s="1" t="s">
        <v>74</v>
      </c>
      <c r="F360" s="1">
        <v>22.24</v>
      </c>
      <c r="G360" s="1">
        <v>91.03</v>
      </c>
      <c r="H360" s="1">
        <v>7.1907689924E10</v>
      </c>
      <c r="I360" s="1">
        <v>7.4007087023E10</v>
      </c>
      <c r="J360" s="2">
        <v>45604.07638888889</v>
      </c>
      <c r="K360" s="1" t="s">
        <v>847</v>
      </c>
      <c r="L360" s="1">
        <v>9.57</v>
      </c>
      <c r="M360" s="1">
        <v>3924.66</v>
      </c>
      <c r="N360" s="1">
        <v>3925.0</v>
      </c>
      <c r="O360" s="1">
        <v>325775.0</v>
      </c>
    </row>
    <row r="361">
      <c r="A361" s="1" t="s">
        <v>848</v>
      </c>
      <c r="B361" s="1" t="s">
        <v>166</v>
      </c>
      <c r="C361" s="1">
        <v>930.9815</v>
      </c>
      <c r="D361" s="1" t="s">
        <v>21</v>
      </c>
      <c r="E361" s="1" t="s">
        <v>27</v>
      </c>
      <c r="F361" s="1">
        <v>93.73</v>
      </c>
      <c r="G361" s="1">
        <v>55.25</v>
      </c>
      <c r="H361" s="1">
        <v>2.7914653321E10</v>
      </c>
      <c r="I361" s="1">
        <v>3.5789645194E10</v>
      </c>
      <c r="J361" s="2">
        <v>45573.44305555556</v>
      </c>
      <c r="K361" s="2">
        <v>45634.03611111111</v>
      </c>
      <c r="L361" s="1">
        <v>5.35</v>
      </c>
      <c r="M361" s="1">
        <v>4980.75</v>
      </c>
      <c r="N361" s="1">
        <v>4981.0</v>
      </c>
      <c r="O361" s="1">
        <v>413423.0</v>
      </c>
    </row>
    <row r="362">
      <c r="A362" s="1" t="s">
        <v>849</v>
      </c>
      <c r="B362" s="1" t="s">
        <v>41</v>
      </c>
      <c r="C362" s="1">
        <v>25.5167</v>
      </c>
      <c r="D362" s="1" t="s">
        <v>42</v>
      </c>
      <c r="E362" s="1" t="s">
        <v>27</v>
      </c>
      <c r="F362" s="1">
        <v>27.55</v>
      </c>
      <c r="G362" s="1">
        <v>95.39</v>
      </c>
      <c r="H362" s="1">
        <v>9.9775084902E10</v>
      </c>
      <c r="I362" s="3">
        <v>1.02755E11</v>
      </c>
      <c r="J362" s="1" t="s">
        <v>850</v>
      </c>
      <c r="K362" s="1" t="s">
        <v>851</v>
      </c>
      <c r="L362" s="1">
        <v>8.34</v>
      </c>
      <c r="M362" s="1">
        <v>212.81</v>
      </c>
      <c r="N362" s="1">
        <v>213.0</v>
      </c>
      <c r="O362" s="1">
        <v>17679.0</v>
      </c>
    </row>
    <row r="363">
      <c r="A363" s="1" t="s">
        <v>852</v>
      </c>
      <c r="B363" s="1" t="s">
        <v>16</v>
      </c>
      <c r="C363" s="1">
        <v>707.5327</v>
      </c>
      <c r="D363" s="1" t="s">
        <v>17</v>
      </c>
      <c r="E363" s="1" t="s">
        <v>155</v>
      </c>
      <c r="F363" s="1">
        <v>54.99</v>
      </c>
      <c r="G363" s="1">
        <v>32.47</v>
      </c>
      <c r="H363" s="1">
        <v>8.5654937298E10</v>
      </c>
      <c r="I363" s="1">
        <v>8.8135069507E10</v>
      </c>
      <c r="J363" s="2">
        <v>45634.12222222222</v>
      </c>
      <c r="K363" s="1" t="s">
        <v>853</v>
      </c>
      <c r="L363" s="1">
        <v>3.89</v>
      </c>
      <c r="M363" s="1">
        <v>2752.3</v>
      </c>
      <c r="N363" s="1">
        <v>2752.0</v>
      </c>
      <c r="O363" s="1">
        <v>228416.0</v>
      </c>
    </row>
    <row r="364">
      <c r="A364" s="1" t="s">
        <v>854</v>
      </c>
      <c r="B364" s="1" t="s">
        <v>60</v>
      </c>
      <c r="C364" s="1">
        <v>87.4167</v>
      </c>
      <c r="D364" s="1" t="s">
        <v>42</v>
      </c>
      <c r="E364" s="1" t="s">
        <v>32</v>
      </c>
      <c r="F364" s="1">
        <v>41.38</v>
      </c>
      <c r="G364" s="1">
        <v>69.35</v>
      </c>
      <c r="H364" s="1">
        <v>5.4770195468E10</v>
      </c>
      <c r="I364" s="1">
        <v>6.1177105089E10</v>
      </c>
      <c r="J364" s="1" t="s">
        <v>855</v>
      </c>
      <c r="K364" s="1" t="s">
        <v>856</v>
      </c>
      <c r="L364" s="1">
        <v>7.41</v>
      </c>
      <c r="M364" s="1">
        <v>647.76</v>
      </c>
      <c r="N364" s="1">
        <v>648.0</v>
      </c>
      <c r="O364" s="1">
        <v>53784.0</v>
      </c>
    </row>
    <row r="365">
      <c r="A365" s="1" t="s">
        <v>857</v>
      </c>
      <c r="B365" s="1" t="s">
        <v>62</v>
      </c>
      <c r="C365" s="1">
        <v>116.0833</v>
      </c>
      <c r="D365" s="1" t="s">
        <v>42</v>
      </c>
      <c r="E365" s="1" t="s">
        <v>37</v>
      </c>
      <c r="F365" s="1">
        <v>25.8</v>
      </c>
      <c r="G365" s="1">
        <v>10.74</v>
      </c>
      <c r="H365" s="1">
        <v>9.5116553397E10</v>
      </c>
      <c r="I365" s="3">
        <v>1.04746E11</v>
      </c>
      <c r="J365" s="1" t="s">
        <v>858</v>
      </c>
      <c r="K365" s="1" t="s">
        <v>859</v>
      </c>
      <c r="L365" s="1">
        <v>9.7</v>
      </c>
      <c r="M365" s="1">
        <v>1126.01</v>
      </c>
      <c r="N365" s="1">
        <v>1126.0</v>
      </c>
      <c r="O365" s="1">
        <v>93458.0</v>
      </c>
    </row>
    <row r="366">
      <c r="A366" s="1" t="s">
        <v>860</v>
      </c>
      <c r="B366" s="1" t="s">
        <v>112</v>
      </c>
      <c r="C366" s="1">
        <v>131.05</v>
      </c>
      <c r="D366" s="1" t="s">
        <v>42</v>
      </c>
      <c r="E366" s="1" t="s">
        <v>32</v>
      </c>
      <c r="F366" s="1">
        <v>21.13</v>
      </c>
      <c r="G366" s="1">
        <v>54.87</v>
      </c>
      <c r="H366" s="1">
        <v>5.7269897913E10</v>
      </c>
      <c r="I366" s="1">
        <v>5.9745397823E10</v>
      </c>
      <c r="J366" s="1" t="s">
        <v>861</v>
      </c>
      <c r="K366" s="1" t="s">
        <v>862</v>
      </c>
      <c r="L366" s="1">
        <v>5.74</v>
      </c>
      <c r="M366" s="1">
        <v>752.23</v>
      </c>
      <c r="N366" s="1">
        <v>752.0</v>
      </c>
      <c r="O366" s="1">
        <v>62416.0</v>
      </c>
    </row>
    <row r="367">
      <c r="A367" s="1" t="s">
        <v>863</v>
      </c>
      <c r="B367" s="1" t="s">
        <v>20</v>
      </c>
      <c r="C367" s="1">
        <v>42.4428</v>
      </c>
      <c r="D367" s="1" t="s">
        <v>17</v>
      </c>
      <c r="E367" s="1" t="s">
        <v>37</v>
      </c>
      <c r="F367" s="1">
        <v>75.12</v>
      </c>
      <c r="G367" s="1">
        <v>96.34</v>
      </c>
      <c r="H367" s="1">
        <v>3.9173049234E10</v>
      </c>
      <c r="I367" s="1">
        <v>4.2992951761E10</v>
      </c>
      <c r="J367" s="1" t="s">
        <v>864</v>
      </c>
      <c r="K367" s="1" t="s">
        <v>865</v>
      </c>
      <c r="L367" s="1">
        <v>1.9</v>
      </c>
      <c r="M367" s="1">
        <v>80.64</v>
      </c>
      <c r="N367" s="1">
        <v>81.0</v>
      </c>
      <c r="O367" s="1">
        <v>6723.0</v>
      </c>
    </row>
    <row r="368">
      <c r="A368" s="1" t="s">
        <v>866</v>
      </c>
      <c r="B368" s="1" t="s">
        <v>66</v>
      </c>
      <c r="C368" s="1">
        <v>577.1848</v>
      </c>
      <c r="D368" s="1" t="s">
        <v>21</v>
      </c>
      <c r="E368" s="1" t="s">
        <v>58</v>
      </c>
      <c r="F368" s="1">
        <v>38.24</v>
      </c>
      <c r="G368" s="1">
        <v>36.55</v>
      </c>
      <c r="H368" s="1">
        <v>3.0752391797E10</v>
      </c>
      <c r="I368" s="1">
        <v>3.9657922545E10</v>
      </c>
      <c r="J368" s="2">
        <v>45359.229166666664</v>
      </c>
      <c r="K368" s="2">
        <v>45481.075</v>
      </c>
      <c r="L368" s="1">
        <v>7.42</v>
      </c>
      <c r="M368" s="1">
        <v>4282.71</v>
      </c>
      <c r="N368" s="1">
        <v>4283.0</v>
      </c>
      <c r="O368" s="1">
        <v>355489.0</v>
      </c>
    </row>
    <row r="369">
      <c r="A369" s="1" t="s">
        <v>867</v>
      </c>
      <c r="B369" s="1" t="s">
        <v>41</v>
      </c>
      <c r="C369" s="1">
        <v>107.8333</v>
      </c>
      <c r="D369" s="1" t="s">
        <v>42</v>
      </c>
      <c r="E369" s="1" t="s">
        <v>37</v>
      </c>
      <c r="F369" s="1">
        <v>78.6</v>
      </c>
      <c r="G369" s="1">
        <v>19.79</v>
      </c>
      <c r="H369" s="1">
        <v>3.080550399E10</v>
      </c>
      <c r="I369" s="1">
        <v>3.6559591178E10</v>
      </c>
      <c r="J369" s="1" t="s">
        <v>868</v>
      </c>
      <c r="K369" s="1" t="s">
        <v>869</v>
      </c>
      <c r="L369" s="1">
        <v>9.36</v>
      </c>
      <c r="M369" s="1">
        <v>1009.32</v>
      </c>
      <c r="N369" s="1">
        <v>1009.0</v>
      </c>
      <c r="O369" s="1">
        <v>83747.0</v>
      </c>
    </row>
    <row r="370">
      <c r="A370" s="1" t="s">
        <v>870</v>
      </c>
      <c r="B370" s="1" t="s">
        <v>128</v>
      </c>
      <c r="C370" s="1">
        <v>353.0524</v>
      </c>
      <c r="D370" s="1" t="s">
        <v>17</v>
      </c>
      <c r="E370" s="1" t="s">
        <v>105</v>
      </c>
      <c r="F370" s="1">
        <v>79.54</v>
      </c>
      <c r="G370" s="1">
        <v>64.97</v>
      </c>
      <c r="H370" s="1">
        <v>5.2962884609E10</v>
      </c>
      <c r="I370" s="1">
        <v>5.8738624105E10</v>
      </c>
      <c r="J370" s="2">
        <v>45603.20347222222</v>
      </c>
      <c r="K370" s="1" t="s">
        <v>871</v>
      </c>
      <c r="L370" s="1">
        <v>9.01</v>
      </c>
      <c r="M370" s="1">
        <v>3181.0</v>
      </c>
      <c r="N370" s="1">
        <v>3181.0</v>
      </c>
      <c r="O370" s="1">
        <v>264023.0</v>
      </c>
    </row>
    <row r="371">
      <c r="A371" s="1" t="s">
        <v>872</v>
      </c>
      <c r="B371" s="1" t="s">
        <v>99</v>
      </c>
      <c r="C371" s="1">
        <v>515.6089</v>
      </c>
      <c r="D371" s="1" t="s">
        <v>17</v>
      </c>
      <c r="E371" s="1" t="s">
        <v>123</v>
      </c>
      <c r="F371" s="1">
        <v>85.75</v>
      </c>
      <c r="G371" s="1">
        <v>45.93</v>
      </c>
      <c r="H371" s="1">
        <v>8.8341396062E10</v>
      </c>
      <c r="I371" s="1">
        <v>8.9182122222E10</v>
      </c>
      <c r="J371" s="1" t="s">
        <v>873</v>
      </c>
      <c r="K371" s="1" t="s">
        <v>874</v>
      </c>
      <c r="L371" s="1">
        <v>4.41</v>
      </c>
      <c r="M371" s="1">
        <v>2273.84</v>
      </c>
      <c r="N371" s="1">
        <v>2274.0</v>
      </c>
      <c r="O371" s="1">
        <v>188742.0</v>
      </c>
    </row>
    <row r="372">
      <c r="A372" s="1" t="s">
        <v>875</v>
      </c>
      <c r="B372" s="1" t="s">
        <v>16</v>
      </c>
      <c r="C372" s="1">
        <v>975.6498</v>
      </c>
      <c r="D372" s="1" t="s">
        <v>17</v>
      </c>
      <c r="E372" s="1" t="s">
        <v>74</v>
      </c>
      <c r="F372" s="1">
        <v>37.68</v>
      </c>
      <c r="G372" s="1">
        <v>74.51</v>
      </c>
      <c r="H372" s="1">
        <v>2.399122689E9</v>
      </c>
      <c r="I372" s="1">
        <v>3.124427882E9</v>
      </c>
      <c r="J372" s="2">
        <v>45512.15902777778</v>
      </c>
      <c r="K372" s="2">
        <v>45543.28402777778</v>
      </c>
      <c r="L372" s="1">
        <v>8.38</v>
      </c>
      <c r="M372" s="1">
        <v>8175.95</v>
      </c>
      <c r="N372" s="1">
        <v>8176.0</v>
      </c>
      <c r="O372" s="1">
        <v>678608.0</v>
      </c>
    </row>
    <row r="373">
      <c r="A373" s="1" t="s">
        <v>876</v>
      </c>
      <c r="B373" s="1" t="s">
        <v>66</v>
      </c>
      <c r="C373" s="1">
        <v>806.53</v>
      </c>
      <c r="D373" s="1" t="s">
        <v>21</v>
      </c>
      <c r="E373" s="1" t="s">
        <v>70</v>
      </c>
      <c r="F373" s="1">
        <v>18.97</v>
      </c>
      <c r="G373" s="1">
        <v>49.91</v>
      </c>
      <c r="H373" s="1">
        <v>4.4920915235E10</v>
      </c>
      <c r="I373" s="1">
        <v>5.4289153944E10</v>
      </c>
      <c r="J373" s="1" t="s">
        <v>877</v>
      </c>
      <c r="K373" s="1" t="s">
        <v>878</v>
      </c>
      <c r="L373" s="1">
        <v>2.44</v>
      </c>
      <c r="M373" s="1">
        <v>1967.93</v>
      </c>
      <c r="N373" s="1">
        <v>1968.0</v>
      </c>
      <c r="O373" s="1">
        <v>163344.0</v>
      </c>
    </row>
    <row r="374">
      <c r="A374" s="1" t="s">
        <v>879</v>
      </c>
      <c r="B374" s="1" t="s">
        <v>62</v>
      </c>
      <c r="C374" s="1">
        <v>31.3667</v>
      </c>
      <c r="D374" s="1" t="s">
        <v>42</v>
      </c>
      <c r="E374" s="1" t="s">
        <v>74</v>
      </c>
      <c r="F374" s="1">
        <v>35.2</v>
      </c>
      <c r="G374" s="1">
        <v>99.25</v>
      </c>
      <c r="H374" s="1">
        <v>8.968415056E10</v>
      </c>
      <c r="I374" s="1">
        <v>9.3368091791E10</v>
      </c>
      <c r="J374" s="1" t="s">
        <v>880</v>
      </c>
      <c r="K374" s="1" t="s">
        <v>881</v>
      </c>
      <c r="L374" s="1">
        <v>3.23</v>
      </c>
      <c r="M374" s="1">
        <v>101.31</v>
      </c>
      <c r="N374" s="1">
        <v>101.0</v>
      </c>
      <c r="O374" s="1">
        <v>8383.0</v>
      </c>
    </row>
    <row r="375">
      <c r="A375" s="1" t="s">
        <v>882</v>
      </c>
      <c r="B375" s="1" t="s">
        <v>83</v>
      </c>
      <c r="C375" s="1">
        <v>56.7674</v>
      </c>
      <c r="D375" s="1" t="s">
        <v>21</v>
      </c>
      <c r="E375" s="1" t="s">
        <v>155</v>
      </c>
      <c r="F375" s="1">
        <v>86.36</v>
      </c>
      <c r="G375" s="1">
        <v>97.38</v>
      </c>
      <c r="H375" s="1">
        <v>4.5663327294E10</v>
      </c>
      <c r="I375" s="1">
        <v>4.8828713612E10</v>
      </c>
      <c r="J375" s="1" t="s">
        <v>883</v>
      </c>
      <c r="K375" s="1" t="s">
        <v>884</v>
      </c>
      <c r="L375" s="1">
        <v>3.49</v>
      </c>
      <c r="M375" s="1">
        <v>198.12</v>
      </c>
      <c r="N375" s="1">
        <v>198.0</v>
      </c>
      <c r="O375" s="1">
        <v>16434.0</v>
      </c>
    </row>
    <row r="376">
      <c r="A376" s="1" t="s">
        <v>885</v>
      </c>
      <c r="B376" s="1" t="s">
        <v>183</v>
      </c>
      <c r="C376" s="1">
        <v>485.5364</v>
      </c>
      <c r="D376" s="1" t="s">
        <v>17</v>
      </c>
      <c r="E376" s="1" t="s">
        <v>22</v>
      </c>
      <c r="F376" s="1">
        <v>70.34</v>
      </c>
      <c r="G376" s="1">
        <v>22.79</v>
      </c>
      <c r="H376" s="1">
        <v>5.7581322914E10</v>
      </c>
      <c r="I376" s="1">
        <v>5.7670180278E10</v>
      </c>
      <c r="J376" s="1" t="s">
        <v>886</v>
      </c>
      <c r="K376" s="1" t="s">
        <v>887</v>
      </c>
      <c r="L376" s="1">
        <v>6.64</v>
      </c>
      <c r="M376" s="1">
        <v>3223.96</v>
      </c>
      <c r="N376" s="1">
        <v>3224.0</v>
      </c>
      <c r="O376" s="1">
        <v>267592.0</v>
      </c>
    </row>
    <row r="377">
      <c r="A377" s="1" t="s">
        <v>888</v>
      </c>
      <c r="B377" s="1" t="s">
        <v>62</v>
      </c>
      <c r="C377" s="1">
        <v>50.2833</v>
      </c>
      <c r="D377" s="1" t="s">
        <v>42</v>
      </c>
      <c r="E377" s="1" t="s">
        <v>58</v>
      </c>
      <c r="F377" s="1">
        <v>80.52</v>
      </c>
      <c r="G377" s="1">
        <v>3.16</v>
      </c>
      <c r="H377" s="1">
        <v>7.4408297866E10</v>
      </c>
      <c r="I377" s="1">
        <v>8.1146963462E10</v>
      </c>
      <c r="J377" s="1" t="s">
        <v>889</v>
      </c>
      <c r="K377" s="1" t="s">
        <v>890</v>
      </c>
      <c r="L377" s="1">
        <v>3.8</v>
      </c>
      <c r="M377" s="1">
        <v>191.08</v>
      </c>
      <c r="N377" s="1">
        <v>191.0</v>
      </c>
      <c r="O377" s="1">
        <v>15853.0</v>
      </c>
    </row>
    <row r="378">
      <c r="A378" s="1" t="s">
        <v>891</v>
      </c>
      <c r="B378" s="1" t="s">
        <v>46</v>
      </c>
      <c r="C378" s="1">
        <v>887.9699</v>
      </c>
      <c r="D378" s="1" t="s">
        <v>17</v>
      </c>
      <c r="E378" s="1" t="s">
        <v>32</v>
      </c>
      <c r="F378" s="1">
        <v>45.55</v>
      </c>
      <c r="G378" s="1">
        <v>33.79</v>
      </c>
      <c r="H378" s="1">
        <v>8.5612385477E10</v>
      </c>
      <c r="I378" s="1">
        <v>9.4510658821E10</v>
      </c>
      <c r="J378" s="2">
        <v>45603.3375</v>
      </c>
      <c r="K378" s="1" t="s">
        <v>892</v>
      </c>
      <c r="L378" s="1">
        <v>2.2</v>
      </c>
      <c r="M378" s="1">
        <v>1953.53</v>
      </c>
      <c r="N378" s="1">
        <v>1954.0</v>
      </c>
      <c r="O378" s="1">
        <v>162182.0</v>
      </c>
    </row>
    <row r="379">
      <c r="A379" s="1" t="s">
        <v>893</v>
      </c>
      <c r="B379" s="1" t="s">
        <v>60</v>
      </c>
      <c r="C379" s="1">
        <v>109.15</v>
      </c>
      <c r="D379" s="1" t="s">
        <v>42</v>
      </c>
      <c r="E379" s="1" t="s">
        <v>54</v>
      </c>
      <c r="F379" s="1">
        <v>46.61</v>
      </c>
      <c r="G379" s="1">
        <v>20.63</v>
      </c>
      <c r="H379" s="1">
        <v>7.9400349492E10</v>
      </c>
      <c r="I379" s="1">
        <v>8.0102703395E10</v>
      </c>
      <c r="J379" s="2">
        <v>45299.683333333334</v>
      </c>
      <c r="K379" s="2">
        <v>45451.23125</v>
      </c>
      <c r="L379" s="1">
        <v>8.91</v>
      </c>
      <c r="M379" s="1">
        <v>972.53</v>
      </c>
      <c r="N379" s="1">
        <v>973.0</v>
      </c>
      <c r="O379" s="1">
        <v>80759.0</v>
      </c>
    </row>
    <row r="380">
      <c r="A380" s="1" t="s">
        <v>894</v>
      </c>
      <c r="B380" s="1" t="s">
        <v>350</v>
      </c>
      <c r="C380" s="1">
        <v>625.8686</v>
      </c>
      <c r="D380" s="1" t="s">
        <v>17</v>
      </c>
      <c r="E380" s="1" t="s">
        <v>22</v>
      </c>
      <c r="F380" s="1">
        <v>12.86</v>
      </c>
      <c r="G380" s="1">
        <v>16.46</v>
      </c>
      <c r="H380" s="1">
        <v>5.4839097396E10</v>
      </c>
      <c r="I380" s="1">
        <v>5.8099887115E10</v>
      </c>
      <c r="J380" s="1" t="s">
        <v>895</v>
      </c>
      <c r="K380" s="1" t="s">
        <v>896</v>
      </c>
      <c r="L380" s="1">
        <v>8.68</v>
      </c>
      <c r="M380" s="1">
        <v>5432.54</v>
      </c>
      <c r="N380" s="1">
        <v>5433.0</v>
      </c>
      <c r="O380" s="1">
        <v>450939.0</v>
      </c>
    </row>
    <row r="381">
      <c r="A381" s="1" t="s">
        <v>897</v>
      </c>
      <c r="B381" s="1" t="s">
        <v>62</v>
      </c>
      <c r="C381" s="1">
        <v>46.1</v>
      </c>
      <c r="D381" s="1" t="s">
        <v>42</v>
      </c>
      <c r="E381" s="1" t="s">
        <v>54</v>
      </c>
      <c r="F381" s="1">
        <v>95.23</v>
      </c>
      <c r="G381" s="1">
        <v>25.07</v>
      </c>
      <c r="H381" s="1">
        <v>3.8955545333E10</v>
      </c>
      <c r="I381" s="1">
        <v>4.2050153986E10</v>
      </c>
      <c r="J381" s="1" t="s">
        <v>898</v>
      </c>
      <c r="K381" s="1" t="s">
        <v>899</v>
      </c>
      <c r="L381" s="1">
        <v>3.83</v>
      </c>
      <c r="M381" s="1">
        <v>176.56</v>
      </c>
      <c r="N381" s="1">
        <v>177.0</v>
      </c>
      <c r="O381" s="1">
        <v>14691.0</v>
      </c>
    </row>
    <row r="382">
      <c r="A382" s="1" t="s">
        <v>900</v>
      </c>
      <c r="B382" s="1" t="s">
        <v>16</v>
      </c>
      <c r="C382" s="1">
        <v>496.2727</v>
      </c>
      <c r="D382" s="1" t="s">
        <v>21</v>
      </c>
      <c r="E382" s="1" t="s">
        <v>32</v>
      </c>
      <c r="F382" s="1">
        <v>66.17</v>
      </c>
      <c r="G382" s="1">
        <v>85.23</v>
      </c>
      <c r="H382" s="1">
        <v>1.003429085E9</v>
      </c>
      <c r="I382" s="1">
        <v>7.770971775E9</v>
      </c>
      <c r="J382" s="1" t="s">
        <v>901</v>
      </c>
      <c r="K382" s="1" t="s">
        <v>902</v>
      </c>
      <c r="L382" s="1">
        <v>9.9</v>
      </c>
      <c r="M382" s="1">
        <v>4913.1</v>
      </c>
      <c r="N382" s="1">
        <v>4913.0</v>
      </c>
      <c r="O382" s="1">
        <v>407779.0</v>
      </c>
    </row>
    <row r="383">
      <c r="A383" s="1" t="s">
        <v>903</v>
      </c>
      <c r="B383" s="1" t="s">
        <v>183</v>
      </c>
      <c r="C383" s="1">
        <v>299.7279</v>
      </c>
      <c r="D383" s="1" t="s">
        <v>21</v>
      </c>
      <c r="E383" s="1" t="s">
        <v>155</v>
      </c>
      <c r="F383" s="1">
        <v>6.36</v>
      </c>
      <c r="G383" s="1">
        <v>34.04</v>
      </c>
      <c r="H383" s="1">
        <v>9.1124289122E10</v>
      </c>
      <c r="I383" s="1">
        <v>9.6851845762E10</v>
      </c>
      <c r="J383" s="1" t="s">
        <v>904</v>
      </c>
      <c r="K383" s="1" t="s">
        <v>905</v>
      </c>
      <c r="L383" s="1">
        <v>2.76</v>
      </c>
      <c r="M383" s="1">
        <v>827.25</v>
      </c>
      <c r="N383" s="1">
        <v>827.0</v>
      </c>
      <c r="O383" s="1">
        <v>68641.0</v>
      </c>
    </row>
    <row r="384">
      <c r="A384" s="1" t="s">
        <v>906</v>
      </c>
      <c r="B384" s="1" t="s">
        <v>46</v>
      </c>
      <c r="C384" s="1">
        <v>117.8769</v>
      </c>
      <c r="D384" s="1" t="s">
        <v>21</v>
      </c>
      <c r="E384" s="1" t="s">
        <v>70</v>
      </c>
      <c r="F384" s="1">
        <v>94.48</v>
      </c>
      <c r="G384" s="1">
        <v>95.76</v>
      </c>
      <c r="H384" s="1">
        <v>5.3055192457E10</v>
      </c>
      <c r="I384" s="1">
        <v>5.5777052222E10</v>
      </c>
      <c r="J384" s="1" t="s">
        <v>907</v>
      </c>
      <c r="K384" s="1" t="s">
        <v>908</v>
      </c>
      <c r="L384" s="1">
        <v>9.22</v>
      </c>
      <c r="M384" s="1">
        <v>1086.83</v>
      </c>
      <c r="N384" s="1">
        <v>1087.0</v>
      </c>
      <c r="O384" s="1">
        <v>90221.0</v>
      </c>
    </row>
    <row r="385">
      <c r="A385" s="1" t="s">
        <v>909</v>
      </c>
      <c r="B385" s="1" t="s">
        <v>60</v>
      </c>
      <c r="C385" s="1">
        <v>64.3167</v>
      </c>
      <c r="D385" s="1" t="s">
        <v>42</v>
      </c>
      <c r="E385" s="1" t="s">
        <v>105</v>
      </c>
      <c r="F385" s="1">
        <v>10.75</v>
      </c>
      <c r="G385" s="1">
        <v>31.36</v>
      </c>
      <c r="H385" s="1">
        <v>6.4401229845E10</v>
      </c>
      <c r="I385" s="1">
        <v>6.8443558418E10</v>
      </c>
      <c r="J385" s="2">
        <v>45358.78333333333</v>
      </c>
      <c r="K385" s="2">
        <v>45450.46319444444</v>
      </c>
      <c r="L385" s="1">
        <v>9.0</v>
      </c>
      <c r="M385" s="1">
        <v>578.85</v>
      </c>
      <c r="N385" s="1">
        <v>579.0</v>
      </c>
      <c r="O385" s="1">
        <v>48057.0</v>
      </c>
    </row>
    <row r="386">
      <c r="A386" s="1" t="s">
        <v>910</v>
      </c>
      <c r="B386" s="1" t="s">
        <v>31</v>
      </c>
      <c r="C386" s="1">
        <v>109.713</v>
      </c>
      <c r="D386" s="1" t="s">
        <v>21</v>
      </c>
      <c r="E386" s="1" t="s">
        <v>123</v>
      </c>
      <c r="F386" s="1">
        <v>84.67</v>
      </c>
      <c r="G386" s="1">
        <v>35.96</v>
      </c>
      <c r="H386" s="1">
        <v>9.8622822131E10</v>
      </c>
      <c r="I386" s="3">
        <v>1.01745E11</v>
      </c>
      <c r="J386" s="1" t="s">
        <v>911</v>
      </c>
      <c r="K386" s="1" t="s">
        <v>912</v>
      </c>
      <c r="L386" s="1">
        <v>6.49</v>
      </c>
      <c r="M386" s="1">
        <v>712.04</v>
      </c>
      <c r="N386" s="1">
        <v>712.0</v>
      </c>
      <c r="O386" s="1">
        <v>59096.0</v>
      </c>
    </row>
    <row r="387">
      <c r="A387" s="1" t="s">
        <v>913</v>
      </c>
      <c r="B387" s="1" t="s">
        <v>350</v>
      </c>
      <c r="C387" s="1">
        <v>546.5469</v>
      </c>
      <c r="D387" s="1" t="s">
        <v>17</v>
      </c>
      <c r="E387" s="1" t="s">
        <v>74</v>
      </c>
      <c r="F387" s="1">
        <v>98.75</v>
      </c>
      <c r="G387" s="1">
        <v>78.64</v>
      </c>
      <c r="H387" s="1">
        <v>4.9438110444E10</v>
      </c>
      <c r="I387" s="1">
        <v>5.5728177096E10</v>
      </c>
      <c r="J387" s="2">
        <v>45299.697916666664</v>
      </c>
      <c r="K387" s="2">
        <v>45390.55486111111</v>
      </c>
      <c r="L387" s="1">
        <v>3.32</v>
      </c>
      <c r="M387" s="1">
        <v>1814.54</v>
      </c>
      <c r="N387" s="1">
        <v>1815.0</v>
      </c>
      <c r="O387" s="1">
        <v>150645.0</v>
      </c>
    </row>
    <row r="388">
      <c r="A388" s="1" t="s">
        <v>914</v>
      </c>
      <c r="B388" s="1" t="s">
        <v>169</v>
      </c>
      <c r="C388" s="1">
        <v>584.1002</v>
      </c>
      <c r="D388" s="1" t="s">
        <v>21</v>
      </c>
      <c r="E388" s="1" t="s">
        <v>155</v>
      </c>
      <c r="F388" s="1">
        <v>36.26</v>
      </c>
      <c r="G388" s="1">
        <v>92.8</v>
      </c>
      <c r="H388" s="1">
        <v>7.6647365947E10</v>
      </c>
      <c r="I388" s="1">
        <v>8.403545449E10</v>
      </c>
      <c r="J388" s="1" t="s">
        <v>915</v>
      </c>
      <c r="K388" s="1" t="s">
        <v>916</v>
      </c>
      <c r="L388" s="1">
        <v>8.57</v>
      </c>
      <c r="M388" s="1">
        <v>5005.74</v>
      </c>
      <c r="N388" s="1">
        <v>5006.0</v>
      </c>
      <c r="O388" s="1">
        <v>415498.0</v>
      </c>
    </row>
    <row r="389">
      <c r="A389" s="1" t="s">
        <v>917</v>
      </c>
      <c r="B389" s="1" t="s">
        <v>99</v>
      </c>
      <c r="C389" s="1">
        <v>510.6689</v>
      </c>
      <c r="D389" s="1" t="s">
        <v>21</v>
      </c>
      <c r="E389" s="1" t="s">
        <v>37</v>
      </c>
      <c r="F389" s="1">
        <v>79.13</v>
      </c>
      <c r="G389" s="1">
        <v>2.77</v>
      </c>
      <c r="H389" s="1">
        <v>6.0470173731E10</v>
      </c>
      <c r="I389" s="1">
        <v>6.0672911269E10</v>
      </c>
      <c r="J389" s="1" t="s">
        <v>918</v>
      </c>
      <c r="K389" s="1" t="s">
        <v>919</v>
      </c>
      <c r="L389" s="1">
        <v>6.98</v>
      </c>
      <c r="M389" s="1">
        <v>3564.47</v>
      </c>
      <c r="N389" s="1">
        <v>3564.0</v>
      </c>
      <c r="O389" s="1">
        <v>295812.0</v>
      </c>
    </row>
    <row r="390">
      <c r="A390" s="1" t="s">
        <v>920</v>
      </c>
      <c r="B390" s="1" t="s">
        <v>147</v>
      </c>
      <c r="C390" s="1">
        <v>32.8167</v>
      </c>
      <c r="D390" s="1" t="s">
        <v>42</v>
      </c>
      <c r="E390" s="1" t="s">
        <v>27</v>
      </c>
      <c r="F390" s="1">
        <v>73.99</v>
      </c>
      <c r="G390" s="1">
        <v>93.62</v>
      </c>
      <c r="H390" s="1">
        <v>1.7702733118E10</v>
      </c>
      <c r="I390" s="1">
        <v>2.0832837855E10</v>
      </c>
      <c r="J390" s="1" t="s">
        <v>921</v>
      </c>
      <c r="K390" s="1" t="s">
        <v>922</v>
      </c>
      <c r="L390" s="1">
        <v>3.84</v>
      </c>
      <c r="M390" s="1">
        <v>126.02</v>
      </c>
      <c r="N390" s="1">
        <v>126.0</v>
      </c>
      <c r="O390" s="1">
        <v>10458.0</v>
      </c>
    </row>
    <row r="391">
      <c r="A391" s="1" t="s">
        <v>923</v>
      </c>
      <c r="B391" s="1" t="s">
        <v>46</v>
      </c>
      <c r="C391" s="1">
        <v>301.1685</v>
      </c>
      <c r="D391" s="1" t="s">
        <v>17</v>
      </c>
      <c r="E391" s="1" t="s">
        <v>32</v>
      </c>
      <c r="F391" s="1">
        <v>64.93</v>
      </c>
      <c r="G391" s="1">
        <v>53.51</v>
      </c>
      <c r="H391" s="1">
        <v>3.3639295727E10</v>
      </c>
      <c r="I391" s="1">
        <v>3.6839965337E10</v>
      </c>
      <c r="J391" s="1" t="s">
        <v>924</v>
      </c>
      <c r="K391" s="1" t="s">
        <v>925</v>
      </c>
      <c r="L391" s="1">
        <v>2.22</v>
      </c>
      <c r="M391" s="1">
        <v>668.59</v>
      </c>
      <c r="N391" s="1">
        <v>669.0</v>
      </c>
      <c r="O391" s="1">
        <v>55527.0</v>
      </c>
    </row>
    <row r="392">
      <c r="A392" s="1" t="s">
        <v>926</v>
      </c>
      <c r="B392" s="1" t="s">
        <v>20</v>
      </c>
      <c r="C392" s="1">
        <v>744.5</v>
      </c>
      <c r="D392" s="1" t="s">
        <v>21</v>
      </c>
      <c r="E392" s="1" t="s">
        <v>155</v>
      </c>
      <c r="F392" s="1">
        <v>94.09</v>
      </c>
      <c r="G392" s="1">
        <v>46.58</v>
      </c>
      <c r="H392" s="1">
        <v>4.6437633971E10</v>
      </c>
      <c r="I392" s="1">
        <v>4.6495564971E10</v>
      </c>
      <c r="J392" s="1" t="s">
        <v>927</v>
      </c>
      <c r="K392" s="2">
        <v>45300.58125</v>
      </c>
      <c r="L392" s="1">
        <v>7.91</v>
      </c>
      <c r="M392" s="1">
        <v>5888.99</v>
      </c>
      <c r="N392" s="1">
        <v>5889.0</v>
      </c>
      <c r="O392" s="1">
        <v>488787.0</v>
      </c>
    </row>
    <row r="393">
      <c r="A393" s="1" t="s">
        <v>928</v>
      </c>
      <c r="B393" s="1" t="s">
        <v>166</v>
      </c>
      <c r="C393" s="1">
        <v>931.8438</v>
      </c>
      <c r="D393" s="1" t="s">
        <v>21</v>
      </c>
      <c r="E393" s="1" t="s">
        <v>27</v>
      </c>
      <c r="F393" s="1">
        <v>38.82</v>
      </c>
      <c r="G393" s="1">
        <v>30.39</v>
      </c>
      <c r="H393" s="1">
        <v>8.7922833079E10</v>
      </c>
      <c r="I393" s="1">
        <v>9.7539696374E10</v>
      </c>
      <c r="J393" s="2">
        <v>45572.67152777778</v>
      </c>
      <c r="K393" s="1" t="s">
        <v>929</v>
      </c>
      <c r="L393" s="1">
        <v>6.22</v>
      </c>
      <c r="M393" s="1">
        <v>5796.07</v>
      </c>
      <c r="N393" s="1">
        <v>5796.0</v>
      </c>
      <c r="O393" s="1">
        <v>481068.0</v>
      </c>
    </row>
    <row r="394">
      <c r="A394" s="1" t="s">
        <v>930</v>
      </c>
      <c r="B394" s="1" t="s">
        <v>26</v>
      </c>
      <c r="C394" s="1">
        <v>769.3033</v>
      </c>
      <c r="D394" s="1" t="s">
        <v>21</v>
      </c>
      <c r="E394" s="1" t="s">
        <v>32</v>
      </c>
      <c r="F394" s="1">
        <v>50.16</v>
      </c>
      <c r="G394" s="1">
        <v>91.46</v>
      </c>
      <c r="H394" s="1">
        <v>4.5773425452E10</v>
      </c>
      <c r="I394" s="1">
        <v>4.9557900371E10</v>
      </c>
      <c r="J394" s="1" t="s">
        <v>931</v>
      </c>
      <c r="K394" s="1" t="s">
        <v>932</v>
      </c>
      <c r="L394" s="1">
        <v>6.95</v>
      </c>
      <c r="M394" s="1">
        <v>5346.66</v>
      </c>
      <c r="N394" s="1">
        <v>5347.0</v>
      </c>
      <c r="O394" s="1">
        <v>443801.0</v>
      </c>
    </row>
    <row r="395">
      <c r="A395" s="1" t="s">
        <v>933</v>
      </c>
      <c r="B395" s="1" t="s">
        <v>60</v>
      </c>
      <c r="C395" s="1">
        <v>105.55</v>
      </c>
      <c r="D395" s="1" t="s">
        <v>42</v>
      </c>
      <c r="E395" s="1" t="s">
        <v>123</v>
      </c>
      <c r="F395" s="1">
        <v>3.37</v>
      </c>
      <c r="G395" s="1">
        <v>87.82</v>
      </c>
      <c r="H395" s="1">
        <v>5.4964652526E10</v>
      </c>
      <c r="I395" s="1">
        <v>5.5978858331E10</v>
      </c>
      <c r="J395" s="1" t="s">
        <v>934</v>
      </c>
      <c r="K395" s="1" t="s">
        <v>935</v>
      </c>
      <c r="L395" s="1">
        <v>1.68</v>
      </c>
      <c r="M395" s="1">
        <v>177.32</v>
      </c>
      <c r="N395" s="1">
        <v>177.0</v>
      </c>
      <c r="O395" s="1">
        <v>14691.0</v>
      </c>
    </row>
    <row r="396">
      <c r="A396" s="1" t="s">
        <v>936</v>
      </c>
      <c r="B396" s="1" t="s">
        <v>166</v>
      </c>
      <c r="C396" s="1">
        <v>754.5171</v>
      </c>
      <c r="D396" s="1" t="s">
        <v>17</v>
      </c>
      <c r="E396" s="1" t="s">
        <v>37</v>
      </c>
      <c r="F396" s="1">
        <v>41.13</v>
      </c>
      <c r="G396" s="1">
        <v>18.29</v>
      </c>
      <c r="H396" s="1">
        <v>8.0156463931E10</v>
      </c>
      <c r="I396" s="1">
        <v>8.3917965863E10</v>
      </c>
      <c r="J396" s="2">
        <v>45543.645833333336</v>
      </c>
      <c r="K396" s="2">
        <v>45634.194444444445</v>
      </c>
      <c r="L396" s="1">
        <v>4.34</v>
      </c>
      <c r="M396" s="1">
        <v>3274.6</v>
      </c>
      <c r="N396" s="1">
        <v>3275.0</v>
      </c>
      <c r="O396" s="1">
        <v>271825.0</v>
      </c>
    </row>
    <row r="397">
      <c r="A397" s="1" t="s">
        <v>937</v>
      </c>
      <c r="B397" s="1" t="s">
        <v>166</v>
      </c>
      <c r="C397" s="1">
        <v>948.2171</v>
      </c>
      <c r="D397" s="1" t="s">
        <v>21</v>
      </c>
      <c r="E397" s="1" t="s">
        <v>54</v>
      </c>
      <c r="F397" s="1">
        <v>22.26</v>
      </c>
      <c r="G397" s="1">
        <v>20.26</v>
      </c>
      <c r="H397" s="1">
        <v>9.7371163399E10</v>
      </c>
      <c r="I397" s="1">
        <v>9.8298454729E10</v>
      </c>
      <c r="J397" s="2">
        <v>45299.459027777775</v>
      </c>
      <c r="K397" s="2">
        <v>45451.51666666667</v>
      </c>
      <c r="L397" s="1">
        <v>5.6</v>
      </c>
      <c r="M397" s="1">
        <v>5310.02</v>
      </c>
      <c r="N397" s="1">
        <v>5310.0</v>
      </c>
      <c r="O397" s="1">
        <v>440730.0</v>
      </c>
    </row>
    <row r="398">
      <c r="A398" s="1" t="s">
        <v>938</v>
      </c>
      <c r="B398" s="1" t="s">
        <v>66</v>
      </c>
      <c r="C398" s="1">
        <v>446.4162</v>
      </c>
      <c r="D398" s="1" t="s">
        <v>17</v>
      </c>
      <c r="E398" s="1" t="s">
        <v>70</v>
      </c>
      <c r="F398" s="1">
        <v>44.43</v>
      </c>
      <c r="G398" s="1">
        <v>72.55</v>
      </c>
      <c r="H398" s="1">
        <v>4.9120972614E10</v>
      </c>
      <c r="I398" s="1">
        <v>5.7160333323E10</v>
      </c>
      <c r="J398" s="1" t="s">
        <v>939</v>
      </c>
      <c r="K398" s="1" t="s">
        <v>940</v>
      </c>
      <c r="L398" s="1">
        <v>6.33</v>
      </c>
      <c r="M398" s="1">
        <v>2825.81</v>
      </c>
      <c r="N398" s="1">
        <v>2826.0</v>
      </c>
      <c r="O398" s="1">
        <v>234558.0</v>
      </c>
    </row>
    <row r="399">
      <c r="A399" s="1" t="s">
        <v>941</v>
      </c>
      <c r="B399" s="1" t="s">
        <v>46</v>
      </c>
      <c r="C399" s="1">
        <v>394.3393</v>
      </c>
      <c r="D399" s="1" t="s">
        <v>21</v>
      </c>
      <c r="E399" s="1" t="s">
        <v>54</v>
      </c>
      <c r="F399" s="1">
        <v>84.72</v>
      </c>
      <c r="G399" s="1">
        <v>56.53</v>
      </c>
      <c r="H399" s="1">
        <v>2.9992475352E10</v>
      </c>
      <c r="I399" s="1">
        <v>3.8236530466E10</v>
      </c>
      <c r="J399" s="1" t="s">
        <v>942</v>
      </c>
      <c r="K399" s="1" t="s">
        <v>943</v>
      </c>
      <c r="L399" s="1">
        <v>7.36</v>
      </c>
      <c r="M399" s="1">
        <v>2902.34</v>
      </c>
      <c r="N399" s="1">
        <v>2902.0</v>
      </c>
      <c r="O399" s="1">
        <v>240866.0</v>
      </c>
    </row>
    <row r="400">
      <c r="A400" s="1" t="s">
        <v>944</v>
      </c>
      <c r="B400" s="1" t="s">
        <v>41</v>
      </c>
      <c r="C400" s="1">
        <v>32.35</v>
      </c>
      <c r="D400" s="1" t="s">
        <v>42</v>
      </c>
      <c r="E400" s="1" t="s">
        <v>74</v>
      </c>
      <c r="F400" s="1">
        <v>57.31</v>
      </c>
      <c r="G400" s="1">
        <v>94.45</v>
      </c>
      <c r="H400" s="1">
        <v>6.1403398421E10</v>
      </c>
      <c r="I400" s="1">
        <v>6.721902992E10</v>
      </c>
      <c r="J400" s="1" t="s">
        <v>945</v>
      </c>
      <c r="K400" s="1" t="s">
        <v>946</v>
      </c>
      <c r="L400" s="1">
        <v>7.15</v>
      </c>
      <c r="M400" s="1">
        <v>231.3</v>
      </c>
      <c r="N400" s="1">
        <v>231.0</v>
      </c>
      <c r="O400" s="1">
        <v>19173.0</v>
      </c>
    </row>
    <row r="401">
      <c r="A401" s="1" t="s">
        <v>947</v>
      </c>
      <c r="B401" s="1" t="s">
        <v>273</v>
      </c>
      <c r="C401" s="1">
        <v>163.497</v>
      </c>
      <c r="D401" s="1" t="s">
        <v>21</v>
      </c>
      <c r="E401" s="1" t="s">
        <v>22</v>
      </c>
      <c r="F401" s="1">
        <v>88.64</v>
      </c>
      <c r="G401" s="1">
        <v>51.63</v>
      </c>
      <c r="H401" s="1">
        <v>1.075058312E9</v>
      </c>
      <c r="I401" s="1">
        <v>8.4446015E9</v>
      </c>
      <c r="J401" s="2">
        <v>45512.17291666667</v>
      </c>
      <c r="K401" s="1" t="s">
        <v>948</v>
      </c>
      <c r="L401" s="1">
        <v>1.08</v>
      </c>
      <c r="M401" s="1">
        <v>176.58</v>
      </c>
      <c r="N401" s="1">
        <v>177.0</v>
      </c>
      <c r="O401" s="1">
        <v>14691.0</v>
      </c>
    </row>
    <row r="402">
      <c r="A402" s="1" t="s">
        <v>949</v>
      </c>
      <c r="B402" s="1" t="s">
        <v>273</v>
      </c>
      <c r="C402" s="1">
        <v>570.1344</v>
      </c>
      <c r="D402" s="1" t="s">
        <v>17</v>
      </c>
      <c r="E402" s="1" t="s">
        <v>74</v>
      </c>
      <c r="F402" s="1">
        <v>6.2</v>
      </c>
      <c r="G402" s="1">
        <v>55.19</v>
      </c>
      <c r="H402" s="1">
        <v>6.3118343231E10</v>
      </c>
      <c r="I402" s="1">
        <v>7.081258316E10</v>
      </c>
      <c r="J402" s="1" t="s">
        <v>950</v>
      </c>
      <c r="K402" s="1" t="s">
        <v>951</v>
      </c>
      <c r="L402" s="1">
        <v>3.47</v>
      </c>
      <c r="M402" s="1">
        <v>1978.37</v>
      </c>
      <c r="N402" s="1">
        <v>1978.0</v>
      </c>
      <c r="O402" s="1">
        <v>164174.0</v>
      </c>
    </row>
    <row r="403">
      <c r="A403" s="1" t="s">
        <v>952</v>
      </c>
      <c r="B403" s="1" t="s">
        <v>20</v>
      </c>
      <c r="C403" s="1">
        <v>548.395</v>
      </c>
      <c r="D403" s="1" t="s">
        <v>21</v>
      </c>
      <c r="E403" s="1" t="s">
        <v>37</v>
      </c>
      <c r="F403" s="1">
        <v>13.18</v>
      </c>
      <c r="G403" s="1">
        <v>37.74</v>
      </c>
      <c r="H403" s="1">
        <v>6.4482162259E10</v>
      </c>
      <c r="I403" s="1">
        <v>6.7883170958E10</v>
      </c>
      <c r="J403" s="2">
        <v>45542.98819444444</v>
      </c>
      <c r="K403" s="2">
        <v>45633.21041666667</v>
      </c>
      <c r="L403" s="1">
        <v>8.53</v>
      </c>
      <c r="M403" s="1">
        <v>4677.81</v>
      </c>
      <c r="N403" s="1">
        <v>4678.0</v>
      </c>
      <c r="O403" s="1">
        <v>388274.0</v>
      </c>
    </row>
    <row r="404">
      <c r="A404" s="1" t="s">
        <v>953</v>
      </c>
      <c r="B404" s="1" t="s">
        <v>169</v>
      </c>
      <c r="C404" s="1">
        <v>793.0592</v>
      </c>
      <c r="D404" s="1" t="s">
        <v>21</v>
      </c>
      <c r="E404" s="1" t="s">
        <v>32</v>
      </c>
      <c r="F404" s="1">
        <v>64.73</v>
      </c>
      <c r="G404" s="1">
        <v>87.5</v>
      </c>
      <c r="H404" s="1">
        <v>3.7069716948E10</v>
      </c>
      <c r="I404" s="1">
        <v>4.4355873519E10</v>
      </c>
      <c r="J404" s="1" t="s">
        <v>954</v>
      </c>
      <c r="K404" s="1" t="s">
        <v>955</v>
      </c>
      <c r="L404" s="1">
        <v>3.55</v>
      </c>
      <c r="M404" s="1">
        <v>2815.36</v>
      </c>
      <c r="N404" s="1">
        <v>2815.0</v>
      </c>
      <c r="O404" s="1">
        <v>233645.0</v>
      </c>
    </row>
    <row r="405">
      <c r="A405" s="1" t="s">
        <v>956</v>
      </c>
      <c r="B405" s="1" t="s">
        <v>36</v>
      </c>
      <c r="C405" s="1">
        <v>975.0557</v>
      </c>
      <c r="D405" s="1" t="s">
        <v>21</v>
      </c>
      <c r="E405" s="1" t="s">
        <v>74</v>
      </c>
      <c r="F405" s="1">
        <v>78.98</v>
      </c>
      <c r="G405" s="1">
        <v>27.19</v>
      </c>
      <c r="H405" s="1">
        <v>1.3536351212E10</v>
      </c>
      <c r="I405" s="1">
        <v>1.5874339023E10</v>
      </c>
      <c r="J405" s="1" t="s">
        <v>957</v>
      </c>
      <c r="K405" s="1" t="s">
        <v>958</v>
      </c>
      <c r="L405" s="1">
        <v>3.66</v>
      </c>
      <c r="M405" s="1">
        <v>3568.7</v>
      </c>
      <c r="N405" s="1">
        <v>3569.0</v>
      </c>
      <c r="O405" s="1">
        <v>296227.0</v>
      </c>
    </row>
    <row r="406">
      <c r="A406" s="1" t="s">
        <v>959</v>
      </c>
      <c r="B406" s="1" t="s">
        <v>16</v>
      </c>
      <c r="C406" s="1">
        <v>709.8165</v>
      </c>
      <c r="D406" s="1" t="s">
        <v>21</v>
      </c>
      <c r="E406" s="1" t="s">
        <v>74</v>
      </c>
      <c r="F406" s="1">
        <v>77.27</v>
      </c>
      <c r="G406" s="1">
        <v>56.3</v>
      </c>
      <c r="H406" s="1">
        <v>7.8065298345E10</v>
      </c>
      <c r="I406" s="1">
        <v>7.888915975E10</v>
      </c>
      <c r="J406" s="1" t="s">
        <v>960</v>
      </c>
      <c r="K406" s="1" t="s">
        <v>961</v>
      </c>
      <c r="L406" s="1">
        <v>3.98</v>
      </c>
      <c r="M406" s="1">
        <v>2825.07</v>
      </c>
      <c r="N406" s="1">
        <v>2825.0</v>
      </c>
      <c r="O406" s="1">
        <v>234475.0</v>
      </c>
    </row>
    <row r="407">
      <c r="A407" s="1" t="s">
        <v>962</v>
      </c>
      <c r="B407" s="1" t="s">
        <v>20</v>
      </c>
      <c r="C407" s="1">
        <v>867.3309</v>
      </c>
      <c r="D407" s="1" t="s">
        <v>21</v>
      </c>
      <c r="E407" s="1" t="s">
        <v>18</v>
      </c>
      <c r="F407" s="1">
        <v>93.94</v>
      </c>
      <c r="G407" s="1">
        <v>69.69</v>
      </c>
      <c r="H407" s="1">
        <v>2.4385888545E10</v>
      </c>
      <c r="I407" s="1">
        <v>3.3204791604E10</v>
      </c>
      <c r="J407" s="1" t="s">
        <v>963</v>
      </c>
      <c r="K407" s="1" t="s">
        <v>964</v>
      </c>
      <c r="L407" s="1">
        <v>3.73</v>
      </c>
      <c r="M407" s="1">
        <v>3235.14</v>
      </c>
      <c r="N407" s="1">
        <v>3235.0</v>
      </c>
      <c r="O407" s="1">
        <v>268505.0</v>
      </c>
    </row>
    <row r="408">
      <c r="A408" s="1" t="s">
        <v>965</v>
      </c>
      <c r="B408" s="1" t="s">
        <v>26</v>
      </c>
      <c r="C408" s="1">
        <v>528.3413</v>
      </c>
      <c r="D408" s="1" t="s">
        <v>17</v>
      </c>
      <c r="E408" s="1" t="s">
        <v>74</v>
      </c>
      <c r="F408" s="1">
        <v>0.05</v>
      </c>
      <c r="G408" s="1">
        <v>75.85</v>
      </c>
      <c r="H408" s="1">
        <v>3.730728545E10</v>
      </c>
      <c r="I408" s="1">
        <v>4.0101055025E10</v>
      </c>
      <c r="J408" s="2">
        <v>45572.717361111114</v>
      </c>
      <c r="K408" s="1" t="s">
        <v>966</v>
      </c>
      <c r="L408" s="1">
        <v>9.16</v>
      </c>
      <c r="M408" s="1">
        <v>4839.61</v>
      </c>
      <c r="N408" s="1">
        <v>4840.0</v>
      </c>
      <c r="O408" s="1">
        <v>401720.0</v>
      </c>
    </row>
    <row r="409">
      <c r="A409" s="1" t="s">
        <v>967</v>
      </c>
      <c r="B409" s="1" t="s">
        <v>57</v>
      </c>
      <c r="C409" s="1">
        <v>639.0835</v>
      </c>
      <c r="D409" s="1" t="s">
        <v>17</v>
      </c>
      <c r="E409" s="1" t="s">
        <v>123</v>
      </c>
      <c r="F409" s="1">
        <v>24.8</v>
      </c>
      <c r="G409" s="1">
        <v>95.47</v>
      </c>
      <c r="H409" s="1">
        <v>4.7512963582E10</v>
      </c>
      <c r="I409" s="1">
        <v>4.8898638003E10</v>
      </c>
      <c r="J409" s="1" t="s">
        <v>968</v>
      </c>
      <c r="K409" s="1" t="s">
        <v>969</v>
      </c>
      <c r="L409" s="1">
        <v>9.6</v>
      </c>
      <c r="M409" s="1">
        <v>6135.2</v>
      </c>
      <c r="N409" s="1">
        <v>6135.0</v>
      </c>
      <c r="O409" s="1">
        <v>509205.0</v>
      </c>
    </row>
    <row r="410">
      <c r="A410" s="1" t="s">
        <v>970</v>
      </c>
      <c r="B410" s="1" t="s">
        <v>350</v>
      </c>
      <c r="C410" s="1">
        <v>645.113</v>
      </c>
      <c r="D410" s="1" t="s">
        <v>21</v>
      </c>
      <c r="E410" s="1" t="s">
        <v>74</v>
      </c>
      <c r="F410" s="1">
        <v>79.78</v>
      </c>
      <c r="G410" s="1">
        <v>48.02</v>
      </c>
      <c r="H410" s="1">
        <v>5.4561715828E10</v>
      </c>
      <c r="I410" s="1">
        <v>6.0378719013E10</v>
      </c>
      <c r="J410" s="1" t="s">
        <v>971</v>
      </c>
      <c r="K410" s="1" t="s">
        <v>972</v>
      </c>
      <c r="L410" s="1">
        <v>9.28</v>
      </c>
      <c r="M410" s="1">
        <v>5986.65</v>
      </c>
      <c r="N410" s="1">
        <v>5987.0</v>
      </c>
      <c r="O410" s="1">
        <v>496921.0</v>
      </c>
    </row>
    <row r="411">
      <c r="A411" s="1" t="s">
        <v>973</v>
      </c>
      <c r="B411" s="1" t="s">
        <v>273</v>
      </c>
      <c r="C411" s="1">
        <v>40.7426</v>
      </c>
      <c r="D411" s="1" t="s">
        <v>17</v>
      </c>
      <c r="E411" s="1" t="s">
        <v>70</v>
      </c>
      <c r="F411" s="1">
        <v>48.74</v>
      </c>
      <c r="G411" s="1">
        <v>84.32</v>
      </c>
      <c r="H411" s="1">
        <v>1.084525696E9</v>
      </c>
      <c r="I411" s="1">
        <v>1.90840995E9</v>
      </c>
      <c r="J411" s="1" t="s">
        <v>974</v>
      </c>
      <c r="K411" s="1" t="s">
        <v>975</v>
      </c>
      <c r="L411" s="1">
        <v>2.93</v>
      </c>
      <c r="M411" s="1">
        <v>119.38</v>
      </c>
      <c r="N411" s="1">
        <v>119.0</v>
      </c>
      <c r="O411" s="1">
        <v>9877.0</v>
      </c>
    </row>
    <row r="412">
      <c r="A412" s="1" t="s">
        <v>976</v>
      </c>
      <c r="B412" s="1" t="s">
        <v>112</v>
      </c>
      <c r="C412" s="1">
        <v>126.35</v>
      </c>
      <c r="D412" s="1" t="s">
        <v>42</v>
      </c>
      <c r="E412" s="1" t="s">
        <v>155</v>
      </c>
      <c r="F412" s="1">
        <v>83.1</v>
      </c>
      <c r="G412" s="1">
        <v>14.15</v>
      </c>
      <c r="H412" s="1">
        <v>1.147988415E9</v>
      </c>
      <c r="I412" s="1">
        <v>2.039725231E9</v>
      </c>
      <c r="J412" s="2">
        <v>45542.70694444444</v>
      </c>
      <c r="K412" s="1" t="s">
        <v>977</v>
      </c>
      <c r="L412" s="1">
        <v>1.52</v>
      </c>
      <c r="M412" s="1">
        <v>192.05</v>
      </c>
      <c r="N412" s="1">
        <v>192.0</v>
      </c>
      <c r="O412" s="1">
        <v>15936.0</v>
      </c>
    </row>
    <row r="413">
      <c r="A413" s="1" t="s">
        <v>978</v>
      </c>
      <c r="B413" s="1" t="s">
        <v>20</v>
      </c>
      <c r="C413" s="1">
        <v>99.439</v>
      </c>
      <c r="D413" s="1" t="s">
        <v>17</v>
      </c>
      <c r="E413" s="1" t="s">
        <v>27</v>
      </c>
      <c r="F413" s="1">
        <v>32.08</v>
      </c>
      <c r="G413" s="1">
        <v>0.2</v>
      </c>
      <c r="H413" s="1">
        <v>2.7035224267E10</v>
      </c>
      <c r="I413" s="1">
        <v>3.0966799762E10</v>
      </c>
      <c r="J413" s="1" t="s">
        <v>979</v>
      </c>
      <c r="K413" s="1" t="s">
        <v>980</v>
      </c>
      <c r="L413" s="1">
        <v>4.48</v>
      </c>
      <c r="M413" s="1">
        <v>445.49</v>
      </c>
      <c r="N413" s="1">
        <v>445.0</v>
      </c>
      <c r="O413" s="1">
        <v>36935.0</v>
      </c>
    </row>
    <row r="414">
      <c r="A414" s="1" t="s">
        <v>981</v>
      </c>
      <c r="B414" s="1" t="s">
        <v>26</v>
      </c>
      <c r="C414" s="1">
        <v>920.6326</v>
      </c>
      <c r="D414" s="1" t="s">
        <v>21</v>
      </c>
      <c r="E414" s="1" t="s">
        <v>105</v>
      </c>
      <c r="F414" s="1">
        <v>98.57</v>
      </c>
      <c r="G414" s="1">
        <v>99.09</v>
      </c>
      <c r="H414" s="1">
        <v>5.4809300779E10</v>
      </c>
      <c r="I414" s="1">
        <v>5.5666754879E10</v>
      </c>
      <c r="J414" s="2">
        <v>45299.339583333334</v>
      </c>
      <c r="K414" s="2">
        <v>45390.67986111111</v>
      </c>
      <c r="L414" s="1">
        <v>8.89</v>
      </c>
      <c r="M414" s="1">
        <v>8184.42</v>
      </c>
      <c r="N414" s="1">
        <v>8184.0</v>
      </c>
      <c r="O414" s="1">
        <v>679272.0</v>
      </c>
    </row>
    <row r="415">
      <c r="A415" s="1" t="s">
        <v>982</v>
      </c>
      <c r="B415" s="1" t="s">
        <v>139</v>
      </c>
      <c r="C415" s="1">
        <v>101.9333</v>
      </c>
      <c r="D415" s="1" t="s">
        <v>42</v>
      </c>
      <c r="E415" s="1" t="s">
        <v>105</v>
      </c>
      <c r="F415" s="1">
        <v>88.82</v>
      </c>
      <c r="G415" s="1">
        <v>39.26</v>
      </c>
      <c r="H415" s="1">
        <v>6.3709431289E10</v>
      </c>
      <c r="I415" s="1">
        <v>7.0241940966E10</v>
      </c>
      <c r="J415" s="1" t="s">
        <v>983</v>
      </c>
      <c r="K415" s="2">
        <v>45330.23541666667</v>
      </c>
      <c r="L415" s="1">
        <v>1.33</v>
      </c>
      <c r="M415" s="1">
        <v>135.57</v>
      </c>
      <c r="N415" s="1">
        <v>136.0</v>
      </c>
      <c r="O415" s="1">
        <v>11288.0</v>
      </c>
    </row>
    <row r="416">
      <c r="A416" s="1" t="s">
        <v>984</v>
      </c>
      <c r="B416" s="1" t="s">
        <v>169</v>
      </c>
      <c r="C416" s="1">
        <v>717.5885</v>
      </c>
      <c r="D416" s="1" t="s">
        <v>17</v>
      </c>
      <c r="E416" s="1" t="s">
        <v>32</v>
      </c>
      <c r="F416" s="1">
        <v>79.24</v>
      </c>
      <c r="G416" s="1">
        <v>95.25</v>
      </c>
      <c r="H416" s="1">
        <v>8.1736099653E10</v>
      </c>
      <c r="I416" s="1">
        <v>8.8202065814E10</v>
      </c>
      <c r="J416" s="2">
        <v>45298.14722222222</v>
      </c>
      <c r="K416" s="2">
        <v>45329.60625</v>
      </c>
      <c r="L416" s="1">
        <v>1.08</v>
      </c>
      <c r="M416" s="1">
        <v>775.0</v>
      </c>
      <c r="N416" s="1">
        <v>775.0</v>
      </c>
      <c r="O416" s="1">
        <v>64325.0</v>
      </c>
    </row>
    <row r="417">
      <c r="A417" s="1" t="s">
        <v>985</v>
      </c>
      <c r="B417" s="1" t="s">
        <v>62</v>
      </c>
      <c r="C417" s="1">
        <v>120.0333</v>
      </c>
      <c r="D417" s="1" t="s">
        <v>42</v>
      </c>
      <c r="E417" s="1" t="s">
        <v>37</v>
      </c>
      <c r="F417" s="1">
        <v>95.69</v>
      </c>
      <c r="G417" s="1">
        <v>89.69</v>
      </c>
      <c r="H417" s="1">
        <v>4.1531939962E10</v>
      </c>
      <c r="I417" s="1">
        <v>4.3212400155E10</v>
      </c>
      <c r="J417" s="1" t="s">
        <v>986</v>
      </c>
      <c r="K417" s="1" t="s">
        <v>987</v>
      </c>
      <c r="L417" s="1">
        <v>5.11</v>
      </c>
      <c r="M417" s="1">
        <v>613.37</v>
      </c>
      <c r="N417" s="1">
        <v>613.0</v>
      </c>
      <c r="O417" s="1">
        <v>50879.0</v>
      </c>
    </row>
    <row r="418">
      <c r="A418" s="1" t="s">
        <v>988</v>
      </c>
      <c r="B418" s="1" t="s">
        <v>66</v>
      </c>
      <c r="C418" s="1">
        <v>395.5674</v>
      </c>
      <c r="D418" s="1" t="s">
        <v>21</v>
      </c>
      <c r="E418" s="1" t="s">
        <v>54</v>
      </c>
      <c r="F418" s="1">
        <v>52.88</v>
      </c>
      <c r="G418" s="1">
        <v>25.92</v>
      </c>
      <c r="H418" s="1">
        <v>3.2232166555E10</v>
      </c>
      <c r="I418" s="1">
        <v>3.7663255388E10</v>
      </c>
      <c r="J418" s="1" t="s">
        <v>989</v>
      </c>
      <c r="K418" s="1" t="s">
        <v>990</v>
      </c>
      <c r="L418" s="1">
        <v>7.03</v>
      </c>
      <c r="M418" s="1">
        <v>2780.84</v>
      </c>
      <c r="N418" s="1">
        <v>2781.0</v>
      </c>
      <c r="O418" s="1">
        <v>230823.0</v>
      </c>
    </row>
    <row r="419">
      <c r="A419" s="1" t="s">
        <v>991</v>
      </c>
      <c r="B419" s="1" t="s">
        <v>99</v>
      </c>
      <c r="C419" s="1">
        <v>587.3453</v>
      </c>
      <c r="D419" s="1" t="s">
        <v>21</v>
      </c>
      <c r="E419" s="1" t="s">
        <v>74</v>
      </c>
      <c r="F419" s="1">
        <v>63.44</v>
      </c>
      <c r="G419" s="1">
        <v>18.89</v>
      </c>
      <c r="H419" s="1">
        <v>4.6826151869E10</v>
      </c>
      <c r="I419" s="1">
        <v>4.8304722578E10</v>
      </c>
      <c r="J419" s="2">
        <v>45603.370833333334</v>
      </c>
      <c r="K419" s="1" t="s">
        <v>992</v>
      </c>
      <c r="L419" s="1">
        <v>7.02</v>
      </c>
      <c r="M419" s="1">
        <v>4123.16</v>
      </c>
      <c r="N419" s="1">
        <v>4123.0</v>
      </c>
      <c r="O419" s="1">
        <v>342209.0</v>
      </c>
    </row>
    <row r="420">
      <c r="A420" s="1" t="s">
        <v>993</v>
      </c>
      <c r="B420" s="1" t="s">
        <v>83</v>
      </c>
      <c r="C420" s="1">
        <v>324.2647</v>
      </c>
      <c r="D420" s="1" t="s">
        <v>21</v>
      </c>
      <c r="E420" s="1" t="s">
        <v>54</v>
      </c>
      <c r="F420" s="1">
        <v>40.23</v>
      </c>
      <c r="G420" s="1">
        <v>67.49</v>
      </c>
      <c r="H420" s="1">
        <v>5.5430618756E10</v>
      </c>
      <c r="I420" s="1">
        <v>5.6713923891E10</v>
      </c>
      <c r="J420" s="2">
        <v>45389.072916666664</v>
      </c>
      <c r="K420" s="2">
        <v>45480.486805555556</v>
      </c>
      <c r="L420" s="1">
        <v>2.94</v>
      </c>
      <c r="M420" s="1">
        <v>953.34</v>
      </c>
      <c r="N420" s="1">
        <v>953.0</v>
      </c>
      <c r="O420" s="1">
        <v>79099.0</v>
      </c>
    </row>
    <row r="421">
      <c r="A421" s="1" t="s">
        <v>994</v>
      </c>
      <c r="B421" s="1" t="s">
        <v>66</v>
      </c>
      <c r="C421" s="1">
        <v>614.073</v>
      </c>
      <c r="D421" s="1" t="s">
        <v>17</v>
      </c>
      <c r="E421" s="1" t="s">
        <v>37</v>
      </c>
      <c r="F421" s="1">
        <v>19.8</v>
      </c>
      <c r="G421" s="1">
        <v>65.78</v>
      </c>
      <c r="H421" s="1">
        <v>2.0383355094E10</v>
      </c>
      <c r="I421" s="1">
        <v>2.2444401768E10</v>
      </c>
      <c r="J421" s="1" t="s">
        <v>995</v>
      </c>
      <c r="K421" s="1" t="s">
        <v>996</v>
      </c>
      <c r="L421" s="1">
        <v>1.98</v>
      </c>
      <c r="M421" s="1">
        <v>1215.86</v>
      </c>
      <c r="N421" s="1">
        <v>1216.0</v>
      </c>
      <c r="O421" s="1">
        <v>100928.0</v>
      </c>
    </row>
    <row r="422">
      <c r="A422" s="1" t="s">
        <v>997</v>
      </c>
      <c r="B422" s="1" t="s">
        <v>83</v>
      </c>
      <c r="C422" s="1">
        <v>807.3648</v>
      </c>
      <c r="D422" s="1" t="s">
        <v>21</v>
      </c>
      <c r="E422" s="1" t="s">
        <v>54</v>
      </c>
      <c r="F422" s="1">
        <v>76.75</v>
      </c>
      <c r="G422" s="1">
        <v>96.32</v>
      </c>
      <c r="H422" s="1">
        <v>7.7535591565E10</v>
      </c>
      <c r="I422" s="1">
        <v>7.7780082072E10</v>
      </c>
      <c r="J422" s="2">
        <v>45512.02569444444</v>
      </c>
      <c r="K422" s="2">
        <v>45604.89722222222</v>
      </c>
      <c r="L422" s="1">
        <v>7.14</v>
      </c>
      <c r="M422" s="1">
        <v>5764.58</v>
      </c>
      <c r="N422" s="1">
        <v>5765.0</v>
      </c>
      <c r="O422" s="1">
        <v>478495.0</v>
      </c>
    </row>
    <row r="423">
      <c r="A423" s="1" t="s">
        <v>998</v>
      </c>
      <c r="B423" s="1" t="s">
        <v>79</v>
      </c>
      <c r="C423" s="1">
        <v>16.8857</v>
      </c>
      <c r="D423" s="1" t="s">
        <v>21</v>
      </c>
      <c r="E423" s="1" t="s">
        <v>58</v>
      </c>
      <c r="F423" s="1">
        <v>46.66</v>
      </c>
      <c r="G423" s="1">
        <v>62.41</v>
      </c>
      <c r="H423" s="1">
        <v>5.8620649414E10</v>
      </c>
      <c r="I423" s="1">
        <v>6.0728572134E10</v>
      </c>
      <c r="J423" s="1" t="s">
        <v>999</v>
      </c>
      <c r="K423" s="2">
        <v>45330.07638888889</v>
      </c>
      <c r="L423" s="1">
        <v>1.26</v>
      </c>
      <c r="M423" s="1">
        <v>21.28</v>
      </c>
      <c r="N423" s="1">
        <v>21.0</v>
      </c>
      <c r="O423" s="1">
        <v>1743.0</v>
      </c>
    </row>
    <row r="424">
      <c r="A424" s="1" t="s">
        <v>1000</v>
      </c>
      <c r="B424" s="1" t="s">
        <v>83</v>
      </c>
      <c r="C424" s="1">
        <v>407.0216</v>
      </c>
      <c r="D424" s="1" t="s">
        <v>21</v>
      </c>
      <c r="E424" s="1" t="s">
        <v>58</v>
      </c>
      <c r="F424" s="1">
        <v>45.75</v>
      </c>
      <c r="G424" s="1">
        <v>59.94</v>
      </c>
      <c r="H424" s="1">
        <v>5.443310677E10</v>
      </c>
      <c r="I424" s="1">
        <v>6.3658957107E10</v>
      </c>
      <c r="J424" s="1" t="s">
        <v>1001</v>
      </c>
      <c r="K424" s="2">
        <v>45330.1375</v>
      </c>
      <c r="L424" s="1">
        <v>6.88</v>
      </c>
      <c r="M424" s="1">
        <v>2800.31</v>
      </c>
      <c r="N424" s="1">
        <v>2800.0</v>
      </c>
      <c r="O424" s="1">
        <v>232400.0</v>
      </c>
    </row>
    <row r="425">
      <c r="A425" s="1" t="s">
        <v>1002</v>
      </c>
      <c r="B425" s="1" t="s">
        <v>122</v>
      </c>
      <c r="C425" s="1">
        <v>953.947</v>
      </c>
      <c r="D425" s="1" t="s">
        <v>17</v>
      </c>
      <c r="E425" s="1" t="s">
        <v>105</v>
      </c>
      <c r="F425" s="1">
        <v>84.53</v>
      </c>
      <c r="G425" s="1">
        <v>96.7</v>
      </c>
      <c r="H425" s="1">
        <v>2.5150370134E10</v>
      </c>
      <c r="I425" s="1">
        <v>2.6991644659E10</v>
      </c>
      <c r="J425" s="1" t="s">
        <v>1003</v>
      </c>
      <c r="K425" s="1" t="s">
        <v>1004</v>
      </c>
      <c r="L425" s="1">
        <v>1.8</v>
      </c>
      <c r="M425" s="1">
        <v>1717.1</v>
      </c>
      <c r="N425" s="1">
        <v>1717.0</v>
      </c>
      <c r="O425" s="1">
        <v>142511.0</v>
      </c>
    </row>
    <row r="426">
      <c r="A426" s="1" t="s">
        <v>1005</v>
      </c>
      <c r="B426" s="1" t="s">
        <v>46</v>
      </c>
      <c r="C426" s="1">
        <v>765.118</v>
      </c>
      <c r="D426" s="1" t="s">
        <v>21</v>
      </c>
      <c r="E426" s="1" t="s">
        <v>37</v>
      </c>
      <c r="F426" s="1">
        <v>77.63</v>
      </c>
      <c r="G426" s="1">
        <v>99.01</v>
      </c>
      <c r="H426" s="1">
        <v>6.0151911059E10</v>
      </c>
      <c r="I426" s="1">
        <v>6.3678591085E10</v>
      </c>
      <c r="J426" s="2">
        <v>45480.572222222225</v>
      </c>
      <c r="K426" s="2">
        <v>45633.52291666667</v>
      </c>
      <c r="L426" s="1">
        <v>4.05</v>
      </c>
      <c r="M426" s="1">
        <v>3098.73</v>
      </c>
      <c r="N426" s="1">
        <v>3099.0</v>
      </c>
      <c r="O426" s="1">
        <v>257217.0</v>
      </c>
    </row>
    <row r="427">
      <c r="A427" s="1" t="s">
        <v>1006</v>
      </c>
      <c r="B427" s="1" t="s">
        <v>112</v>
      </c>
      <c r="C427" s="1">
        <v>67.65</v>
      </c>
      <c r="D427" s="1" t="s">
        <v>42</v>
      </c>
      <c r="E427" s="1" t="s">
        <v>70</v>
      </c>
      <c r="F427" s="1">
        <v>11.6</v>
      </c>
      <c r="G427" s="1">
        <v>26.83</v>
      </c>
      <c r="H427" s="1">
        <v>5.4241583252E10</v>
      </c>
      <c r="I427" s="1">
        <v>5.9300414025E10</v>
      </c>
      <c r="J427" s="2">
        <v>45511.07013888889</v>
      </c>
      <c r="K427" s="2">
        <v>45572.88888888889</v>
      </c>
      <c r="L427" s="1">
        <v>9.46</v>
      </c>
      <c r="M427" s="1">
        <v>639.97</v>
      </c>
      <c r="N427" s="1">
        <v>640.0</v>
      </c>
      <c r="O427" s="1">
        <v>53120.0</v>
      </c>
    </row>
    <row r="428">
      <c r="A428" s="1" t="s">
        <v>1007</v>
      </c>
      <c r="B428" s="1" t="s">
        <v>60</v>
      </c>
      <c r="C428" s="1">
        <v>112.4167</v>
      </c>
      <c r="D428" s="1" t="s">
        <v>42</v>
      </c>
      <c r="E428" s="1" t="s">
        <v>105</v>
      </c>
      <c r="F428" s="1">
        <v>2.99</v>
      </c>
      <c r="G428" s="1">
        <v>45.28</v>
      </c>
      <c r="H428" s="1">
        <v>2.7372833458E10</v>
      </c>
      <c r="I428" s="1">
        <v>3.4999187336E10</v>
      </c>
      <c r="J428" s="1" t="s">
        <v>1008</v>
      </c>
      <c r="K428" s="1" t="s">
        <v>1009</v>
      </c>
      <c r="L428" s="1">
        <v>5.07</v>
      </c>
      <c r="M428" s="1">
        <v>569.95</v>
      </c>
      <c r="N428" s="1">
        <v>570.0</v>
      </c>
      <c r="O428" s="1">
        <v>47310.0</v>
      </c>
    </row>
    <row r="429">
      <c r="A429" s="1" t="s">
        <v>1010</v>
      </c>
      <c r="B429" s="1" t="s">
        <v>60</v>
      </c>
      <c r="C429" s="1">
        <v>134.2333</v>
      </c>
      <c r="D429" s="1" t="s">
        <v>42</v>
      </c>
      <c r="E429" s="1" t="s">
        <v>70</v>
      </c>
      <c r="F429" s="1">
        <v>64.78</v>
      </c>
      <c r="G429" s="1">
        <v>85.55</v>
      </c>
      <c r="H429" s="1">
        <v>8.6766791508E10</v>
      </c>
      <c r="I429" s="1">
        <v>9.0442562221E10</v>
      </c>
      <c r="J429" s="2">
        <v>45298.71041666667</v>
      </c>
      <c r="K429" s="2">
        <v>45480.30347222222</v>
      </c>
      <c r="L429" s="1">
        <v>4.61</v>
      </c>
      <c r="M429" s="1">
        <v>618.82</v>
      </c>
      <c r="N429" s="1">
        <v>619.0</v>
      </c>
      <c r="O429" s="1">
        <v>51377.0</v>
      </c>
    </row>
    <row r="430">
      <c r="A430" s="1" t="s">
        <v>1011</v>
      </c>
      <c r="B430" s="1" t="s">
        <v>139</v>
      </c>
      <c r="C430" s="1">
        <v>26.9667</v>
      </c>
      <c r="D430" s="1" t="s">
        <v>42</v>
      </c>
      <c r="E430" s="1" t="s">
        <v>22</v>
      </c>
      <c r="F430" s="1">
        <v>52.87</v>
      </c>
      <c r="G430" s="1">
        <v>12.57</v>
      </c>
      <c r="H430" s="1">
        <v>3.2172473599E10</v>
      </c>
      <c r="I430" s="1">
        <v>3.6455010138E10</v>
      </c>
      <c r="J430" s="2">
        <v>45390.45208333333</v>
      </c>
      <c r="K430" s="2">
        <v>45420.575694444444</v>
      </c>
      <c r="L430" s="1">
        <v>5.68</v>
      </c>
      <c r="M430" s="1">
        <v>153.17</v>
      </c>
      <c r="N430" s="1">
        <v>153.0</v>
      </c>
      <c r="O430" s="1">
        <v>12699.0</v>
      </c>
    </row>
    <row r="431">
      <c r="A431" s="1" t="s">
        <v>1012</v>
      </c>
      <c r="B431" s="1" t="s">
        <v>62</v>
      </c>
      <c r="C431" s="1">
        <v>91.8667</v>
      </c>
      <c r="D431" s="1" t="s">
        <v>42</v>
      </c>
      <c r="E431" s="1" t="s">
        <v>70</v>
      </c>
      <c r="F431" s="1">
        <v>71.61</v>
      </c>
      <c r="G431" s="1">
        <v>22.98</v>
      </c>
      <c r="H431" s="1">
        <v>6.8957858292E10</v>
      </c>
      <c r="I431" s="1">
        <v>7.2151157511E10</v>
      </c>
      <c r="J431" s="2">
        <v>45358.99791666667</v>
      </c>
      <c r="K431" s="2">
        <v>45480.825694444444</v>
      </c>
      <c r="L431" s="1">
        <v>8.18</v>
      </c>
      <c r="M431" s="1">
        <v>751.47</v>
      </c>
      <c r="N431" s="1">
        <v>751.0</v>
      </c>
      <c r="O431" s="1">
        <v>62333.0</v>
      </c>
    </row>
    <row r="432">
      <c r="A432" s="1" t="s">
        <v>1013</v>
      </c>
      <c r="B432" s="1" t="s">
        <v>62</v>
      </c>
      <c r="C432" s="1">
        <v>92.7</v>
      </c>
      <c r="D432" s="1" t="s">
        <v>42</v>
      </c>
      <c r="E432" s="1" t="s">
        <v>70</v>
      </c>
      <c r="F432" s="1">
        <v>89.11</v>
      </c>
      <c r="G432" s="1">
        <v>63.51</v>
      </c>
      <c r="H432" s="1">
        <v>7.4236760939E10</v>
      </c>
      <c r="I432" s="1">
        <v>8.0802624246E10</v>
      </c>
      <c r="J432" s="1" t="s">
        <v>1014</v>
      </c>
      <c r="K432" s="2">
        <v>45359.330555555556</v>
      </c>
      <c r="L432" s="1">
        <v>7.64</v>
      </c>
      <c r="M432" s="1">
        <v>708.23</v>
      </c>
      <c r="N432" s="1">
        <v>708.0</v>
      </c>
      <c r="O432" s="1">
        <v>58764.0</v>
      </c>
    </row>
    <row r="433">
      <c r="A433" s="1" t="s">
        <v>1015</v>
      </c>
      <c r="B433" s="1" t="s">
        <v>166</v>
      </c>
      <c r="C433" s="1">
        <v>527.927</v>
      </c>
      <c r="D433" s="1" t="s">
        <v>21</v>
      </c>
      <c r="E433" s="1" t="s">
        <v>105</v>
      </c>
      <c r="F433" s="1">
        <v>3.09</v>
      </c>
      <c r="G433" s="1">
        <v>72.71</v>
      </c>
      <c r="H433" s="1">
        <v>3.7778937466E10</v>
      </c>
      <c r="I433" s="1">
        <v>4.6123023685E10</v>
      </c>
      <c r="J433" s="2">
        <v>45359.040972222225</v>
      </c>
      <c r="K433" s="2">
        <v>45512.75277777778</v>
      </c>
      <c r="L433" s="1">
        <v>2.43</v>
      </c>
      <c r="M433" s="1">
        <v>1282.86</v>
      </c>
      <c r="N433" s="1">
        <v>1283.0</v>
      </c>
      <c r="O433" s="1">
        <v>106489.0</v>
      </c>
    </row>
    <row r="434">
      <c r="A434" s="1" t="s">
        <v>1016</v>
      </c>
      <c r="B434" s="1" t="s">
        <v>122</v>
      </c>
      <c r="C434" s="1">
        <v>661.2917</v>
      </c>
      <c r="D434" s="1" t="s">
        <v>17</v>
      </c>
      <c r="E434" s="1" t="s">
        <v>32</v>
      </c>
      <c r="F434" s="1">
        <v>24.84</v>
      </c>
      <c r="G434" s="1">
        <v>34.47</v>
      </c>
      <c r="H434" s="1">
        <v>9.1385878855E10</v>
      </c>
      <c r="I434" s="1">
        <v>9.4431571544E10</v>
      </c>
      <c r="J434" s="2">
        <v>45359.25069444445</v>
      </c>
      <c r="K434" s="2">
        <v>45543.07152777778</v>
      </c>
      <c r="L434" s="1">
        <v>6.55</v>
      </c>
      <c r="M434" s="1">
        <v>4331.46</v>
      </c>
      <c r="N434" s="1">
        <v>4331.0</v>
      </c>
      <c r="O434" s="1">
        <v>359473.0</v>
      </c>
    </row>
    <row r="435">
      <c r="A435" s="1" t="s">
        <v>1017</v>
      </c>
      <c r="B435" s="1" t="s">
        <v>26</v>
      </c>
      <c r="C435" s="1">
        <v>553.5392</v>
      </c>
      <c r="D435" s="1" t="s">
        <v>17</v>
      </c>
      <c r="E435" s="1" t="s">
        <v>18</v>
      </c>
      <c r="F435" s="1">
        <v>17.41</v>
      </c>
      <c r="G435" s="1">
        <v>99.05</v>
      </c>
      <c r="H435" s="1">
        <v>8.8206941777E10</v>
      </c>
      <c r="I435" s="1">
        <v>8.9059310119E10</v>
      </c>
      <c r="J435" s="2">
        <v>45634.90416666667</v>
      </c>
      <c r="K435" s="1" t="s">
        <v>1018</v>
      </c>
      <c r="L435" s="1">
        <v>6.59</v>
      </c>
      <c r="M435" s="1">
        <v>3647.82</v>
      </c>
      <c r="N435" s="1">
        <v>3648.0</v>
      </c>
      <c r="O435" s="1">
        <v>302784.0</v>
      </c>
    </row>
    <row r="436">
      <c r="A436" s="1" t="s">
        <v>1019</v>
      </c>
      <c r="B436" s="1" t="s">
        <v>147</v>
      </c>
      <c r="C436" s="1">
        <v>103.15</v>
      </c>
      <c r="D436" s="1" t="s">
        <v>42</v>
      </c>
      <c r="E436" s="1" t="s">
        <v>22</v>
      </c>
      <c r="F436" s="1">
        <v>33.3</v>
      </c>
      <c r="G436" s="1">
        <v>50.82</v>
      </c>
      <c r="H436" s="1">
        <v>1.3312165667E10</v>
      </c>
      <c r="I436" s="1">
        <v>2.0689261384E10</v>
      </c>
      <c r="J436" s="2">
        <v>45573.46319444444</v>
      </c>
      <c r="K436" s="1" t="s">
        <v>1020</v>
      </c>
      <c r="L436" s="1">
        <v>8.53</v>
      </c>
      <c r="M436" s="1">
        <v>879.87</v>
      </c>
      <c r="N436" s="1">
        <v>880.0</v>
      </c>
      <c r="O436" s="1">
        <v>73040.0</v>
      </c>
    </row>
    <row r="437">
      <c r="A437" s="1" t="s">
        <v>1021</v>
      </c>
      <c r="B437" s="1" t="s">
        <v>83</v>
      </c>
      <c r="C437" s="1">
        <v>175.9606</v>
      </c>
      <c r="D437" s="1" t="s">
        <v>17</v>
      </c>
      <c r="E437" s="1" t="s">
        <v>54</v>
      </c>
      <c r="F437" s="1">
        <v>90.66</v>
      </c>
      <c r="G437" s="1">
        <v>58.44</v>
      </c>
      <c r="H437" s="1">
        <v>4.706562452E10</v>
      </c>
      <c r="I437" s="1">
        <v>4.7532415414E10</v>
      </c>
      <c r="J437" s="2">
        <v>45299.44097222222</v>
      </c>
      <c r="K437" s="2">
        <v>45451.56597222222</v>
      </c>
      <c r="L437" s="1">
        <v>2.38</v>
      </c>
      <c r="M437" s="1">
        <v>418.79</v>
      </c>
      <c r="N437" s="1">
        <v>419.0</v>
      </c>
      <c r="O437" s="1">
        <v>34777.0</v>
      </c>
    </row>
    <row r="438">
      <c r="A438" s="1" t="s">
        <v>1022</v>
      </c>
      <c r="B438" s="1" t="s">
        <v>83</v>
      </c>
      <c r="C438" s="1">
        <v>765.7001</v>
      </c>
      <c r="D438" s="1" t="s">
        <v>17</v>
      </c>
      <c r="E438" s="1" t="s">
        <v>70</v>
      </c>
      <c r="F438" s="1">
        <v>94.51</v>
      </c>
      <c r="G438" s="1">
        <v>36.74</v>
      </c>
      <c r="H438" s="1">
        <v>8.522565438E9</v>
      </c>
      <c r="I438" s="1">
        <v>9.691206489E9</v>
      </c>
      <c r="J438" s="2">
        <v>45604.28888888889</v>
      </c>
      <c r="K438" s="1" t="s">
        <v>1023</v>
      </c>
      <c r="L438" s="1">
        <v>7.5</v>
      </c>
      <c r="M438" s="1">
        <v>5742.75</v>
      </c>
      <c r="N438" s="1">
        <v>5743.0</v>
      </c>
      <c r="O438" s="1">
        <v>476669.0</v>
      </c>
    </row>
    <row r="439">
      <c r="A439" s="1" t="s">
        <v>1024</v>
      </c>
      <c r="B439" s="1" t="s">
        <v>66</v>
      </c>
      <c r="C439" s="1">
        <v>526.0473</v>
      </c>
      <c r="D439" s="1" t="s">
        <v>17</v>
      </c>
      <c r="E439" s="1" t="s">
        <v>123</v>
      </c>
      <c r="F439" s="1">
        <v>85.96</v>
      </c>
      <c r="G439" s="1">
        <v>27.08</v>
      </c>
      <c r="H439" s="1">
        <v>2.1758984558E10</v>
      </c>
      <c r="I439" s="1">
        <v>2.200796752E10</v>
      </c>
      <c r="J439" s="2">
        <v>45634.47361111111</v>
      </c>
      <c r="K439" s="1" t="s">
        <v>1025</v>
      </c>
      <c r="L439" s="1">
        <v>8.41</v>
      </c>
      <c r="M439" s="1">
        <v>4424.06</v>
      </c>
      <c r="N439" s="1">
        <v>4424.0</v>
      </c>
      <c r="O439" s="1">
        <v>367192.0</v>
      </c>
    </row>
    <row r="440">
      <c r="A440" s="1" t="s">
        <v>1026</v>
      </c>
      <c r="B440" s="1" t="s">
        <v>53</v>
      </c>
      <c r="C440" s="1">
        <v>749.8458</v>
      </c>
      <c r="D440" s="1" t="s">
        <v>21</v>
      </c>
      <c r="E440" s="1" t="s">
        <v>32</v>
      </c>
      <c r="F440" s="1">
        <v>37.77</v>
      </c>
      <c r="G440" s="1">
        <v>12.91</v>
      </c>
      <c r="H440" s="1">
        <v>5.1132749322E10</v>
      </c>
      <c r="I440" s="1">
        <v>5.9370257849E10</v>
      </c>
      <c r="J440" s="2">
        <v>45450.825694444444</v>
      </c>
      <c r="K440" s="2">
        <v>45542.925</v>
      </c>
      <c r="L440" s="1">
        <v>5.91</v>
      </c>
      <c r="M440" s="1">
        <v>4431.59</v>
      </c>
      <c r="N440" s="1">
        <v>4432.0</v>
      </c>
      <c r="O440" s="1">
        <v>367856.0</v>
      </c>
    </row>
    <row r="441">
      <c r="A441" s="1" t="s">
        <v>1027</v>
      </c>
      <c r="B441" s="1" t="s">
        <v>41</v>
      </c>
      <c r="C441" s="1">
        <v>109.8833</v>
      </c>
      <c r="D441" s="1" t="s">
        <v>42</v>
      </c>
      <c r="E441" s="1" t="s">
        <v>18</v>
      </c>
      <c r="F441" s="1">
        <v>56.67</v>
      </c>
      <c r="G441" s="1">
        <v>18.24</v>
      </c>
      <c r="H441" s="1">
        <v>3.4795591732E10</v>
      </c>
      <c r="I441" s="1">
        <v>3.5121822183E10</v>
      </c>
      <c r="J441" s="1" t="s">
        <v>1028</v>
      </c>
      <c r="K441" s="1" t="s">
        <v>1029</v>
      </c>
      <c r="L441" s="1">
        <v>6.47</v>
      </c>
      <c r="M441" s="1">
        <v>710.94</v>
      </c>
      <c r="N441" s="1">
        <v>711.0</v>
      </c>
      <c r="O441" s="1">
        <v>59013.0</v>
      </c>
    </row>
    <row r="442">
      <c r="A442" s="1" t="s">
        <v>1030</v>
      </c>
      <c r="B442" s="1" t="s">
        <v>20</v>
      </c>
      <c r="C442" s="1">
        <v>450.7195</v>
      </c>
      <c r="D442" s="1" t="s">
        <v>21</v>
      </c>
      <c r="E442" s="1" t="s">
        <v>22</v>
      </c>
      <c r="F442" s="1">
        <v>71.14</v>
      </c>
      <c r="G442" s="1">
        <v>15.17</v>
      </c>
      <c r="H442" s="1">
        <v>6.676186418E10</v>
      </c>
      <c r="I442" s="1">
        <v>7.1076500379E10</v>
      </c>
      <c r="J442" s="1" t="s">
        <v>1031</v>
      </c>
      <c r="K442" s="1" t="s">
        <v>1032</v>
      </c>
      <c r="L442" s="1">
        <v>1.14</v>
      </c>
      <c r="M442" s="1">
        <v>513.82</v>
      </c>
      <c r="N442" s="1">
        <v>514.0</v>
      </c>
      <c r="O442" s="1">
        <v>42662.0</v>
      </c>
    </row>
    <row r="443">
      <c r="A443" s="1" t="s">
        <v>1033</v>
      </c>
      <c r="B443" s="1" t="s">
        <v>147</v>
      </c>
      <c r="C443" s="1">
        <v>132.7167</v>
      </c>
      <c r="D443" s="1" t="s">
        <v>42</v>
      </c>
      <c r="E443" s="1" t="s">
        <v>123</v>
      </c>
      <c r="F443" s="1">
        <v>12.98</v>
      </c>
      <c r="G443" s="1">
        <v>59.81</v>
      </c>
      <c r="H443" s="1">
        <v>6.5154191816E10</v>
      </c>
      <c r="I443" s="1">
        <v>7.1604577471E10</v>
      </c>
      <c r="J443" s="1" t="s">
        <v>1034</v>
      </c>
      <c r="K443" s="1" t="s">
        <v>1035</v>
      </c>
      <c r="L443" s="1">
        <v>6.65</v>
      </c>
      <c r="M443" s="1">
        <v>882.57</v>
      </c>
      <c r="N443" s="1">
        <v>883.0</v>
      </c>
      <c r="O443" s="1">
        <v>73289.0</v>
      </c>
    </row>
    <row r="444">
      <c r="A444" s="1" t="s">
        <v>1036</v>
      </c>
      <c r="B444" s="1" t="s">
        <v>66</v>
      </c>
      <c r="C444" s="1">
        <v>906.4412</v>
      </c>
      <c r="D444" s="1" t="s">
        <v>21</v>
      </c>
      <c r="E444" s="1" t="s">
        <v>22</v>
      </c>
      <c r="F444" s="1">
        <v>91.43</v>
      </c>
      <c r="G444" s="1">
        <v>25.67</v>
      </c>
      <c r="H444" s="1">
        <v>7.879345431E10</v>
      </c>
      <c r="I444" s="1">
        <v>8.4831401209E10</v>
      </c>
      <c r="J444" s="1" t="s">
        <v>1037</v>
      </c>
      <c r="K444" s="1" t="s">
        <v>1038</v>
      </c>
      <c r="L444" s="1">
        <v>1.11</v>
      </c>
      <c r="M444" s="1">
        <v>1006.15</v>
      </c>
      <c r="N444" s="1">
        <v>1006.0</v>
      </c>
      <c r="O444" s="1">
        <v>83498.0</v>
      </c>
    </row>
    <row r="445">
      <c r="A445" s="1" t="s">
        <v>1039</v>
      </c>
      <c r="B445" s="1" t="s">
        <v>112</v>
      </c>
      <c r="C445" s="1">
        <v>138.45</v>
      </c>
      <c r="D445" s="1" t="s">
        <v>42</v>
      </c>
      <c r="E445" s="1" t="s">
        <v>105</v>
      </c>
      <c r="F445" s="1">
        <v>1.0</v>
      </c>
      <c r="G445" s="1">
        <v>52.13</v>
      </c>
      <c r="H445" s="1">
        <v>8.497823584E9</v>
      </c>
      <c r="I445" s="1">
        <v>1.2491610322E10</v>
      </c>
      <c r="J445" s="2">
        <v>45330.38263888889</v>
      </c>
      <c r="K445" s="2">
        <v>45512.15138888889</v>
      </c>
      <c r="L445" s="1">
        <v>6.43</v>
      </c>
      <c r="M445" s="1">
        <v>890.23</v>
      </c>
      <c r="N445" s="1">
        <v>890.0</v>
      </c>
      <c r="O445" s="1">
        <v>73870.0</v>
      </c>
    </row>
    <row r="446">
      <c r="A446" s="1" t="s">
        <v>1040</v>
      </c>
      <c r="B446" s="1" t="s">
        <v>26</v>
      </c>
      <c r="C446" s="1">
        <v>994.506</v>
      </c>
      <c r="D446" s="1" t="s">
        <v>17</v>
      </c>
      <c r="E446" s="1" t="s">
        <v>105</v>
      </c>
      <c r="F446" s="1">
        <v>10.4</v>
      </c>
      <c r="G446" s="1">
        <v>68.25</v>
      </c>
      <c r="H446" s="1">
        <v>5.2643788421E10</v>
      </c>
      <c r="I446" s="1">
        <v>5.3796037302E10</v>
      </c>
      <c r="J446" s="2">
        <v>45358.52013888889</v>
      </c>
      <c r="K446" s="2">
        <v>45480.15416666667</v>
      </c>
      <c r="L446" s="1">
        <v>7.54</v>
      </c>
      <c r="M446" s="1">
        <v>7498.58</v>
      </c>
      <c r="N446" s="1">
        <v>7499.0</v>
      </c>
      <c r="O446" s="1">
        <v>622417.0</v>
      </c>
    </row>
    <row r="447">
      <c r="A447" s="1" t="s">
        <v>1041</v>
      </c>
      <c r="B447" s="1" t="s">
        <v>16</v>
      </c>
      <c r="C447" s="1">
        <v>79.2424</v>
      </c>
      <c r="D447" s="1" t="s">
        <v>21</v>
      </c>
      <c r="E447" s="1" t="s">
        <v>32</v>
      </c>
      <c r="F447" s="1">
        <v>75.84</v>
      </c>
      <c r="G447" s="1">
        <v>48.46</v>
      </c>
      <c r="H447" s="1">
        <v>9.4036329618E10</v>
      </c>
      <c r="I447" s="1">
        <v>9.8895434764E10</v>
      </c>
      <c r="J447" s="2">
        <v>45358.15694444445</v>
      </c>
      <c r="K447" s="2">
        <v>45511.66180555556</v>
      </c>
      <c r="L447" s="1">
        <v>8.07</v>
      </c>
      <c r="M447" s="1">
        <v>639.49</v>
      </c>
      <c r="N447" s="1">
        <v>639.0</v>
      </c>
      <c r="O447" s="1">
        <v>53037.0</v>
      </c>
    </row>
    <row r="448">
      <c r="A448" s="1" t="s">
        <v>1042</v>
      </c>
      <c r="B448" s="1" t="s">
        <v>20</v>
      </c>
      <c r="C448" s="1">
        <v>569.517</v>
      </c>
      <c r="D448" s="1" t="s">
        <v>21</v>
      </c>
      <c r="E448" s="1" t="s">
        <v>37</v>
      </c>
      <c r="F448" s="1">
        <v>47.53</v>
      </c>
      <c r="G448" s="1">
        <v>47.88</v>
      </c>
      <c r="H448" s="1">
        <v>6.831903833E10</v>
      </c>
      <c r="I448" s="1">
        <v>7.7502869111E10</v>
      </c>
      <c r="J448" s="2">
        <v>45451.77777777778</v>
      </c>
      <c r="K448" s="2">
        <v>45512.688888888886</v>
      </c>
      <c r="L448" s="1">
        <v>1.67</v>
      </c>
      <c r="M448" s="1">
        <v>951.09</v>
      </c>
      <c r="N448" s="1">
        <v>951.0</v>
      </c>
      <c r="O448" s="1">
        <v>78933.0</v>
      </c>
    </row>
    <row r="449">
      <c r="A449" s="1" t="s">
        <v>1043</v>
      </c>
      <c r="B449" s="1" t="s">
        <v>79</v>
      </c>
      <c r="C449" s="1">
        <v>364.2323</v>
      </c>
      <c r="D449" s="1" t="s">
        <v>21</v>
      </c>
      <c r="E449" s="1" t="s">
        <v>155</v>
      </c>
      <c r="F449" s="1">
        <v>58.32</v>
      </c>
      <c r="G449" s="1">
        <v>34.34</v>
      </c>
      <c r="H449" s="1">
        <v>6.9480115831E10</v>
      </c>
      <c r="I449" s="1">
        <v>7.4023232018E10</v>
      </c>
      <c r="J449" s="2">
        <v>45419.56041666667</v>
      </c>
      <c r="K449" s="2">
        <v>45542.43402777778</v>
      </c>
      <c r="L449" s="1">
        <v>4.75</v>
      </c>
      <c r="M449" s="1">
        <v>1730.1</v>
      </c>
      <c r="N449" s="1">
        <v>1730.0</v>
      </c>
      <c r="O449" s="1">
        <v>143590.0</v>
      </c>
    </row>
    <row r="450">
      <c r="A450" s="1" t="s">
        <v>1044</v>
      </c>
      <c r="B450" s="1" t="s">
        <v>57</v>
      </c>
      <c r="C450" s="1">
        <v>273.6464</v>
      </c>
      <c r="D450" s="1" t="s">
        <v>21</v>
      </c>
      <c r="E450" s="1" t="s">
        <v>22</v>
      </c>
      <c r="F450" s="1">
        <v>34.12</v>
      </c>
      <c r="G450" s="1">
        <v>17.38</v>
      </c>
      <c r="H450" s="1">
        <v>5.2173189329E10</v>
      </c>
      <c r="I450" s="1">
        <v>6.1683620439E10</v>
      </c>
      <c r="J450" s="1" t="s">
        <v>1045</v>
      </c>
      <c r="K450" s="1" t="s">
        <v>1046</v>
      </c>
      <c r="L450" s="1">
        <v>4.36</v>
      </c>
      <c r="M450" s="1">
        <v>1193.1</v>
      </c>
      <c r="N450" s="1">
        <v>1193.0</v>
      </c>
      <c r="O450" s="1">
        <v>99019.0</v>
      </c>
    </row>
    <row r="451">
      <c r="A451" s="1" t="s">
        <v>1047</v>
      </c>
      <c r="B451" s="1" t="s">
        <v>53</v>
      </c>
      <c r="C451" s="1">
        <v>845.0349</v>
      </c>
      <c r="D451" s="1" t="s">
        <v>21</v>
      </c>
      <c r="E451" s="1" t="s">
        <v>74</v>
      </c>
      <c r="F451" s="1">
        <v>65.25</v>
      </c>
      <c r="G451" s="1">
        <v>76.26</v>
      </c>
      <c r="H451" s="1">
        <v>7.5758823867E10</v>
      </c>
      <c r="I451" s="1">
        <v>8.237489921E10</v>
      </c>
      <c r="J451" s="1" t="s">
        <v>1048</v>
      </c>
      <c r="K451" s="1" t="s">
        <v>1049</v>
      </c>
      <c r="L451" s="1">
        <v>4.37</v>
      </c>
      <c r="M451" s="1">
        <v>3692.8</v>
      </c>
      <c r="N451" s="1">
        <v>3693.0</v>
      </c>
      <c r="O451" s="1">
        <v>306519.0</v>
      </c>
    </row>
    <row r="452">
      <c r="A452" s="1" t="s">
        <v>1050</v>
      </c>
      <c r="B452" s="1" t="s">
        <v>128</v>
      </c>
      <c r="C452" s="1">
        <v>369.9806</v>
      </c>
      <c r="D452" s="1" t="s">
        <v>21</v>
      </c>
      <c r="E452" s="1" t="s">
        <v>22</v>
      </c>
      <c r="F452" s="1">
        <v>60.36</v>
      </c>
      <c r="G452" s="1">
        <v>66.74</v>
      </c>
      <c r="H452" s="1">
        <v>3.76350396E10</v>
      </c>
      <c r="I452" s="1">
        <v>3.8102762007E10</v>
      </c>
      <c r="J452" s="2">
        <v>45298.11666666667</v>
      </c>
      <c r="K452" s="2">
        <v>45419.17361111111</v>
      </c>
      <c r="L452" s="1">
        <v>5.75</v>
      </c>
      <c r="M452" s="1">
        <v>2127.39</v>
      </c>
      <c r="N452" s="1">
        <v>2127.0</v>
      </c>
      <c r="O452" s="1">
        <v>176541.0</v>
      </c>
    </row>
    <row r="453">
      <c r="A453" s="1" t="s">
        <v>1051</v>
      </c>
      <c r="B453" s="1" t="s">
        <v>273</v>
      </c>
      <c r="C453" s="1">
        <v>805.6513</v>
      </c>
      <c r="D453" s="1" t="s">
        <v>17</v>
      </c>
      <c r="E453" s="1" t="s">
        <v>27</v>
      </c>
      <c r="F453" s="1">
        <v>53.72</v>
      </c>
      <c r="G453" s="1">
        <v>31.97</v>
      </c>
      <c r="H453" s="1">
        <v>5.1944180329E10</v>
      </c>
      <c r="I453" s="1">
        <v>5.8006946262E10</v>
      </c>
      <c r="J453" s="2">
        <v>45298.64722222222</v>
      </c>
      <c r="K453" s="2">
        <v>45358.529861111114</v>
      </c>
      <c r="L453" s="1">
        <v>6.4</v>
      </c>
      <c r="M453" s="1">
        <v>5156.17</v>
      </c>
      <c r="N453" s="1">
        <v>5156.0</v>
      </c>
      <c r="O453" s="1">
        <v>427948.0</v>
      </c>
    </row>
    <row r="454">
      <c r="A454" s="1" t="s">
        <v>1052</v>
      </c>
      <c r="B454" s="1" t="s">
        <v>41</v>
      </c>
      <c r="C454" s="1">
        <v>128.9667</v>
      </c>
      <c r="D454" s="1" t="s">
        <v>42</v>
      </c>
      <c r="E454" s="1" t="s">
        <v>22</v>
      </c>
      <c r="F454" s="1">
        <v>59.04</v>
      </c>
      <c r="G454" s="1">
        <v>8.79</v>
      </c>
      <c r="H454" s="1">
        <v>7.8397568587E10</v>
      </c>
      <c r="I454" s="1">
        <v>8.6790014321E10</v>
      </c>
      <c r="J454" s="1" t="s">
        <v>1053</v>
      </c>
      <c r="K454" s="1" t="s">
        <v>1054</v>
      </c>
      <c r="L454" s="1">
        <v>3.44</v>
      </c>
      <c r="M454" s="1">
        <v>443.65</v>
      </c>
      <c r="N454" s="1">
        <v>444.0</v>
      </c>
      <c r="O454" s="1">
        <v>36852.0</v>
      </c>
    </row>
    <row r="455">
      <c r="A455" s="1" t="s">
        <v>1055</v>
      </c>
      <c r="B455" s="1" t="s">
        <v>122</v>
      </c>
      <c r="C455" s="1">
        <v>840.7866</v>
      </c>
      <c r="D455" s="1" t="s">
        <v>17</v>
      </c>
      <c r="E455" s="1" t="s">
        <v>54</v>
      </c>
      <c r="F455" s="1">
        <v>19.53</v>
      </c>
      <c r="G455" s="1">
        <v>64.79</v>
      </c>
      <c r="H455" s="1">
        <v>1.2859809582E10</v>
      </c>
      <c r="I455" s="1">
        <v>1.8748453944E10</v>
      </c>
      <c r="J455" s="1" t="s">
        <v>1056</v>
      </c>
      <c r="K455" s="1" t="s">
        <v>1057</v>
      </c>
      <c r="L455" s="1">
        <v>4.83</v>
      </c>
      <c r="M455" s="1">
        <v>4061.0</v>
      </c>
      <c r="N455" s="1">
        <v>4061.0</v>
      </c>
      <c r="O455" s="1">
        <v>337063.0</v>
      </c>
    </row>
    <row r="456">
      <c r="A456" s="1" t="s">
        <v>1058</v>
      </c>
      <c r="B456" s="1" t="s">
        <v>169</v>
      </c>
      <c r="C456" s="1">
        <v>524.3262</v>
      </c>
      <c r="D456" s="1" t="s">
        <v>17</v>
      </c>
      <c r="E456" s="1" t="s">
        <v>22</v>
      </c>
      <c r="F456" s="1">
        <v>21.04</v>
      </c>
      <c r="G456" s="1">
        <v>48.33</v>
      </c>
      <c r="H456" s="1">
        <v>8.539982266E10</v>
      </c>
      <c r="I456" s="1">
        <v>8.7362033805E10</v>
      </c>
      <c r="J456" s="1" t="s">
        <v>1059</v>
      </c>
      <c r="K456" s="1" t="s">
        <v>1060</v>
      </c>
      <c r="L456" s="1">
        <v>3.9</v>
      </c>
      <c r="M456" s="1">
        <v>2044.87</v>
      </c>
      <c r="N456" s="1">
        <v>2045.0</v>
      </c>
      <c r="O456" s="1">
        <v>169735.0</v>
      </c>
    </row>
    <row r="457">
      <c r="A457" s="1" t="s">
        <v>1061</v>
      </c>
      <c r="B457" s="1" t="s">
        <v>350</v>
      </c>
      <c r="C457" s="1">
        <v>146.3289</v>
      </c>
      <c r="D457" s="1" t="s">
        <v>17</v>
      </c>
      <c r="E457" s="1" t="s">
        <v>58</v>
      </c>
      <c r="F457" s="1">
        <v>69.53</v>
      </c>
      <c r="G457" s="1">
        <v>65.04</v>
      </c>
      <c r="H457" s="1">
        <v>7.581585531E10</v>
      </c>
      <c r="I457" s="1">
        <v>8.3358255319E10</v>
      </c>
      <c r="J457" s="1" t="s">
        <v>1062</v>
      </c>
      <c r="K457" s="1" t="s">
        <v>1063</v>
      </c>
      <c r="L457" s="1">
        <v>3.98</v>
      </c>
      <c r="M457" s="1">
        <v>582.39</v>
      </c>
      <c r="N457" s="1">
        <v>582.0</v>
      </c>
      <c r="O457" s="1">
        <v>48306.0</v>
      </c>
    </row>
    <row r="458">
      <c r="A458" s="1" t="s">
        <v>1064</v>
      </c>
      <c r="B458" s="1" t="s">
        <v>16</v>
      </c>
      <c r="C458" s="1">
        <v>979.532</v>
      </c>
      <c r="D458" s="1" t="s">
        <v>21</v>
      </c>
      <c r="E458" s="1" t="s">
        <v>18</v>
      </c>
      <c r="F458" s="1">
        <v>33.65</v>
      </c>
      <c r="G458" s="1">
        <v>36.53</v>
      </c>
      <c r="H458" s="1">
        <v>2.8103457034E10</v>
      </c>
      <c r="I458" s="1">
        <v>3.4084735663E10</v>
      </c>
      <c r="J458" s="2">
        <v>45480.93402777778</v>
      </c>
      <c r="K458" s="1" t="s">
        <v>1065</v>
      </c>
      <c r="L458" s="1">
        <v>2.18</v>
      </c>
      <c r="M458" s="1">
        <v>2135.38</v>
      </c>
      <c r="N458" s="1">
        <v>2135.0</v>
      </c>
      <c r="O458" s="1">
        <v>177205.0</v>
      </c>
    </row>
    <row r="459">
      <c r="A459" s="1" t="s">
        <v>1066</v>
      </c>
      <c r="B459" s="1" t="s">
        <v>36</v>
      </c>
      <c r="C459" s="1">
        <v>313.9518</v>
      </c>
      <c r="D459" s="1" t="s">
        <v>17</v>
      </c>
      <c r="E459" s="1" t="s">
        <v>37</v>
      </c>
      <c r="F459" s="1">
        <v>87.12</v>
      </c>
      <c r="G459" s="1">
        <v>92.54</v>
      </c>
      <c r="H459" s="1">
        <v>8.742956924E9</v>
      </c>
      <c r="I459" s="1">
        <v>1.629469918E10</v>
      </c>
      <c r="J459" s="2">
        <v>45390.26944444444</v>
      </c>
      <c r="K459" s="2">
        <v>45512.56805555556</v>
      </c>
      <c r="L459" s="1">
        <v>1.28</v>
      </c>
      <c r="M459" s="1">
        <v>401.86</v>
      </c>
      <c r="N459" s="1">
        <v>402.0</v>
      </c>
      <c r="O459" s="1">
        <v>33366.0</v>
      </c>
    </row>
    <row r="460">
      <c r="A460" s="1" t="s">
        <v>1067</v>
      </c>
      <c r="B460" s="1" t="s">
        <v>147</v>
      </c>
      <c r="C460" s="1">
        <v>132.6833</v>
      </c>
      <c r="D460" s="1" t="s">
        <v>42</v>
      </c>
      <c r="E460" s="1" t="s">
        <v>70</v>
      </c>
      <c r="F460" s="1">
        <v>73.41</v>
      </c>
      <c r="G460" s="1">
        <v>13.38</v>
      </c>
      <c r="H460" s="1">
        <v>6.7560162667E10</v>
      </c>
      <c r="I460" s="1">
        <v>7.6680669575E10</v>
      </c>
      <c r="J460" s="1" t="s">
        <v>1068</v>
      </c>
      <c r="K460" s="1" t="s">
        <v>1069</v>
      </c>
      <c r="L460" s="1">
        <v>8.87</v>
      </c>
      <c r="M460" s="1">
        <v>1176.9</v>
      </c>
      <c r="N460" s="1">
        <v>1177.0</v>
      </c>
      <c r="O460" s="1">
        <v>97691.0</v>
      </c>
    </row>
    <row r="461">
      <c r="A461" s="1" t="s">
        <v>1070</v>
      </c>
      <c r="B461" s="1" t="s">
        <v>62</v>
      </c>
      <c r="C461" s="1">
        <v>143.7667</v>
      </c>
      <c r="D461" s="1" t="s">
        <v>42</v>
      </c>
      <c r="E461" s="1" t="s">
        <v>54</v>
      </c>
      <c r="F461" s="1">
        <v>79.32</v>
      </c>
      <c r="G461" s="1">
        <v>90.15</v>
      </c>
      <c r="H461" s="1">
        <v>8.0974628179E10</v>
      </c>
      <c r="I461" s="1">
        <v>8.7896879355E10</v>
      </c>
      <c r="J461" s="1" t="s">
        <v>1071</v>
      </c>
      <c r="K461" s="1" t="s">
        <v>1072</v>
      </c>
      <c r="L461" s="1">
        <v>6.09</v>
      </c>
      <c r="M461" s="1">
        <v>875.54</v>
      </c>
      <c r="N461" s="1">
        <v>876.0</v>
      </c>
      <c r="O461" s="1">
        <v>72708.0</v>
      </c>
    </row>
    <row r="462">
      <c r="A462" s="1" t="s">
        <v>1073</v>
      </c>
      <c r="B462" s="1" t="s">
        <v>139</v>
      </c>
      <c r="C462" s="1">
        <v>114.5333</v>
      </c>
      <c r="D462" s="1" t="s">
        <v>42</v>
      </c>
      <c r="E462" s="1" t="s">
        <v>58</v>
      </c>
      <c r="F462" s="1">
        <v>87.12</v>
      </c>
      <c r="G462" s="1">
        <v>52.29</v>
      </c>
      <c r="H462" s="1">
        <v>3.4053044273E10</v>
      </c>
      <c r="I462" s="1">
        <v>3.4139736566E10</v>
      </c>
      <c r="J462" s="2">
        <v>45543.850694444445</v>
      </c>
      <c r="K462" s="1" t="s">
        <v>1074</v>
      </c>
      <c r="L462" s="1">
        <v>5.14</v>
      </c>
      <c r="M462" s="1">
        <v>588.7</v>
      </c>
      <c r="N462" s="1">
        <v>589.0</v>
      </c>
      <c r="O462" s="1">
        <v>48887.0</v>
      </c>
    </row>
    <row r="463">
      <c r="A463" s="1" t="s">
        <v>1075</v>
      </c>
      <c r="B463" s="1" t="s">
        <v>273</v>
      </c>
      <c r="C463" s="1">
        <v>91.8437</v>
      </c>
      <c r="D463" s="1" t="s">
        <v>21</v>
      </c>
      <c r="E463" s="1" t="s">
        <v>27</v>
      </c>
      <c r="F463" s="1">
        <v>45.37</v>
      </c>
      <c r="G463" s="1">
        <v>23.16</v>
      </c>
      <c r="H463" s="1">
        <v>6.2016239417E10</v>
      </c>
      <c r="I463" s="1">
        <v>6.6467457936E10</v>
      </c>
      <c r="J463" s="2">
        <v>45633.811111111114</v>
      </c>
      <c r="K463" s="1" t="s">
        <v>1076</v>
      </c>
      <c r="L463" s="1">
        <v>6.5</v>
      </c>
      <c r="M463" s="1">
        <v>596.98</v>
      </c>
      <c r="N463" s="1">
        <v>597.0</v>
      </c>
      <c r="O463" s="1">
        <v>49551.0</v>
      </c>
    </row>
    <row r="464">
      <c r="A464" s="1" t="s">
        <v>1077</v>
      </c>
      <c r="B464" s="1" t="s">
        <v>31</v>
      </c>
      <c r="C464" s="1">
        <v>283.4613</v>
      </c>
      <c r="D464" s="1" t="s">
        <v>21</v>
      </c>
      <c r="E464" s="1" t="s">
        <v>155</v>
      </c>
      <c r="F464" s="1">
        <v>82.22</v>
      </c>
      <c r="G464" s="1">
        <v>31.66</v>
      </c>
      <c r="H464" s="1">
        <v>5.3579415957E10</v>
      </c>
      <c r="I464" s="1">
        <v>5.4054318649E10</v>
      </c>
      <c r="J464" s="1" t="s">
        <v>1078</v>
      </c>
      <c r="K464" s="2">
        <v>45390.27916666667</v>
      </c>
      <c r="L464" s="1">
        <v>6.13</v>
      </c>
      <c r="M464" s="1">
        <v>1737.62</v>
      </c>
      <c r="N464" s="1">
        <v>1738.0</v>
      </c>
      <c r="O464" s="1">
        <v>144254.0</v>
      </c>
    </row>
    <row r="465">
      <c r="A465" s="1" t="s">
        <v>1079</v>
      </c>
      <c r="B465" s="1" t="s">
        <v>99</v>
      </c>
      <c r="C465" s="1">
        <v>156.8948</v>
      </c>
      <c r="D465" s="1" t="s">
        <v>21</v>
      </c>
      <c r="E465" s="1" t="s">
        <v>54</v>
      </c>
      <c r="F465" s="1">
        <v>52.3</v>
      </c>
      <c r="G465" s="1">
        <v>67.42</v>
      </c>
      <c r="H465" s="1">
        <v>7.1864987424E10</v>
      </c>
      <c r="I465" s="1">
        <v>7.5402314789E10</v>
      </c>
      <c r="J465" s="2">
        <v>45450.66527777778</v>
      </c>
      <c r="K465" s="2">
        <v>45603.85</v>
      </c>
      <c r="L465" s="1">
        <v>5.12</v>
      </c>
      <c r="M465" s="1">
        <v>803.3</v>
      </c>
      <c r="N465" s="1">
        <v>803.0</v>
      </c>
      <c r="O465" s="1">
        <v>66649.0</v>
      </c>
    </row>
    <row r="466">
      <c r="A466" s="1" t="s">
        <v>1080</v>
      </c>
      <c r="B466" s="1" t="s">
        <v>60</v>
      </c>
      <c r="C466" s="1">
        <v>124.3833</v>
      </c>
      <c r="D466" s="1" t="s">
        <v>42</v>
      </c>
      <c r="E466" s="1" t="s">
        <v>123</v>
      </c>
      <c r="F466" s="1">
        <v>69.06</v>
      </c>
      <c r="G466" s="1">
        <v>98.73</v>
      </c>
      <c r="H466" s="1">
        <v>1.398975087E10</v>
      </c>
      <c r="I466" s="1">
        <v>1.6209140144E10</v>
      </c>
      <c r="J466" s="1" t="s">
        <v>1081</v>
      </c>
      <c r="K466" s="2">
        <v>45300.35208333333</v>
      </c>
      <c r="L466" s="1">
        <v>8.23</v>
      </c>
      <c r="M466" s="1">
        <v>1023.67</v>
      </c>
      <c r="N466" s="1">
        <v>1024.0</v>
      </c>
      <c r="O466" s="1">
        <v>84992.0</v>
      </c>
    </row>
    <row r="467">
      <c r="A467" s="1" t="s">
        <v>1082</v>
      </c>
      <c r="B467" s="1" t="s">
        <v>83</v>
      </c>
      <c r="C467" s="1">
        <v>337.8574</v>
      </c>
      <c r="D467" s="1" t="s">
        <v>17</v>
      </c>
      <c r="E467" s="1" t="s">
        <v>37</v>
      </c>
      <c r="F467" s="1">
        <v>85.58</v>
      </c>
      <c r="G467" s="1">
        <v>90.93</v>
      </c>
      <c r="H467" s="1">
        <v>4.228666293E10</v>
      </c>
      <c r="I467" s="1">
        <v>4.2526481446E10</v>
      </c>
      <c r="J467" s="2">
        <v>45573.79027777778</v>
      </c>
      <c r="K467" s="1" t="s">
        <v>1083</v>
      </c>
      <c r="L467" s="1">
        <v>3.55</v>
      </c>
      <c r="M467" s="1">
        <v>1199.39</v>
      </c>
      <c r="N467" s="1">
        <v>1199.0</v>
      </c>
      <c r="O467" s="1">
        <v>99517.0</v>
      </c>
    </row>
    <row r="468">
      <c r="A468" s="1" t="s">
        <v>1084</v>
      </c>
      <c r="B468" s="1" t="s">
        <v>122</v>
      </c>
      <c r="C468" s="1">
        <v>92.6792</v>
      </c>
      <c r="D468" s="1" t="s">
        <v>21</v>
      </c>
      <c r="E468" s="1" t="s">
        <v>74</v>
      </c>
      <c r="F468" s="1">
        <v>51.25</v>
      </c>
      <c r="G468" s="1">
        <v>51.34</v>
      </c>
      <c r="H468" s="1">
        <v>3.7088440029E10</v>
      </c>
      <c r="I468" s="1">
        <v>4.7028071539E10</v>
      </c>
      <c r="J468" s="1" t="s">
        <v>1085</v>
      </c>
      <c r="K468" s="1" t="s">
        <v>339</v>
      </c>
      <c r="L468" s="1">
        <v>8.79</v>
      </c>
      <c r="M468" s="1">
        <v>814.65</v>
      </c>
      <c r="N468" s="1">
        <v>815.0</v>
      </c>
      <c r="O468" s="1">
        <v>67645.0</v>
      </c>
    </row>
    <row r="469">
      <c r="A469" s="1" t="s">
        <v>1086</v>
      </c>
      <c r="B469" s="1" t="s">
        <v>20</v>
      </c>
      <c r="C469" s="1">
        <v>466.4178</v>
      </c>
      <c r="D469" s="1" t="s">
        <v>21</v>
      </c>
      <c r="E469" s="1" t="s">
        <v>105</v>
      </c>
      <c r="F469" s="1">
        <v>77.26</v>
      </c>
      <c r="G469" s="1">
        <v>40.23</v>
      </c>
      <c r="H469" s="1">
        <v>4.0823083814E10</v>
      </c>
      <c r="I469" s="1">
        <v>4.1455680327E10</v>
      </c>
      <c r="J469" s="1" t="s">
        <v>1087</v>
      </c>
      <c r="K469" s="1" t="s">
        <v>1088</v>
      </c>
      <c r="L469" s="1">
        <v>8.36</v>
      </c>
      <c r="M469" s="1">
        <v>3899.25</v>
      </c>
      <c r="N469" s="1">
        <v>3899.0</v>
      </c>
      <c r="O469" s="1">
        <v>323617.0</v>
      </c>
    </row>
    <row r="470">
      <c r="A470" s="1" t="s">
        <v>1089</v>
      </c>
      <c r="B470" s="1" t="s">
        <v>31</v>
      </c>
      <c r="C470" s="1">
        <v>263.0482</v>
      </c>
      <c r="D470" s="1" t="s">
        <v>17</v>
      </c>
      <c r="E470" s="1" t="s">
        <v>37</v>
      </c>
      <c r="F470" s="1">
        <v>48.44</v>
      </c>
      <c r="G470" s="1">
        <v>61.01</v>
      </c>
      <c r="H470" s="1">
        <v>6.9487180961E10</v>
      </c>
      <c r="I470" s="1">
        <v>7.8309360135E10</v>
      </c>
      <c r="J470" s="2">
        <v>45480.4375</v>
      </c>
      <c r="K470" s="2">
        <v>45633.02291666667</v>
      </c>
      <c r="L470" s="1">
        <v>7.5</v>
      </c>
      <c r="M470" s="1">
        <v>1972.86</v>
      </c>
      <c r="N470" s="1">
        <v>1973.0</v>
      </c>
      <c r="O470" s="1">
        <v>163759.0</v>
      </c>
    </row>
    <row r="471">
      <c r="A471" s="1" t="s">
        <v>1090</v>
      </c>
      <c r="B471" s="1" t="s">
        <v>57</v>
      </c>
      <c r="C471" s="1">
        <v>650.7964</v>
      </c>
      <c r="D471" s="1" t="s">
        <v>21</v>
      </c>
      <c r="E471" s="1" t="s">
        <v>32</v>
      </c>
      <c r="F471" s="1">
        <v>50.55</v>
      </c>
      <c r="G471" s="1">
        <v>89.83</v>
      </c>
      <c r="H471" s="1">
        <v>4.9952769831E10</v>
      </c>
      <c r="I471" s="1">
        <v>5.3603450248E10</v>
      </c>
      <c r="J471" s="1" t="s">
        <v>1091</v>
      </c>
      <c r="K471" s="1" t="s">
        <v>1092</v>
      </c>
      <c r="L471" s="1">
        <v>7.36</v>
      </c>
      <c r="M471" s="1">
        <v>4789.86</v>
      </c>
      <c r="N471" s="1">
        <v>4790.0</v>
      </c>
      <c r="O471" s="1">
        <v>397570.0</v>
      </c>
    </row>
    <row r="472">
      <c r="A472" s="1" t="s">
        <v>1093</v>
      </c>
      <c r="B472" s="1" t="s">
        <v>62</v>
      </c>
      <c r="C472" s="1">
        <v>101.65</v>
      </c>
      <c r="D472" s="1" t="s">
        <v>42</v>
      </c>
      <c r="E472" s="1" t="s">
        <v>27</v>
      </c>
      <c r="F472" s="1">
        <v>6.12</v>
      </c>
      <c r="G472" s="1">
        <v>55.38</v>
      </c>
      <c r="H472" s="1">
        <v>7.015264415E10</v>
      </c>
      <c r="I472" s="1">
        <v>7.7939261927E10</v>
      </c>
      <c r="J472" s="1" t="s">
        <v>1094</v>
      </c>
      <c r="K472" s="2">
        <v>45331.00069444445</v>
      </c>
      <c r="L472" s="1">
        <v>3.12</v>
      </c>
      <c r="M472" s="1">
        <v>317.15</v>
      </c>
      <c r="N472" s="1">
        <v>317.0</v>
      </c>
      <c r="O472" s="1">
        <v>26311.0</v>
      </c>
    </row>
    <row r="473">
      <c r="A473" s="1" t="s">
        <v>1095</v>
      </c>
      <c r="B473" s="1" t="s">
        <v>66</v>
      </c>
      <c r="C473" s="1">
        <v>887.5022</v>
      </c>
      <c r="D473" s="1" t="s">
        <v>17</v>
      </c>
      <c r="E473" s="1" t="s">
        <v>123</v>
      </c>
      <c r="F473" s="1">
        <v>23.88</v>
      </c>
      <c r="G473" s="1">
        <v>21.64</v>
      </c>
      <c r="H473" s="1">
        <v>8.8253570412E10</v>
      </c>
      <c r="I473" s="1">
        <v>9.4332643638E10</v>
      </c>
      <c r="J473" s="1" t="s">
        <v>1096</v>
      </c>
      <c r="K473" s="1" t="s">
        <v>1097</v>
      </c>
      <c r="L473" s="1">
        <v>8.9</v>
      </c>
      <c r="M473" s="1">
        <v>7898.77</v>
      </c>
      <c r="N473" s="1">
        <v>7899.0</v>
      </c>
      <c r="O473" s="1">
        <v>655617.0</v>
      </c>
    </row>
    <row r="474">
      <c r="A474" s="1" t="s">
        <v>1098</v>
      </c>
      <c r="B474" s="1" t="s">
        <v>350</v>
      </c>
      <c r="C474" s="1">
        <v>496.9294</v>
      </c>
      <c r="D474" s="1" t="s">
        <v>17</v>
      </c>
      <c r="E474" s="1" t="s">
        <v>37</v>
      </c>
      <c r="F474" s="1">
        <v>62.45</v>
      </c>
      <c r="G474" s="1">
        <v>74.75</v>
      </c>
      <c r="H474" s="1">
        <v>4.2359936599E10</v>
      </c>
      <c r="I474" s="1">
        <v>5.2153559965E10</v>
      </c>
      <c r="J474" s="1" t="s">
        <v>1099</v>
      </c>
      <c r="K474" s="1" t="s">
        <v>1100</v>
      </c>
      <c r="L474" s="1">
        <v>8.69</v>
      </c>
      <c r="M474" s="1">
        <v>4318.32</v>
      </c>
      <c r="N474" s="1">
        <v>4318.0</v>
      </c>
      <c r="O474" s="1">
        <v>358394.0</v>
      </c>
    </row>
    <row r="475">
      <c r="A475" s="1" t="s">
        <v>1101</v>
      </c>
      <c r="B475" s="1" t="s">
        <v>53</v>
      </c>
      <c r="C475" s="1">
        <v>92.5512</v>
      </c>
      <c r="D475" s="1" t="s">
        <v>17</v>
      </c>
      <c r="E475" s="1" t="s">
        <v>70</v>
      </c>
      <c r="F475" s="1">
        <v>85.75</v>
      </c>
      <c r="G475" s="1">
        <v>92.34</v>
      </c>
      <c r="H475" s="1">
        <v>9.0576095043E10</v>
      </c>
      <c r="I475" s="1">
        <v>9.6470776156E10</v>
      </c>
      <c r="J475" s="1" t="s">
        <v>1102</v>
      </c>
      <c r="K475" s="1" t="s">
        <v>1103</v>
      </c>
      <c r="L475" s="1">
        <v>2.82</v>
      </c>
      <c r="M475" s="1">
        <v>260.99</v>
      </c>
      <c r="N475" s="1">
        <v>261.0</v>
      </c>
      <c r="O475" s="1">
        <v>21663.0</v>
      </c>
    </row>
    <row r="476">
      <c r="A476" s="1" t="s">
        <v>1104</v>
      </c>
      <c r="B476" s="1" t="s">
        <v>169</v>
      </c>
      <c r="C476" s="1">
        <v>346.6752</v>
      </c>
      <c r="D476" s="1" t="s">
        <v>21</v>
      </c>
      <c r="E476" s="1" t="s">
        <v>70</v>
      </c>
      <c r="F476" s="1">
        <v>80.96</v>
      </c>
      <c r="G476" s="1">
        <v>95.33</v>
      </c>
      <c r="H476" s="1">
        <v>2.8698797112E10</v>
      </c>
      <c r="I476" s="1">
        <v>3.6231433469E10</v>
      </c>
      <c r="J476" s="2">
        <v>45329.47222222222</v>
      </c>
      <c r="K476" s="2">
        <v>45511.21805555555</v>
      </c>
      <c r="L476" s="1">
        <v>1.54</v>
      </c>
      <c r="M476" s="1">
        <v>533.88</v>
      </c>
      <c r="N476" s="1">
        <v>534.0</v>
      </c>
      <c r="O476" s="1">
        <v>44322.0</v>
      </c>
    </row>
    <row r="477">
      <c r="A477" s="1" t="s">
        <v>1105</v>
      </c>
      <c r="B477" s="1" t="s">
        <v>57</v>
      </c>
      <c r="C477" s="1">
        <v>562.4955</v>
      </c>
      <c r="D477" s="1" t="s">
        <v>17</v>
      </c>
      <c r="E477" s="1" t="s">
        <v>105</v>
      </c>
      <c r="F477" s="1">
        <v>55.44</v>
      </c>
      <c r="G477" s="1">
        <v>27.23</v>
      </c>
      <c r="H477" s="1">
        <v>2.9991632738E10</v>
      </c>
      <c r="I477" s="1">
        <v>3.3149597955E10</v>
      </c>
      <c r="J477" s="1" t="s">
        <v>1106</v>
      </c>
      <c r="K477" s="1" t="s">
        <v>1107</v>
      </c>
      <c r="L477" s="1">
        <v>3.26</v>
      </c>
      <c r="M477" s="1">
        <v>1833.74</v>
      </c>
      <c r="N477" s="1">
        <v>1834.0</v>
      </c>
      <c r="O477" s="1">
        <v>152222.0</v>
      </c>
    </row>
    <row r="478">
      <c r="A478" s="1" t="s">
        <v>1108</v>
      </c>
      <c r="B478" s="1" t="s">
        <v>99</v>
      </c>
      <c r="C478" s="1">
        <v>922.2978</v>
      </c>
      <c r="D478" s="1" t="s">
        <v>17</v>
      </c>
      <c r="E478" s="1" t="s">
        <v>155</v>
      </c>
      <c r="F478" s="1">
        <v>34.33</v>
      </c>
      <c r="G478" s="1">
        <v>16.97</v>
      </c>
      <c r="H478" s="1">
        <v>6.5971441196E10</v>
      </c>
      <c r="I478" s="1">
        <v>7.214823723E10</v>
      </c>
      <c r="J478" s="2">
        <v>45450.42361111111</v>
      </c>
      <c r="K478" s="2">
        <v>45633.404861111114</v>
      </c>
      <c r="L478" s="1">
        <v>6.19</v>
      </c>
      <c r="M478" s="1">
        <v>5709.02</v>
      </c>
      <c r="N478" s="1">
        <v>5709.0</v>
      </c>
      <c r="O478" s="1">
        <v>473847.0</v>
      </c>
    </row>
    <row r="479">
      <c r="A479" s="1" t="s">
        <v>1109</v>
      </c>
      <c r="B479" s="1" t="s">
        <v>166</v>
      </c>
      <c r="C479" s="1">
        <v>248.0948</v>
      </c>
      <c r="D479" s="1" t="s">
        <v>17</v>
      </c>
      <c r="E479" s="1" t="s">
        <v>105</v>
      </c>
      <c r="F479" s="1">
        <v>3.98</v>
      </c>
      <c r="G479" s="1">
        <v>48.93</v>
      </c>
      <c r="H479" s="1">
        <v>8.9767050146E10</v>
      </c>
      <c r="I479" s="1">
        <v>9.5190480103E10</v>
      </c>
      <c r="J479" s="2">
        <v>45451.04236111111</v>
      </c>
      <c r="K479" s="2">
        <v>45604.65347222222</v>
      </c>
      <c r="L479" s="1">
        <v>4.93</v>
      </c>
      <c r="M479" s="1">
        <v>1223.11</v>
      </c>
      <c r="N479" s="1">
        <v>1223.0</v>
      </c>
      <c r="O479" s="1">
        <v>101509.0</v>
      </c>
    </row>
    <row r="480">
      <c r="A480" s="1" t="s">
        <v>1110</v>
      </c>
      <c r="B480" s="1" t="s">
        <v>79</v>
      </c>
      <c r="C480" s="1">
        <v>169.6846</v>
      </c>
      <c r="D480" s="1" t="s">
        <v>17</v>
      </c>
      <c r="E480" s="1" t="s">
        <v>22</v>
      </c>
      <c r="F480" s="1">
        <v>9.72</v>
      </c>
      <c r="G480" s="1">
        <v>54.35</v>
      </c>
      <c r="H480" s="1">
        <v>7.7891960564E10</v>
      </c>
      <c r="I480" s="1">
        <v>8.0290494361E10</v>
      </c>
      <c r="J480" s="2">
        <v>45420.254166666666</v>
      </c>
      <c r="K480" s="2">
        <v>45573.02638888889</v>
      </c>
      <c r="L480" s="1">
        <v>3.27</v>
      </c>
      <c r="M480" s="1">
        <v>554.87</v>
      </c>
      <c r="N480" s="1">
        <v>555.0</v>
      </c>
      <c r="O480" s="1">
        <v>46065.0</v>
      </c>
    </row>
    <row r="481">
      <c r="A481" s="1" t="s">
        <v>1111</v>
      </c>
      <c r="B481" s="1" t="s">
        <v>66</v>
      </c>
      <c r="C481" s="1">
        <v>879.1095</v>
      </c>
      <c r="D481" s="1" t="s">
        <v>21</v>
      </c>
      <c r="E481" s="1" t="s">
        <v>54</v>
      </c>
      <c r="F481" s="1">
        <v>36.35</v>
      </c>
      <c r="G481" s="1">
        <v>94.15</v>
      </c>
      <c r="H481" s="1">
        <v>9.9384435137E10</v>
      </c>
      <c r="I481" s="3">
        <v>1.03178E11</v>
      </c>
      <c r="J481" s="1" t="s">
        <v>1112</v>
      </c>
      <c r="K481" s="1" t="s">
        <v>1113</v>
      </c>
      <c r="L481" s="1">
        <v>3.08</v>
      </c>
      <c r="M481" s="1">
        <v>2707.66</v>
      </c>
      <c r="N481" s="1">
        <v>2708.0</v>
      </c>
      <c r="O481" s="1">
        <v>224764.0</v>
      </c>
    </row>
    <row r="482">
      <c r="A482" s="1" t="s">
        <v>1114</v>
      </c>
      <c r="B482" s="1" t="s">
        <v>46</v>
      </c>
      <c r="C482" s="1">
        <v>435.086</v>
      </c>
      <c r="D482" s="1" t="s">
        <v>21</v>
      </c>
      <c r="E482" s="1" t="s">
        <v>155</v>
      </c>
      <c r="F482" s="1">
        <v>95.51</v>
      </c>
      <c r="G482" s="1">
        <v>84.66</v>
      </c>
      <c r="H482" s="1">
        <v>7.4957443833E10</v>
      </c>
      <c r="I482" s="1">
        <v>7.7986352608E10</v>
      </c>
      <c r="J482" s="2">
        <v>45358.3625</v>
      </c>
      <c r="K482" s="2">
        <v>45450.0375</v>
      </c>
      <c r="L482" s="1">
        <v>1.29</v>
      </c>
      <c r="M482" s="1">
        <v>561.26</v>
      </c>
      <c r="N482" s="1">
        <v>561.0</v>
      </c>
      <c r="O482" s="1">
        <v>46563.0</v>
      </c>
    </row>
    <row r="483">
      <c r="A483" s="1" t="s">
        <v>1115</v>
      </c>
      <c r="B483" s="1" t="s">
        <v>57</v>
      </c>
      <c r="C483" s="1">
        <v>32.4517</v>
      </c>
      <c r="D483" s="1" t="s">
        <v>21</v>
      </c>
      <c r="E483" s="1" t="s">
        <v>54</v>
      </c>
      <c r="F483" s="1">
        <v>43.53</v>
      </c>
      <c r="G483" s="1">
        <v>85.79</v>
      </c>
      <c r="H483" s="1">
        <v>8.8791419619E10</v>
      </c>
      <c r="I483" s="1">
        <v>8.9178594951E10</v>
      </c>
      <c r="J483" s="2">
        <v>45330.174305555556</v>
      </c>
      <c r="K483" s="2">
        <v>45420.22777777778</v>
      </c>
      <c r="L483" s="1">
        <v>7.17</v>
      </c>
      <c r="M483" s="1">
        <v>232.68</v>
      </c>
      <c r="N483" s="1">
        <v>233.0</v>
      </c>
      <c r="O483" s="1">
        <v>19339.0</v>
      </c>
    </row>
    <row r="484">
      <c r="A484" s="1" t="s">
        <v>1116</v>
      </c>
      <c r="B484" s="1" t="s">
        <v>46</v>
      </c>
      <c r="C484" s="1">
        <v>345.169</v>
      </c>
      <c r="D484" s="1" t="s">
        <v>21</v>
      </c>
      <c r="E484" s="1" t="s">
        <v>22</v>
      </c>
      <c r="F484" s="1">
        <v>44.23</v>
      </c>
      <c r="G484" s="1">
        <v>71.52</v>
      </c>
      <c r="H484" s="1">
        <v>2.4693488729E10</v>
      </c>
      <c r="I484" s="1">
        <v>3.3487450024E10</v>
      </c>
      <c r="J484" s="1" t="s">
        <v>1117</v>
      </c>
      <c r="K484" s="1" t="s">
        <v>1118</v>
      </c>
      <c r="L484" s="1">
        <v>2.42</v>
      </c>
      <c r="M484" s="1">
        <v>835.31</v>
      </c>
      <c r="N484" s="1">
        <v>835.0</v>
      </c>
      <c r="O484" s="1">
        <v>69305.0</v>
      </c>
    </row>
    <row r="485">
      <c r="A485" s="1" t="s">
        <v>1119</v>
      </c>
      <c r="B485" s="1" t="s">
        <v>26</v>
      </c>
      <c r="C485" s="1">
        <v>435.3222</v>
      </c>
      <c r="D485" s="1" t="s">
        <v>17</v>
      </c>
      <c r="E485" s="1" t="s">
        <v>70</v>
      </c>
      <c r="F485" s="1">
        <v>12.19</v>
      </c>
      <c r="G485" s="1">
        <v>1.93</v>
      </c>
      <c r="H485" s="1">
        <v>1.5463764402E10</v>
      </c>
      <c r="I485" s="1">
        <v>2.0309748109E10</v>
      </c>
      <c r="J485" s="2">
        <v>45511.95486111111</v>
      </c>
      <c r="K485" s="2">
        <v>45603.33472222222</v>
      </c>
      <c r="L485" s="1">
        <v>4.44</v>
      </c>
      <c r="M485" s="1">
        <v>1932.83</v>
      </c>
      <c r="N485" s="1">
        <v>1933.0</v>
      </c>
      <c r="O485" s="1">
        <v>160439.0</v>
      </c>
    </row>
    <row r="486">
      <c r="A486" s="1" t="s">
        <v>1120</v>
      </c>
      <c r="B486" s="1" t="s">
        <v>41</v>
      </c>
      <c r="C486" s="1">
        <v>46.4</v>
      </c>
      <c r="D486" s="1" t="s">
        <v>42</v>
      </c>
      <c r="E486" s="1" t="s">
        <v>74</v>
      </c>
      <c r="F486" s="1">
        <v>41.26</v>
      </c>
      <c r="G486" s="1">
        <v>48.11</v>
      </c>
      <c r="H486" s="1">
        <v>1.2800826448E10</v>
      </c>
      <c r="I486" s="1">
        <v>2.0492021853E10</v>
      </c>
      <c r="J486" s="1" t="s">
        <v>1121</v>
      </c>
      <c r="K486" s="1" t="s">
        <v>1122</v>
      </c>
      <c r="L486" s="1">
        <v>4.37</v>
      </c>
      <c r="M486" s="1">
        <v>202.77</v>
      </c>
      <c r="N486" s="1">
        <v>203.0</v>
      </c>
      <c r="O486" s="1">
        <v>16849.0</v>
      </c>
    </row>
    <row r="487">
      <c r="A487" s="1" t="s">
        <v>1123</v>
      </c>
      <c r="B487" s="1" t="s">
        <v>31</v>
      </c>
      <c r="C487" s="1">
        <v>588.0864</v>
      </c>
      <c r="D487" s="1" t="s">
        <v>17</v>
      </c>
      <c r="E487" s="1" t="s">
        <v>70</v>
      </c>
      <c r="F487" s="1">
        <v>96.27</v>
      </c>
      <c r="G487" s="1">
        <v>80.32</v>
      </c>
      <c r="H487" s="1">
        <v>8.3615331252E10</v>
      </c>
      <c r="I487" s="1">
        <v>9.1433612999E10</v>
      </c>
      <c r="J487" s="1" t="s">
        <v>1124</v>
      </c>
      <c r="K487" s="1" t="s">
        <v>1125</v>
      </c>
      <c r="L487" s="1">
        <v>3.45</v>
      </c>
      <c r="M487" s="1">
        <v>2028.9</v>
      </c>
      <c r="N487" s="1">
        <v>2029.0</v>
      </c>
      <c r="O487" s="1">
        <v>168407.0</v>
      </c>
    </row>
    <row r="488">
      <c r="A488" s="1" t="s">
        <v>1126</v>
      </c>
      <c r="B488" s="1" t="s">
        <v>122</v>
      </c>
      <c r="C488" s="1">
        <v>551.7888</v>
      </c>
      <c r="D488" s="1" t="s">
        <v>17</v>
      </c>
      <c r="E488" s="1" t="s">
        <v>18</v>
      </c>
      <c r="F488" s="1">
        <v>22.38</v>
      </c>
      <c r="G488" s="1">
        <v>66.68</v>
      </c>
      <c r="H488" s="1">
        <v>9.1262089886E10</v>
      </c>
      <c r="I488" s="1">
        <v>9.6432298119E10</v>
      </c>
      <c r="J488" s="2">
        <v>45420.188888888886</v>
      </c>
      <c r="K488" s="2">
        <v>45543.775</v>
      </c>
      <c r="L488" s="1">
        <v>1.84</v>
      </c>
      <c r="M488" s="1">
        <v>1015.29</v>
      </c>
      <c r="N488" s="1">
        <v>1015.0</v>
      </c>
      <c r="O488" s="1">
        <v>84245.0</v>
      </c>
    </row>
    <row r="489">
      <c r="A489" s="1" t="s">
        <v>1127</v>
      </c>
      <c r="B489" s="1" t="s">
        <v>41</v>
      </c>
      <c r="C489" s="1">
        <v>122.3167</v>
      </c>
      <c r="D489" s="1" t="s">
        <v>42</v>
      </c>
      <c r="E489" s="1" t="s">
        <v>32</v>
      </c>
      <c r="F489" s="1">
        <v>99.3</v>
      </c>
      <c r="G489" s="1">
        <v>63.9</v>
      </c>
      <c r="H489" s="1">
        <v>6.7416968205E10</v>
      </c>
      <c r="I489" s="1">
        <v>7.1014369848E10</v>
      </c>
      <c r="J489" s="1" t="s">
        <v>1128</v>
      </c>
      <c r="K489" s="1" t="s">
        <v>1129</v>
      </c>
      <c r="L489" s="1">
        <v>8.28</v>
      </c>
      <c r="M489" s="1">
        <v>1012.78</v>
      </c>
      <c r="N489" s="1">
        <v>1013.0</v>
      </c>
      <c r="O489" s="1">
        <v>84079.0</v>
      </c>
    </row>
    <row r="490">
      <c r="A490" s="1" t="s">
        <v>1130</v>
      </c>
      <c r="B490" s="1" t="s">
        <v>122</v>
      </c>
      <c r="C490" s="1">
        <v>461.6625</v>
      </c>
      <c r="D490" s="1" t="s">
        <v>21</v>
      </c>
      <c r="E490" s="1" t="s">
        <v>32</v>
      </c>
      <c r="F490" s="1">
        <v>88.4</v>
      </c>
      <c r="G490" s="1">
        <v>75.88</v>
      </c>
      <c r="H490" s="1">
        <v>4.8517654747E10</v>
      </c>
      <c r="I490" s="1">
        <v>5.1017193709E10</v>
      </c>
      <c r="J490" s="1" t="s">
        <v>1131</v>
      </c>
      <c r="K490" s="2">
        <v>45299.33194444444</v>
      </c>
      <c r="L490" s="1">
        <v>8.5</v>
      </c>
      <c r="M490" s="1">
        <v>3924.13</v>
      </c>
      <c r="N490" s="1">
        <v>3924.0</v>
      </c>
      <c r="O490" s="1">
        <v>325692.0</v>
      </c>
    </row>
    <row r="491">
      <c r="A491" s="1" t="s">
        <v>1132</v>
      </c>
      <c r="B491" s="1" t="s">
        <v>169</v>
      </c>
      <c r="C491" s="1">
        <v>360.35</v>
      </c>
      <c r="D491" s="1" t="s">
        <v>17</v>
      </c>
      <c r="E491" s="1" t="s">
        <v>70</v>
      </c>
      <c r="F491" s="1">
        <v>93.46</v>
      </c>
      <c r="G491" s="1">
        <v>86.06</v>
      </c>
      <c r="H491" s="1">
        <v>1.133394967E10</v>
      </c>
      <c r="I491" s="1">
        <v>1.2295147258E10</v>
      </c>
      <c r="J491" s="2">
        <v>45329.740277777775</v>
      </c>
      <c r="K491" s="2">
        <v>45419.42986111111</v>
      </c>
      <c r="L491" s="1">
        <v>8.21</v>
      </c>
      <c r="M491" s="1">
        <v>2958.47</v>
      </c>
      <c r="N491" s="1">
        <v>2958.0</v>
      </c>
      <c r="O491" s="1">
        <v>245514.0</v>
      </c>
    </row>
    <row r="492">
      <c r="A492" s="1" t="s">
        <v>1133</v>
      </c>
      <c r="B492" s="1" t="s">
        <v>20</v>
      </c>
      <c r="C492" s="1">
        <v>174.6175</v>
      </c>
      <c r="D492" s="1" t="s">
        <v>17</v>
      </c>
      <c r="E492" s="1" t="s">
        <v>54</v>
      </c>
      <c r="F492" s="1">
        <v>13.63</v>
      </c>
      <c r="G492" s="1">
        <v>89.42</v>
      </c>
      <c r="H492" s="1">
        <v>7.0047833308E10</v>
      </c>
      <c r="I492" s="1">
        <v>7.602135428E10</v>
      </c>
      <c r="J492" s="1" t="s">
        <v>1134</v>
      </c>
      <c r="K492" s="1" t="s">
        <v>1135</v>
      </c>
      <c r="L492" s="1">
        <v>7.55</v>
      </c>
      <c r="M492" s="1">
        <v>1318.36</v>
      </c>
      <c r="N492" s="1">
        <v>1318.0</v>
      </c>
      <c r="O492" s="1">
        <v>109394.0</v>
      </c>
    </row>
    <row r="493">
      <c r="A493" s="1" t="s">
        <v>1136</v>
      </c>
      <c r="B493" s="1" t="s">
        <v>46</v>
      </c>
      <c r="C493" s="1">
        <v>386.65</v>
      </c>
      <c r="D493" s="1" t="s">
        <v>21</v>
      </c>
      <c r="E493" s="1" t="s">
        <v>22</v>
      </c>
      <c r="F493" s="1">
        <v>81.79</v>
      </c>
      <c r="G493" s="1">
        <v>49.0</v>
      </c>
      <c r="H493" s="1">
        <v>6.7608118188E10</v>
      </c>
      <c r="I493" s="1">
        <v>6.8766595836E10</v>
      </c>
      <c r="J493" s="1" t="s">
        <v>1137</v>
      </c>
      <c r="K493" s="1" t="s">
        <v>1138</v>
      </c>
      <c r="L493" s="1">
        <v>7.37</v>
      </c>
      <c r="M493" s="1">
        <v>2849.61</v>
      </c>
      <c r="N493" s="1">
        <v>2850.0</v>
      </c>
      <c r="O493" s="1">
        <v>236550.0</v>
      </c>
    </row>
    <row r="494">
      <c r="A494" s="1" t="s">
        <v>1139</v>
      </c>
      <c r="B494" s="1" t="s">
        <v>41</v>
      </c>
      <c r="C494" s="1">
        <v>26.8333</v>
      </c>
      <c r="D494" s="1" t="s">
        <v>42</v>
      </c>
      <c r="E494" s="1" t="s">
        <v>155</v>
      </c>
      <c r="F494" s="1">
        <v>51.91</v>
      </c>
      <c r="G494" s="1">
        <v>8.24</v>
      </c>
      <c r="H494" s="1">
        <v>1.4301676109E10</v>
      </c>
      <c r="I494" s="1">
        <v>2.2308097117E10</v>
      </c>
      <c r="J494" s="1" t="s">
        <v>1140</v>
      </c>
      <c r="K494" s="1" t="s">
        <v>1141</v>
      </c>
      <c r="L494" s="1">
        <v>1.62</v>
      </c>
      <c r="M494" s="1">
        <v>43.47</v>
      </c>
      <c r="N494" s="1">
        <v>43.0</v>
      </c>
      <c r="O494" s="1">
        <v>3569.0</v>
      </c>
    </row>
    <row r="495">
      <c r="A495" s="1" t="s">
        <v>1142</v>
      </c>
      <c r="B495" s="1" t="s">
        <v>350</v>
      </c>
      <c r="C495" s="1">
        <v>684.6191</v>
      </c>
      <c r="D495" s="1" t="s">
        <v>21</v>
      </c>
      <c r="E495" s="1" t="s">
        <v>27</v>
      </c>
      <c r="F495" s="1">
        <v>28.62</v>
      </c>
      <c r="G495" s="1">
        <v>31.18</v>
      </c>
      <c r="H495" s="1">
        <v>6.0974905611E10</v>
      </c>
      <c r="I495" s="1">
        <v>6.2319608528E10</v>
      </c>
      <c r="J495" s="1" t="s">
        <v>1143</v>
      </c>
      <c r="K495" s="2">
        <v>45359.248611111114</v>
      </c>
      <c r="L495" s="1">
        <v>6.03</v>
      </c>
      <c r="M495" s="1">
        <v>4128.25</v>
      </c>
      <c r="N495" s="1">
        <v>4128.0</v>
      </c>
      <c r="O495" s="1">
        <v>342624.0</v>
      </c>
    </row>
    <row r="496">
      <c r="A496" s="1" t="s">
        <v>1144</v>
      </c>
      <c r="B496" s="1" t="s">
        <v>99</v>
      </c>
      <c r="C496" s="1">
        <v>193.0226</v>
      </c>
      <c r="D496" s="1" t="s">
        <v>17</v>
      </c>
      <c r="E496" s="1" t="s">
        <v>18</v>
      </c>
      <c r="F496" s="1">
        <v>74.98</v>
      </c>
      <c r="G496" s="1">
        <v>52.71</v>
      </c>
      <c r="H496" s="1">
        <v>5.3523273097E10</v>
      </c>
      <c r="I496" s="1">
        <v>5.6660906517E10</v>
      </c>
      <c r="J496" s="1" t="s">
        <v>1145</v>
      </c>
      <c r="K496" s="1" t="s">
        <v>1146</v>
      </c>
      <c r="L496" s="1">
        <v>7.84</v>
      </c>
      <c r="M496" s="1">
        <v>1513.3</v>
      </c>
      <c r="N496" s="1">
        <v>1513.0</v>
      </c>
      <c r="O496" s="1">
        <v>125579.0</v>
      </c>
    </row>
    <row r="497">
      <c r="A497" s="1" t="s">
        <v>1147</v>
      </c>
      <c r="B497" s="1" t="s">
        <v>41</v>
      </c>
      <c r="C497" s="1">
        <v>107.6333</v>
      </c>
      <c r="D497" s="1" t="s">
        <v>42</v>
      </c>
      <c r="E497" s="1" t="s">
        <v>32</v>
      </c>
      <c r="F497" s="1">
        <v>86.33</v>
      </c>
      <c r="G497" s="1">
        <v>39.77</v>
      </c>
      <c r="H497" s="1">
        <v>1.0562894177E10</v>
      </c>
      <c r="I497" s="1">
        <v>1.6220253103E10</v>
      </c>
      <c r="J497" s="2">
        <v>45634.14861111111</v>
      </c>
      <c r="K497" s="1" t="s">
        <v>1148</v>
      </c>
      <c r="L497" s="1">
        <v>9.17</v>
      </c>
      <c r="M497" s="1">
        <v>987.0</v>
      </c>
      <c r="N497" s="1">
        <v>987.0</v>
      </c>
      <c r="O497" s="1">
        <v>81921.0</v>
      </c>
    </row>
    <row r="498">
      <c r="A498" s="1" t="s">
        <v>1149</v>
      </c>
      <c r="B498" s="1" t="s">
        <v>273</v>
      </c>
      <c r="C498" s="1">
        <v>386.6959</v>
      </c>
      <c r="D498" s="1" t="s">
        <v>21</v>
      </c>
      <c r="E498" s="1" t="s">
        <v>155</v>
      </c>
      <c r="F498" s="1">
        <v>62.27</v>
      </c>
      <c r="G498" s="1">
        <v>34.83</v>
      </c>
      <c r="H498" s="1">
        <v>4.4103227816E10</v>
      </c>
      <c r="I498" s="1">
        <v>4.8691383713E10</v>
      </c>
      <c r="J498" s="1" t="s">
        <v>1150</v>
      </c>
      <c r="K498" s="1" t="s">
        <v>1151</v>
      </c>
      <c r="L498" s="1">
        <v>2.2</v>
      </c>
      <c r="M498" s="1">
        <v>850.73</v>
      </c>
      <c r="N498" s="1">
        <v>851.0</v>
      </c>
      <c r="O498" s="1">
        <v>70633.0</v>
      </c>
    </row>
    <row r="499">
      <c r="A499" s="1" t="s">
        <v>1152</v>
      </c>
      <c r="B499" s="1" t="s">
        <v>128</v>
      </c>
      <c r="C499" s="1">
        <v>490.5874</v>
      </c>
      <c r="D499" s="1" t="s">
        <v>17</v>
      </c>
      <c r="E499" s="1" t="s">
        <v>18</v>
      </c>
      <c r="F499" s="1">
        <v>85.69</v>
      </c>
      <c r="G499" s="1">
        <v>89.77</v>
      </c>
      <c r="H499" s="1">
        <v>4.8701052634E10</v>
      </c>
      <c r="I499" s="1">
        <v>5.1880282611E10</v>
      </c>
      <c r="J499" s="2">
        <v>45511.01527777778</v>
      </c>
      <c r="K499" s="2">
        <v>45603.23125</v>
      </c>
      <c r="L499" s="1">
        <v>8.05</v>
      </c>
      <c r="M499" s="1">
        <v>3949.23</v>
      </c>
      <c r="N499" s="1">
        <v>3949.0</v>
      </c>
      <c r="O499" s="1">
        <v>327767.0</v>
      </c>
    </row>
    <row r="500">
      <c r="A500" s="1" t="s">
        <v>1153</v>
      </c>
      <c r="B500" s="1" t="s">
        <v>62</v>
      </c>
      <c r="C500" s="1">
        <v>107.3667</v>
      </c>
      <c r="D500" s="1" t="s">
        <v>42</v>
      </c>
      <c r="E500" s="1" t="s">
        <v>18</v>
      </c>
      <c r="F500" s="1">
        <v>76.03</v>
      </c>
      <c r="G500" s="1">
        <v>21.71</v>
      </c>
      <c r="H500" s="1">
        <v>7.099000133E9</v>
      </c>
      <c r="I500" s="1">
        <v>1.4254865577E10</v>
      </c>
      <c r="J500" s="1" t="s">
        <v>1154</v>
      </c>
      <c r="K500" s="2">
        <v>45331.15069444444</v>
      </c>
      <c r="L500" s="1">
        <v>4.44</v>
      </c>
      <c r="M500" s="1">
        <v>476.71</v>
      </c>
      <c r="N500" s="1">
        <v>477.0</v>
      </c>
      <c r="O500" s="1">
        <v>39591.0</v>
      </c>
    </row>
    <row r="501">
      <c r="A501" s="1" t="s">
        <v>1155</v>
      </c>
      <c r="B501" s="1" t="s">
        <v>169</v>
      </c>
      <c r="C501" s="1">
        <v>820.0826</v>
      </c>
      <c r="D501" s="1" t="s">
        <v>17</v>
      </c>
      <c r="E501" s="1" t="s">
        <v>58</v>
      </c>
      <c r="F501" s="1">
        <v>36.0</v>
      </c>
      <c r="G501" s="1">
        <v>16.45</v>
      </c>
      <c r="H501" s="1">
        <v>4.5591857672E10</v>
      </c>
      <c r="I501" s="1">
        <v>5.0015438648E10</v>
      </c>
      <c r="J501" s="2">
        <v>45573.78958333333</v>
      </c>
      <c r="K501" s="1" t="s">
        <v>1156</v>
      </c>
      <c r="L501" s="1">
        <v>3.09</v>
      </c>
      <c r="M501" s="1">
        <v>2534.06</v>
      </c>
      <c r="N501" s="1">
        <v>2534.0</v>
      </c>
      <c r="O501" s="1">
        <v>210322.0</v>
      </c>
    </row>
    <row r="502">
      <c r="A502" s="1" t="s">
        <v>1157</v>
      </c>
      <c r="B502" s="1" t="s">
        <v>83</v>
      </c>
      <c r="C502" s="1">
        <v>215.9883</v>
      </c>
      <c r="D502" s="1" t="s">
        <v>21</v>
      </c>
      <c r="E502" s="1" t="s">
        <v>54</v>
      </c>
      <c r="F502" s="1">
        <v>13.91</v>
      </c>
      <c r="G502" s="1">
        <v>69.12</v>
      </c>
      <c r="H502" s="1">
        <v>4.2687364956E10</v>
      </c>
      <c r="I502" s="1">
        <v>4.4985847465E10</v>
      </c>
      <c r="J502" s="1" t="s">
        <v>1158</v>
      </c>
      <c r="K502" s="1" t="s">
        <v>1159</v>
      </c>
      <c r="L502" s="1">
        <v>3.36</v>
      </c>
      <c r="M502" s="1">
        <v>725.72</v>
      </c>
      <c r="N502" s="1">
        <v>726.0</v>
      </c>
      <c r="O502" s="1">
        <v>60258.0</v>
      </c>
    </row>
    <row r="503">
      <c r="A503" s="1" t="s">
        <v>1160</v>
      </c>
      <c r="B503" s="1" t="s">
        <v>83</v>
      </c>
      <c r="C503" s="1">
        <v>255.9859</v>
      </c>
      <c r="D503" s="1" t="s">
        <v>21</v>
      </c>
      <c r="E503" s="1" t="s">
        <v>54</v>
      </c>
      <c r="F503" s="1">
        <v>18.18</v>
      </c>
      <c r="G503" s="1">
        <v>17.51</v>
      </c>
      <c r="H503" s="1">
        <v>6.808324173E10</v>
      </c>
      <c r="I503" s="1">
        <v>7.0085717043E10</v>
      </c>
      <c r="J503" s="2">
        <v>45573.20694444444</v>
      </c>
      <c r="K503" s="2">
        <v>45634.106944444444</v>
      </c>
      <c r="L503" s="1">
        <v>3.26</v>
      </c>
      <c r="M503" s="1">
        <v>834.51</v>
      </c>
      <c r="N503" s="1">
        <v>835.0</v>
      </c>
      <c r="O503" s="1">
        <v>69305.0</v>
      </c>
    </row>
    <row r="504">
      <c r="A504" s="1" t="s">
        <v>1161</v>
      </c>
      <c r="B504" s="1" t="s">
        <v>112</v>
      </c>
      <c r="C504" s="1">
        <v>125.4</v>
      </c>
      <c r="D504" s="1" t="s">
        <v>42</v>
      </c>
      <c r="E504" s="1" t="s">
        <v>27</v>
      </c>
      <c r="F504" s="1">
        <v>86.87</v>
      </c>
      <c r="G504" s="1">
        <v>51.35</v>
      </c>
      <c r="H504" s="1">
        <v>4.2088709475E10</v>
      </c>
      <c r="I504" s="1">
        <v>4.6109484906E10</v>
      </c>
      <c r="J504" s="2">
        <v>45481.53472222222</v>
      </c>
      <c r="K504" s="2">
        <v>45634.759722222225</v>
      </c>
      <c r="L504" s="1">
        <v>2.42</v>
      </c>
      <c r="M504" s="1">
        <v>303.47</v>
      </c>
      <c r="N504" s="1">
        <v>303.0</v>
      </c>
      <c r="O504" s="1">
        <v>25149.0</v>
      </c>
    </row>
    <row r="505">
      <c r="A505" s="1" t="s">
        <v>1162</v>
      </c>
      <c r="B505" s="1" t="s">
        <v>41</v>
      </c>
      <c r="C505" s="1">
        <v>46.5333</v>
      </c>
      <c r="D505" s="1" t="s">
        <v>42</v>
      </c>
      <c r="E505" s="1" t="s">
        <v>105</v>
      </c>
      <c r="F505" s="1">
        <v>89.58</v>
      </c>
      <c r="G505" s="1">
        <v>44.85</v>
      </c>
      <c r="H505" s="1">
        <v>8.8567934458E10</v>
      </c>
      <c r="I505" s="1">
        <v>9.0628716284E10</v>
      </c>
      <c r="J505" s="1" t="s">
        <v>1163</v>
      </c>
      <c r="K505" s="1" t="s">
        <v>1164</v>
      </c>
      <c r="L505" s="1">
        <v>1.77</v>
      </c>
      <c r="M505" s="1">
        <v>82.36</v>
      </c>
      <c r="N505" s="1">
        <v>82.0</v>
      </c>
      <c r="O505" s="1">
        <v>6806.0</v>
      </c>
    </row>
    <row r="506">
      <c r="A506" s="1" t="s">
        <v>1165</v>
      </c>
      <c r="B506" s="1" t="s">
        <v>41</v>
      </c>
      <c r="C506" s="1">
        <v>35.0333</v>
      </c>
      <c r="D506" s="1" t="s">
        <v>42</v>
      </c>
      <c r="E506" s="1" t="s">
        <v>54</v>
      </c>
      <c r="F506" s="1">
        <v>59.3</v>
      </c>
      <c r="G506" s="1">
        <v>50.53</v>
      </c>
      <c r="H506" s="1">
        <v>2.9109235817E10</v>
      </c>
      <c r="I506" s="1">
        <v>3.7980309491E10</v>
      </c>
      <c r="J506" s="1" t="s">
        <v>1166</v>
      </c>
      <c r="K506" s="1" t="s">
        <v>1167</v>
      </c>
      <c r="L506" s="1">
        <v>6.08</v>
      </c>
      <c r="M506" s="1">
        <v>213.0</v>
      </c>
      <c r="N506" s="1">
        <v>213.0</v>
      </c>
      <c r="O506" s="1">
        <v>17679.0</v>
      </c>
    </row>
    <row r="507">
      <c r="A507" s="1" t="s">
        <v>1168</v>
      </c>
      <c r="B507" s="1" t="s">
        <v>166</v>
      </c>
      <c r="C507" s="1">
        <v>57.958</v>
      </c>
      <c r="D507" s="1" t="s">
        <v>21</v>
      </c>
      <c r="E507" s="1" t="s">
        <v>74</v>
      </c>
      <c r="F507" s="1">
        <v>16.01</v>
      </c>
      <c r="G507" s="1">
        <v>32.19</v>
      </c>
      <c r="H507" s="1">
        <v>4.2518402531E10</v>
      </c>
      <c r="I507" s="1">
        <v>4.9418672792E10</v>
      </c>
      <c r="J507" s="1" t="s">
        <v>1169</v>
      </c>
      <c r="K507" s="1" t="s">
        <v>1170</v>
      </c>
      <c r="L507" s="1">
        <v>3.09</v>
      </c>
      <c r="M507" s="1">
        <v>179.09</v>
      </c>
      <c r="N507" s="1">
        <v>179.0</v>
      </c>
      <c r="O507" s="1">
        <v>14857.0</v>
      </c>
    </row>
    <row r="508">
      <c r="A508" s="1" t="s">
        <v>1171</v>
      </c>
      <c r="B508" s="1" t="s">
        <v>36</v>
      </c>
      <c r="C508" s="1">
        <v>419.7062</v>
      </c>
      <c r="D508" s="1" t="s">
        <v>21</v>
      </c>
      <c r="E508" s="1" t="s">
        <v>37</v>
      </c>
      <c r="F508" s="1">
        <v>57.85</v>
      </c>
      <c r="G508" s="1">
        <v>68.46</v>
      </c>
      <c r="H508" s="1">
        <v>8.0869010194E10</v>
      </c>
      <c r="I508" s="1">
        <v>8.8465873107E10</v>
      </c>
      <c r="J508" s="2">
        <v>45572.22986111111</v>
      </c>
      <c r="K508" s="1" t="s">
        <v>1172</v>
      </c>
      <c r="L508" s="1">
        <v>9.1</v>
      </c>
      <c r="M508" s="1">
        <v>3819.33</v>
      </c>
      <c r="N508" s="1">
        <v>3819.0</v>
      </c>
      <c r="O508" s="1">
        <v>316977.0</v>
      </c>
    </row>
    <row r="509">
      <c r="A509" s="1" t="s">
        <v>1173</v>
      </c>
      <c r="B509" s="1" t="s">
        <v>66</v>
      </c>
      <c r="C509" s="1">
        <v>426.0389</v>
      </c>
      <c r="D509" s="1" t="s">
        <v>17</v>
      </c>
      <c r="E509" s="1" t="s">
        <v>74</v>
      </c>
      <c r="F509" s="1">
        <v>10.48</v>
      </c>
      <c r="G509" s="1">
        <v>75.61</v>
      </c>
      <c r="H509" s="1">
        <v>8.6788522803E10</v>
      </c>
      <c r="I509" s="1">
        <v>8.7955262019E10</v>
      </c>
      <c r="J509" s="1" t="s">
        <v>1174</v>
      </c>
      <c r="K509" s="1" t="s">
        <v>1175</v>
      </c>
      <c r="L509" s="1">
        <v>6.1</v>
      </c>
      <c r="M509" s="1">
        <v>2598.84</v>
      </c>
      <c r="N509" s="1">
        <v>2599.0</v>
      </c>
      <c r="O509" s="1">
        <v>215717.0</v>
      </c>
    </row>
    <row r="510">
      <c r="A510" s="1" t="s">
        <v>1176</v>
      </c>
      <c r="B510" s="1" t="s">
        <v>16</v>
      </c>
      <c r="C510" s="1">
        <v>265.7357</v>
      </c>
      <c r="D510" s="1" t="s">
        <v>17</v>
      </c>
      <c r="E510" s="1" t="s">
        <v>155</v>
      </c>
      <c r="F510" s="1">
        <v>84.58</v>
      </c>
      <c r="G510" s="1">
        <v>66.01</v>
      </c>
      <c r="H510" s="1">
        <v>7.0457004515E10</v>
      </c>
      <c r="I510" s="1">
        <v>7.8234831218E10</v>
      </c>
      <c r="J510" s="1" t="s">
        <v>1177</v>
      </c>
      <c r="K510" s="1" t="s">
        <v>1178</v>
      </c>
      <c r="L510" s="1">
        <v>6.52</v>
      </c>
      <c r="M510" s="1">
        <v>1732.6</v>
      </c>
      <c r="N510" s="1">
        <v>1733.0</v>
      </c>
      <c r="O510" s="1">
        <v>143839.0</v>
      </c>
    </row>
    <row r="511">
      <c r="A511" s="1" t="s">
        <v>1179</v>
      </c>
      <c r="B511" s="1" t="s">
        <v>26</v>
      </c>
      <c r="C511" s="1">
        <v>988.0913</v>
      </c>
      <c r="D511" s="1" t="s">
        <v>21</v>
      </c>
      <c r="E511" s="1" t="s">
        <v>105</v>
      </c>
      <c r="F511" s="1">
        <v>77.86</v>
      </c>
      <c r="G511" s="1">
        <v>5.25</v>
      </c>
      <c r="H511" s="1">
        <v>9.3395819976E10</v>
      </c>
      <c r="I511" s="1">
        <v>9.7172248054E10</v>
      </c>
      <c r="J511" s="2">
        <v>45542.95347222222</v>
      </c>
      <c r="K511" s="2">
        <v>45633.95277777778</v>
      </c>
      <c r="L511" s="1">
        <v>5.45</v>
      </c>
      <c r="M511" s="1">
        <v>5385.1</v>
      </c>
      <c r="N511" s="1">
        <v>5385.0</v>
      </c>
      <c r="O511" s="1">
        <v>446955.0</v>
      </c>
    </row>
    <row r="512">
      <c r="A512" s="1" t="s">
        <v>1180</v>
      </c>
      <c r="B512" s="1" t="s">
        <v>46</v>
      </c>
      <c r="C512" s="1">
        <v>806.0261</v>
      </c>
      <c r="D512" s="1" t="s">
        <v>21</v>
      </c>
      <c r="E512" s="1" t="s">
        <v>37</v>
      </c>
      <c r="F512" s="1">
        <v>35.96</v>
      </c>
      <c r="G512" s="1">
        <v>66.36</v>
      </c>
      <c r="H512" s="1">
        <v>4.3826343439E10</v>
      </c>
      <c r="I512" s="1">
        <v>5.325885663E10</v>
      </c>
      <c r="J512" s="1" t="s">
        <v>1181</v>
      </c>
      <c r="K512" s="1" t="s">
        <v>1182</v>
      </c>
      <c r="L512" s="1">
        <v>7.64</v>
      </c>
      <c r="M512" s="1">
        <v>6158.04</v>
      </c>
      <c r="N512" s="1">
        <v>6158.0</v>
      </c>
      <c r="O512" s="1">
        <v>511114.0</v>
      </c>
    </row>
    <row r="513">
      <c r="A513" s="1" t="s">
        <v>1183</v>
      </c>
      <c r="B513" s="1" t="s">
        <v>273</v>
      </c>
      <c r="C513" s="1">
        <v>788.8919</v>
      </c>
      <c r="D513" s="1" t="s">
        <v>17</v>
      </c>
      <c r="E513" s="1" t="s">
        <v>37</v>
      </c>
      <c r="F513" s="1">
        <v>97.77</v>
      </c>
      <c r="G513" s="1">
        <v>81.97</v>
      </c>
      <c r="H513" s="1">
        <v>2.108806264E10</v>
      </c>
      <c r="I513" s="1">
        <v>3.0282432255E10</v>
      </c>
      <c r="J513" s="2">
        <v>45604.13680555556</v>
      </c>
      <c r="K513" s="1" t="s">
        <v>1184</v>
      </c>
      <c r="L513" s="1">
        <v>1.49</v>
      </c>
      <c r="M513" s="1">
        <v>1175.45</v>
      </c>
      <c r="N513" s="1">
        <v>1175.0</v>
      </c>
      <c r="O513" s="1">
        <v>97525.0</v>
      </c>
    </row>
    <row r="514">
      <c r="A514" s="1" t="s">
        <v>1185</v>
      </c>
      <c r="B514" s="1" t="s">
        <v>16</v>
      </c>
      <c r="C514" s="1">
        <v>406.0277</v>
      </c>
      <c r="D514" s="1" t="s">
        <v>17</v>
      </c>
      <c r="E514" s="1" t="s">
        <v>155</v>
      </c>
      <c r="F514" s="1">
        <v>81.44</v>
      </c>
      <c r="G514" s="1">
        <v>44.07</v>
      </c>
      <c r="H514" s="1">
        <v>6.536459949E9</v>
      </c>
      <c r="I514" s="1">
        <v>1.3396172359E10</v>
      </c>
      <c r="J514" s="1" t="s">
        <v>1186</v>
      </c>
      <c r="K514" s="1" t="s">
        <v>1187</v>
      </c>
      <c r="L514" s="1">
        <v>5.32</v>
      </c>
      <c r="M514" s="1">
        <v>2160.07</v>
      </c>
      <c r="N514" s="1">
        <v>2160.0</v>
      </c>
      <c r="O514" s="1">
        <v>179280.0</v>
      </c>
    </row>
    <row r="515">
      <c r="A515" s="1" t="s">
        <v>1188</v>
      </c>
      <c r="B515" s="1" t="s">
        <v>60</v>
      </c>
      <c r="C515" s="1">
        <v>86.45</v>
      </c>
      <c r="D515" s="1" t="s">
        <v>42</v>
      </c>
      <c r="E515" s="1" t="s">
        <v>54</v>
      </c>
      <c r="F515" s="1">
        <v>74.59</v>
      </c>
      <c r="G515" s="1">
        <v>21.19</v>
      </c>
      <c r="H515" s="1">
        <v>9.3819059399E10</v>
      </c>
      <c r="I515" s="3">
        <v>1.00949E11</v>
      </c>
      <c r="J515" s="2">
        <v>45512.01388888889</v>
      </c>
      <c r="K515" s="2">
        <v>45604.61597222222</v>
      </c>
      <c r="L515" s="1">
        <v>2.29</v>
      </c>
      <c r="M515" s="1">
        <v>197.97</v>
      </c>
      <c r="N515" s="1">
        <v>198.0</v>
      </c>
      <c r="O515" s="1">
        <v>16434.0</v>
      </c>
    </row>
    <row r="516">
      <c r="A516" s="1" t="s">
        <v>1189</v>
      </c>
      <c r="B516" s="1" t="s">
        <v>31</v>
      </c>
      <c r="C516" s="1">
        <v>271.4415</v>
      </c>
      <c r="D516" s="1" t="s">
        <v>21</v>
      </c>
      <c r="E516" s="1" t="s">
        <v>58</v>
      </c>
      <c r="F516" s="1">
        <v>21.34</v>
      </c>
      <c r="G516" s="1">
        <v>95.77</v>
      </c>
      <c r="H516" s="1">
        <v>2.7734517911E10</v>
      </c>
      <c r="I516" s="1">
        <v>2.8809471848E10</v>
      </c>
      <c r="J516" s="2">
        <v>45481.93263888889</v>
      </c>
      <c r="K516" s="2">
        <v>45634.67152777778</v>
      </c>
      <c r="L516" s="1">
        <v>2.69</v>
      </c>
      <c r="M516" s="1">
        <v>730.18</v>
      </c>
      <c r="N516" s="1">
        <v>730.0</v>
      </c>
      <c r="O516" s="1">
        <v>60590.0</v>
      </c>
    </row>
    <row r="517">
      <c r="A517" s="1" t="s">
        <v>1190</v>
      </c>
      <c r="B517" s="1" t="s">
        <v>20</v>
      </c>
      <c r="C517" s="1">
        <v>360.2906</v>
      </c>
      <c r="D517" s="1" t="s">
        <v>21</v>
      </c>
      <c r="E517" s="1" t="s">
        <v>58</v>
      </c>
      <c r="F517" s="1">
        <v>72.9</v>
      </c>
      <c r="G517" s="1">
        <v>43.71</v>
      </c>
      <c r="H517" s="1">
        <v>5.3217530515E10</v>
      </c>
      <c r="I517" s="1">
        <v>5.9494243605E10</v>
      </c>
      <c r="J517" s="1" t="s">
        <v>1191</v>
      </c>
      <c r="K517" s="1" t="s">
        <v>1192</v>
      </c>
      <c r="L517" s="1">
        <v>3.06</v>
      </c>
      <c r="M517" s="1">
        <v>1102.49</v>
      </c>
      <c r="N517" s="1">
        <v>1102.0</v>
      </c>
      <c r="O517" s="1">
        <v>91466.0</v>
      </c>
    </row>
    <row r="518">
      <c r="A518" s="1" t="s">
        <v>1193</v>
      </c>
      <c r="B518" s="1" t="s">
        <v>16</v>
      </c>
      <c r="C518" s="1">
        <v>344.5259</v>
      </c>
      <c r="D518" s="1" t="s">
        <v>21</v>
      </c>
      <c r="E518" s="1" t="s">
        <v>58</v>
      </c>
      <c r="F518" s="1">
        <v>44.12</v>
      </c>
      <c r="G518" s="1">
        <v>97.47</v>
      </c>
      <c r="H518" s="1">
        <v>9.691223949E9</v>
      </c>
      <c r="I518" s="1">
        <v>1.4526022474E10</v>
      </c>
      <c r="J518" s="2">
        <v>45603.55902777778</v>
      </c>
      <c r="K518" s="1" t="s">
        <v>1194</v>
      </c>
      <c r="L518" s="1">
        <v>5.39</v>
      </c>
      <c r="M518" s="1">
        <v>1856.99</v>
      </c>
      <c r="N518" s="1">
        <v>1857.0</v>
      </c>
      <c r="O518" s="1">
        <v>154131.0</v>
      </c>
    </row>
    <row r="519">
      <c r="A519" s="1" t="s">
        <v>1195</v>
      </c>
      <c r="B519" s="1" t="s">
        <v>169</v>
      </c>
      <c r="C519" s="1">
        <v>55.7104</v>
      </c>
      <c r="D519" s="1" t="s">
        <v>21</v>
      </c>
      <c r="E519" s="1" t="s">
        <v>54</v>
      </c>
      <c r="F519" s="1">
        <v>96.17</v>
      </c>
      <c r="G519" s="1">
        <v>81.61</v>
      </c>
      <c r="H519" s="1">
        <v>9.1173793493E10</v>
      </c>
      <c r="I519" s="1">
        <v>9.4690267259E10</v>
      </c>
      <c r="J519" s="1" t="s">
        <v>1196</v>
      </c>
      <c r="K519" s="1" t="s">
        <v>1197</v>
      </c>
      <c r="L519" s="1">
        <v>8.75</v>
      </c>
      <c r="M519" s="1">
        <v>487.47</v>
      </c>
      <c r="N519" s="1">
        <v>487.0</v>
      </c>
      <c r="O519" s="1">
        <v>40421.0</v>
      </c>
    </row>
    <row r="520">
      <c r="A520" s="1" t="s">
        <v>1198</v>
      </c>
      <c r="B520" s="1" t="s">
        <v>273</v>
      </c>
      <c r="C520" s="1">
        <v>785.0175</v>
      </c>
      <c r="D520" s="1" t="s">
        <v>17</v>
      </c>
      <c r="E520" s="1" t="s">
        <v>58</v>
      </c>
      <c r="F520" s="1">
        <v>28.47</v>
      </c>
      <c r="G520" s="1">
        <v>21.39</v>
      </c>
      <c r="H520" s="1">
        <v>2.8040215152E10</v>
      </c>
      <c r="I520" s="1">
        <v>3.4689079584E10</v>
      </c>
      <c r="J520" s="1" t="s">
        <v>1199</v>
      </c>
      <c r="K520" s="1" t="s">
        <v>1200</v>
      </c>
      <c r="L520" s="1">
        <v>6.72</v>
      </c>
      <c r="M520" s="1">
        <v>5275.32</v>
      </c>
      <c r="N520" s="1">
        <v>5275.0</v>
      </c>
      <c r="O520" s="1">
        <v>437825.0</v>
      </c>
    </row>
    <row r="521">
      <c r="A521" s="1" t="s">
        <v>1201</v>
      </c>
      <c r="B521" s="1" t="s">
        <v>20</v>
      </c>
      <c r="C521" s="1">
        <v>776.0638</v>
      </c>
      <c r="D521" s="1" t="s">
        <v>21</v>
      </c>
      <c r="E521" s="1" t="s">
        <v>105</v>
      </c>
      <c r="F521" s="1">
        <v>24.03</v>
      </c>
      <c r="G521" s="1">
        <v>11.41</v>
      </c>
      <c r="H521" s="1">
        <v>9.4269782824E10</v>
      </c>
      <c r="I521" s="3">
        <v>1.00508E11</v>
      </c>
      <c r="J521" s="1" t="s">
        <v>1202</v>
      </c>
      <c r="K521" s="1" t="s">
        <v>1203</v>
      </c>
      <c r="L521" s="1">
        <v>2.81</v>
      </c>
      <c r="M521" s="1">
        <v>2180.74</v>
      </c>
      <c r="N521" s="1">
        <v>2181.0</v>
      </c>
      <c r="O521" s="1">
        <v>181023.0</v>
      </c>
    </row>
    <row r="522">
      <c r="A522" s="1" t="s">
        <v>1204</v>
      </c>
      <c r="B522" s="1" t="s">
        <v>350</v>
      </c>
      <c r="C522" s="1">
        <v>609.1028</v>
      </c>
      <c r="D522" s="1" t="s">
        <v>17</v>
      </c>
      <c r="E522" s="1" t="s">
        <v>22</v>
      </c>
      <c r="F522" s="1">
        <v>75.94</v>
      </c>
      <c r="G522" s="1">
        <v>56.56</v>
      </c>
      <c r="H522" s="1">
        <v>9.5693307169E10</v>
      </c>
      <c r="I522" s="3">
        <v>1.03599E11</v>
      </c>
      <c r="J522" s="2">
        <v>45572.18125</v>
      </c>
      <c r="K522" s="2">
        <v>45603.96805555555</v>
      </c>
      <c r="L522" s="1">
        <v>7.19</v>
      </c>
      <c r="M522" s="1">
        <v>4379.45</v>
      </c>
      <c r="N522" s="1">
        <v>4379.0</v>
      </c>
      <c r="O522" s="1">
        <v>363457.0</v>
      </c>
    </row>
    <row r="523">
      <c r="A523" s="1" t="s">
        <v>1205</v>
      </c>
      <c r="B523" s="1" t="s">
        <v>273</v>
      </c>
      <c r="C523" s="1">
        <v>576.0473</v>
      </c>
      <c r="D523" s="1" t="s">
        <v>21</v>
      </c>
      <c r="E523" s="1" t="s">
        <v>123</v>
      </c>
      <c r="F523" s="1">
        <v>98.94</v>
      </c>
      <c r="G523" s="1">
        <v>80.47</v>
      </c>
      <c r="H523" s="1">
        <v>5.2698888928E10</v>
      </c>
      <c r="I523" s="1">
        <v>5.6187329785E10</v>
      </c>
      <c r="J523" s="1" t="s">
        <v>1206</v>
      </c>
      <c r="K523" s="1" t="s">
        <v>1207</v>
      </c>
      <c r="L523" s="1">
        <v>1.46</v>
      </c>
      <c r="M523" s="1">
        <v>841.03</v>
      </c>
      <c r="N523" s="1">
        <v>841.0</v>
      </c>
      <c r="O523" s="1">
        <v>69803.0</v>
      </c>
    </row>
    <row r="524">
      <c r="A524" s="1" t="s">
        <v>1208</v>
      </c>
      <c r="B524" s="1" t="s">
        <v>16</v>
      </c>
      <c r="C524" s="1">
        <v>190.5469</v>
      </c>
      <c r="D524" s="1" t="s">
        <v>17</v>
      </c>
      <c r="E524" s="1" t="s">
        <v>155</v>
      </c>
      <c r="F524" s="1">
        <v>1.21</v>
      </c>
      <c r="G524" s="1">
        <v>31.08</v>
      </c>
      <c r="H524" s="1">
        <v>8.6403888554E10</v>
      </c>
      <c r="I524" s="1">
        <v>9.6122796373E10</v>
      </c>
      <c r="J524" s="1" t="s">
        <v>1209</v>
      </c>
      <c r="K524" s="1" t="s">
        <v>1210</v>
      </c>
      <c r="L524" s="1">
        <v>9.21</v>
      </c>
      <c r="M524" s="1">
        <v>1754.94</v>
      </c>
      <c r="N524" s="1">
        <v>1755.0</v>
      </c>
      <c r="O524" s="1">
        <v>145665.0</v>
      </c>
    </row>
    <row r="525">
      <c r="A525" s="1" t="s">
        <v>1211</v>
      </c>
      <c r="B525" s="1" t="s">
        <v>99</v>
      </c>
      <c r="C525" s="1">
        <v>801.5769</v>
      </c>
      <c r="D525" s="1" t="s">
        <v>21</v>
      </c>
      <c r="E525" s="1" t="s">
        <v>32</v>
      </c>
      <c r="F525" s="1">
        <v>82.52</v>
      </c>
      <c r="G525" s="1">
        <v>31.1</v>
      </c>
      <c r="H525" s="1">
        <v>7.8666218849E10</v>
      </c>
      <c r="I525" s="1">
        <v>8.5516781967E10</v>
      </c>
      <c r="J525" s="1" t="s">
        <v>1212</v>
      </c>
      <c r="K525" s="2">
        <v>45331.748611111114</v>
      </c>
      <c r="L525" s="1">
        <v>1.58</v>
      </c>
      <c r="M525" s="1">
        <v>1266.49</v>
      </c>
      <c r="N525" s="1">
        <v>1266.0</v>
      </c>
      <c r="O525" s="1">
        <v>105078.0</v>
      </c>
    </row>
    <row r="526">
      <c r="A526" s="1" t="s">
        <v>1213</v>
      </c>
      <c r="B526" s="1" t="s">
        <v>53</v>
      </c>
      <c r="C526" s="1">
        <v>160.4866</v>
      </c>
      <c r="D526" s="1" t="s">
        <v>17</v>
      </c>
      <c r="E526" s="1" t="s">
        <v>32</v>
      </c>
      <c r="F526" s="1">
        <v>34.35</v>
      </c>
      <c r="G526" s="1">
        <v>88.63</v>
      </c>
      <c r="H526" s="1">
        <v>6.0339419641E10</v>
      </c>
      <c r="I526" s="1">
        <v>6.4894726306E10</v>
      </c>
      <c r="J526" s="2">
        <v>45299.87291666667</v>
      </c>
      <c r="K526" s="2">
        <v>45359.450694444444</v>
      </c>
      <c r="L526" s="1">
        <v>2.85</v>
      </c>
      <c r="M526" s="1">
        <v>457.39</v>
      </c>
      <c r="N526" s="1">
        <v>457.0</v>
      </c>
      <c r="O526" s="1">
        <v>37931.0</v>
      </c>
    </row>
    <row r="527">
      <c r="A527" s="1" t="s">
        <v>1214</v>
      </c>
      <c r="B527" s="1" t="s">
        <v>79</v>
      </c>
      <c r="C527" s="1">
        <v>948.4506</v>
      </c>
      <c r="D527" s="1" t="s">
        <v>21</v>
      </c>
      <c r="E527" s="1" t="s">
        <v>27</v>
      </c>
      <c r="F527" s="1">
        <v>34.32</v>
      </c>
      <c r="G527" s="1">
        <v>66.1</v>
      </c>
      <c r="H527" s="1">
        <v>8.3320723084E10</v>
      </c>
      <c r="I527" s="1">
        <v>8.8800038067E10</v>
      </c>
      <c r="J527" s="2">
        <v>45542.17847222222</v>
      </c>
      <c r="K527" s="2">
        <v>45603.424305555556</v>
      </c>
      <c r="L527" s="1">
        <v>6.26</v>
      </c>
      <c r="M527" s="1">
        <v>5937.3</v>
      </c>
      <c r="N527" s="1">
        <v>5937.0</v>
      </c>
      <c r="O527" s="1">
        <v>492771.0</v>
      </c>
    </row>
    <row r="528">
      <c r="A528" s="1" t="s">
        <v>1215</v>
      </c>
      <c r="B528" s="1" t="s">
        <v>60</v>
      </c>
      <c r="C528" s="1">
        <v>61.5833</v>
      </c>
      <c r="D528" s="1" t="s">
        <v>42</v>
      </c>
      <c r="E528" s="1" t="s">
        <v>27</v>
      </c>
      <c r="F528" s="1">
        <v>95.33</v>
      </c>
      <c r="G528" s="1">
        <v>2.13</v>
      </c>
      <c r="H528" s="1">
        <v>8.1293484517E10</v>
      </c>
      <c r="I528" s="1">
        <v>8.4804571225E10</v>
      </c>
      <c r="J528" s="1" t="s">
        <v>1216</v>
      </c>
      <c r="K528" s="1" t="s">
        <v>1217</v>
      </c>
      <c r="L528" s="1">
        <v>7.8</v>
      </c>
      <c r="M528" s="1">
        <v>480.35</v>
      </c>
      <c r="N528" s="1">
        <v>480.0</v>
      </c>
      <c r="O528" s="1">
        <v>39840.0</v>
      </c>
    </row>
    <row r="529">
      <c r="A529" s="1" t="s">
        <v>1218</v>
      </c>
      <c r="B529" s="1" t="s">
        <v>31</v>
      </c>
      <c r="C529" s="1">
        <v>957.9646</v>
      </c>
      <c r="D529" s="1" t="s">
        <v>21</v>
      </c>
      <c r="E529" s="1" t="s">
        <v>58</v>
      </c>
      <c r="F529" s="1">
        <v>92.23</v>
      </c>
      <c r="G529" s="1">
        <v>25.12</v>
      </c>
      <c r="H529" s="1">
        <v>8.2309446703E10</v>
      </c>
      <c r="I529" s="1">
        <v>8.8424557528E10</v>
      </c>
      <c r="J529" s="2">
        <v>45359.97777777778</v>
      </c>
      <c r="K529" s="2">
        <v>45543.6125</v>
      </c>
      <c r="L529" s="1">
        <v>6.52</v>
      </c>
      <c r="M529" s="1">
        <v>6245.93</v>
      </c>
      <c r="N529" s="1">
        <v>6246.0</v>
      </c>
      <c r="O529" s="1">
        <v>518418.0</v>
      </c>
    </row>
    <row r="530">
      <c r="A530" s="1" t="s">
        <v>1219</v>
      </c>
      <c r="B530" s="1" t="s">
        <v>79</v>
      </c>
      <c r="C530" s="1">
        <v>964.4348</v>
      </c>
      <c r="D530" s="1" t="s">
        <v>21</v>
      </c>
      <c r="E530" s="1" t="s">
        <v>70</v>
      </c>
      <c r="F530" s="1">
        <v>98.21</v>
      </c>
      <c r="G530" s="1">
        <v>48.43</v>
      </c>
      <c r="H530" s="1">
        <v>4.6645088937E10</v>
      </c>
      <c r="I530" s="1">
        <v>5.4377521672E10</v>
      </c>
      <c r="J530" s="2">
        <v>45604.23263888889</v>
      </c>
      <c r="K530" s="1" t="s">
        <v>1220</v>
      </c>
      <c r="L530" s="1">
        <v>2.94</v>
      </c>
      <c r="M530" s="1">
        <v>2835.44</v>
      </c>
      <c r="N530" s="1">
        <v>2835.0</v>
      </c>
      <c r="O530" s="1">
        <v>235305.0</v>
      </c>
    </row>
    <row r="531">
      <c r="A531" s="1" t="s">
        <v>1221</v>
      </c>
      <c r="B531" s="1" t="s">
        <v>139</v>
      </c>
      <c r="C531" s="1">
        <v>132.0667</v>
      </c>
      <c r="D531" s="1" t="s">
        <v>42</v>
      </c>
      <c r="E531" s="1" t="s">
        <v>70</v>
      </c>
      <c r="F531" s="1">
        <v>15.36</v>
      </c>
      <c r="G531" s="1">
        <v>83.56</v>
      </c>
      <c r="H531" s="1">
        <v>9.6608816612E10</v>
      </c>
      <c r="I531" s="3">
        <v>1.05529E11</v>
      </c>
      <c r="J531" s="1" t="s">
        <v>1222</v>
      </c>
      <c r="K531" s="1" t="s">
        <v>1223</v>
      </c>
      <c r="L531" s="1">
        <v>3.33</v>
      </c>
      <c r="M531" s="1">
        <v>439.78</v>
      </c>
      <c r="N531" s="1">
        <v>440.0</v>
      </c>
      <c r="O531" s="1">
        <v>36520.0</v>
      </c>
    </row>
    <row r="532">
      <c r="A532" s="1" t="s">
        <v>1224</v>
      </c>
      <c r="B532" s="1" t="s">
        <v>79</v>
      </c>
      <c r="C532" s="1">
        <v>997.4543</v>
      </c>
      <c r="D532" s="1" t="s">
        <v>21</v>
      </c>
      <c r="E532" s="1" t="s">
        <v>70</v>
      </c>
      <c r="F532" s="1">
        <v>91.96</v>
      </c>
      <c r="G532" s="1">
        <v>91.61</v>
      </c>
      <c r="H532" s="1">
        <v>7.0776801115E10</v>
      </c>
      <c r="I532" s="1">
        <v>7.4943205024E10</v>
      </c>
      <c r="J532" s="1" t="s">
        <v>1225</v>
      </c>
      <c r="K532" s="1" t="s">
        <v>1226</v>
      </c>
      <c r="L532" s="1">
        <v>4.03</v>
      </c>
      <c r="M532" s="1">
        <v>4019.74</v>
      </c>
      <c r="N532" s="1">
        <v>4020.0</v>
      </c>
      <c r="O532" s="1">
        <v>333660.0</v>
      </c>
    </row>
    <row r="533">
      <c r="A533" s="1" t="s">
        <v>1227</v>
      </c>
      <c r="B533" s="1" t="s">
        <v>57</v>
      </c>
      <c r="C533" s="1">
        <v>98.5522</v>
      </c>
      <c r="D533" s="1" t="s">
        <v>17</v>
      </c>
      <c r="E533" s="1" t="s">
        <v>155</v>
      </c>
      <c r="F533" s="1">
        <v>38.11</v>
      </c>
      <c r="G533" s="1">
        <v>0.95</v>
      </c>
      <c r="H533" s="1">
        <v>2.7363451299E10</v>
      </c>
      <c r="I533" s="1">
        <v>3.5833738864E10</v>
      </c>
      <c r="J533" s="2">
        <v>45572.10138888889</v>
      </c>
      <c r="K533" s="2">
        <v>45633.291666666664</v>
      </c>
      <c r="L533" s="1">
        <v>7.37</v>
      </c>
      <c r="M533" s="1">
        <v>726.33</v>
      </c>
      <c r="N533" s="1">
        <v>726.0</v>
      </c>
      <c r="O533" s="1">
        <v>60258.0</v>
      </c>
    </row>
    <row r="534">
      <c r="A534" s="1" t="s">
        <v>1228</v>
      </c>
      <c r="B534" s="1" t="s">
        <v>166</v>
      </c>
      <c r="C534" s="1">
        <v>755.9279</v>
      </c>
      <c r="D534" s="1" t="s">
        <v>21</v>
      </c>
      <c r="E534" s="1" t="s">
        <v>32</v>
      </c>
      <c r="F534" s="1">
        <v>13.63</v>
      </c>
      <c r="G534" s="1">
        <v>91.41</v>
      </c>
      <c r="H534" s="1">
        <v>4.145901421E10</v>
      </c>
      <c r="I534" s="1">
        <v>4.7929914232E10</v>
      </c>
      <c r="J534" s="1" t="s">
        <v>1229</v>
      </c>
      <c r="K534" s="1" t="s">
        <v>1230</v>
      </c>
      <c r="L534" s="1">
        <v>3.59</v>
      </c>
      <c r="M534" s="1">
        <v>2713.78</v>
      </c>
      <c r="N534" s="1">
        <v>2714.0</v>
      </c>
      <c r="O534" s="1">
        <v>225262.0</v>
      </c>
    </row>
    <row r="535">
      <c r="A535" s="1" t="s">
        <v>1231</v>
      </c>
      <c r="B535" s="1" t="s">
        <v>122</v>
      </c>
      <c r="C535" s="1">
        <v>388.3619</v>
      </c>
      <c r="D535" s="1" t="s">
        <v>17</v>
      </c>
      <c r="E535" s="1" t="s">
        <v>54</v>
      </c>
      <c r="F535" s="1">
        <v>28.47</v>
      </c>
      <c r="G535" s="1">
        <v>9.27</v>
      </c>
      <c r="H535" s="1">
        <v>1.6624322226E10</v>
      </c>
      <c r="I535" s="1">
        <v>2.1659815981E10</v>
      </c>
      <c r="J535" s="2">
        <v>45451.08472222222</v>
      </c>
      <c r="K535" s="2">
        <v>45481.66875</v>
      </c>
      <c r="L535" s="1">
        <v>1.0</v>
      </c>
      <c r="M535" s="1">
        <v>388.36</v>
      </c>
      <c r="N535" s="1">
        <v>388.0</v>
      </c>
      <c r="O535" s="1">
        <v>32204.0</v>
      </c>
    </row>
    <row r="536">
      <c r="A536" s="1" t="s">
        <v>1232</v>
      </c>
      <c r="B536" s="1" t="s">
        <v>79</v>
      </c>
      <c r="C536" s="1">
        <v>568.3773</v>
      </c>
      <c r="D536" s="1" t="s">
        <v>21</v>
      </c>
      <c r="E536" s="1" t="s">
        <v>22</v>
      </c>
      <c r="F536" s="1">
        <v>8.79</v>
      </c>
      <c r="G536" s="1">
        <v>52.74</v>
      </c>
      <c r="H536" s="1">
        <v>1.3537126855E10</v>
      </c>
      <c r="I536" s="1">
        <v>1.6002647625E10</v>
      </c>
      <c r="J536" s="2">
        <v>45543.98819444444</v>
      </c>
      <c r="K536" s="2">
        <v>45634.25555555556</v>
      </c>
      <c r="L536" s="1">
        <v>5.71</v>
      </c>
      <c r="M536" s="1">
        <v>3245.43</v>
      </c>
      <c r="N536" s="1">
        <v>3245.0</v>
      </c>
      <c r="O536" s="1">
        <v>269335.0</v>
      </c>
    </row>
    <row r="537">
      <c r="A537" s="1" t="s">
        <v>1233</v>
      </c>
      <c r="B537" s="1" t="s">
        <v>122</v>
      </c>
      <c r="C537" s="1">
        <v>446.7635</v>
      </c>
      <c r="D537" s="1" t="s">
        <v>17</v>
      </c>
      <c r="E537" s="1" t="s">
        <v>37</v>
      </c>
      <c r="F537" s="1">
        <v>38.45</v>
      </c>
      <c r="G537" s="1">
        <v>58.64</v>
      </c>
      <c r="H537" s="1">
        <v>8.9140612486E10</v>
      </c>
      <c r="I537" s="1">
        <v>9.5390226085E10</v>
      </c>
      <c r="J537" s="2">
        <v>45511.94236111111</v>
      </c>
      <c r="K537" s="2">
        <v>45572.00069444445</v>
      </c>
      <c r="L537" s="1">
        <v>8.27</v>
      </c>
      <c r="M537" s="1">
        <v>3694.73</v>
      </c>
      <c r="N537" s="1">
        <v>3695.0</v>
      </c>
      <c r="O537" s="1">
        <v>306685.0</v>
      </c>
    </row>
    <row r="538">
      <c r="A538" s="1" t="s">
        <v>1234</v>
      </c>
      <c r="B538" s="1" t="s">
        <v>60</v>
      </c>
      <c r="C538" s="1">
        <v>137.0667</v>
      </c>
      <c r="D538" s="1" t="s">
        <v>42</v>
      </c>
      <c r="E538" s="1" t="s">
        <v>27</v>
      </c>
      <c r="F538" s="1">
        <v>28.29</v>
      </c>
      <c r="G538" s="1">
        <v>4.12</v>
      </c>
      <c r="H538" s="1">
        <v>3.8561687282E10</v>
      </c>
      <c r="I538" s="1">
        <v>4.5947923845E10</v>
      </c>
      <c r="J538" s="2">
        <v>45420.84583333333</v>
      </c>
      <c r="K538" s="2">
        <v>45604.55694444444</v>
      </c>
      <c r="L538" s="1">
        <v>2.9</v>
      </c>
      <c r="M538" s="1">
        <v>397.49</v>
      </c>
      <c r="N538" s="1">
        <v>397.0</v>
      </c>
      <c r="O538" s="1">
        <v>32951.0</v>
      </c>
    </row>
    <row r="539">
      <c r="A539" s="1" t="s">
        <v>1235</v>
      </c>
      <c r="B539" s="1" t="s">
        <v>139</v>
      </c>
      <c r="C539" s="1">
        <v>102.3167</v>
      </c>
      <c r="D539" s="1" t="s">
        <v>42</v>
      </c>
      <c r="E539" s="1" t="s">
        <v>54</v>
      </c>
      <c r="F539" s="1">
        <v>86.34</v>
      </c>
      <c r="G539" s="1">
        <v>15.71</v>
      </c>
      <c r="H539" s="1">
        <v>6.219147399E9</v>
      </c>
      <c r="I539" s="1">
        <v>1.5724023212E10</v>
      </c>
      <c r="J539" s="1" t="s">
        <v>1236</v>
      </c>
      <c r="K539" s="1" t="s">
        <v>1237</v>
      </c>
      <c r="L539" s="1">
        <v>2.62</v>
      </c>
      <c r="M539" s="1">
        <v>268.07</v>
      </c>
      <c r="N539" s="1">
        <v>268.0</v>
      </c>
      <c r="O539" s="1">
        <v>22244.0</v>
      </c>
    </row>
    <row r="540">
      <c r="A540" s="1" t="s">
        <v>1238</v>
      </c>
      <c r="B540" s="1" t="s">
        <v>57</v>
      </c>
      <c r="C540" s="1">
        <v>164.0299</v>
      </c>
      <c r="D540" s="1" t="s">
        <v>21</v>
      </c>
      <c r="E540" s="1" t="s">
        <v>27</v>
      </c>
      <c r="F540" s="1">
        <v>8.67</v>
      </c>
      <c r="G540" s="1">
        <v>25.58</v>
      </c>
      <c r="H540" s="1">
        <v>4.9968206937E10</v>
      </c>
      <c r="I540" s="1">
        <v>5.7300087049E10</v>
      </c>
      <c r="J540" s="2">
        <v>45573.69583333333</v>
      </c>
      <c r="K540" s="1" t="s">
        <v>1239</v>
      </c>
      <c r="L540" s="1">
        <v>7.31</v>
      </c>
      <c r="M540" s="1">
        <v>1199.06</v>
      </c>
      <c r="N540" s="1">
        <v>1199.0</v>
      </c>
      <c r="O540" s="1">
        <v>99517.0</v>
      </c>
    </row>
    <row r="541">
      <c r="A541" s="1" t="s">
        <v>1240</v>
      </c>
      <c r="B541" s="1" t="s">
        <v>26</v>
      </c>
      <c r="C541" s="1">
        <v>574.5176</v>
      </c>
      <c r="D541" s="1" t="s">
        <v>21</v>
      </c>
      <c r="E541" s="1" t="s">
        <v>105</v>
      </c>
      <c r="F541" s="1">
        <v>99.22</v>
      </c>
      <c r="G541" s="1">
        <v>99.12</v>
      </c>
      <c r="H541" s="1">
        <v>6.4985616255E10</v>
      </c>
      <c r="I541" s="1">
        <v>6.9629329099E10</v>
      </c>
      <c r="J541" s="1" t="s">
        <v>1241</v>
      </c>
      <c r="K541" s="1" t="s">
        <v>1242</v>
      </c>
      <c r="L541" s="1">
        <v>7.6</v>
      </c>
      <c r="M541" s="1">
        <v>4366.33</v>
      </c>
      <c r="N541" s="1">
        <v>4366.0</v>
      </c>
      <c r="O541" s="1">
        <v>362378.0</v>
      </c>
    </row>
    <row r="542">
      <c r="A542" s="1" t="s">
        <v>1243</v>
      </c>
      <c r="B542" s="1" t="s">
        <v>112</v>
      </c>
      <c r="C542" s="1">
        <v>60.7833</v>
      </c>
      <c r="D542" s="1" t="s">
        <v>42</v>
      </c>
      <c r="E542" s="1" t="s">
        <v>54</v>
      </c>
      <c r="F542" s="1">
        <v>89.95</v>
      </c>
      <c r="G542" s="1">
        <v>17.36</v>
      </c>
      <c r="H542" s="1">
        <v>4.4055330491E10</v>
      </c>
      <c r="I542" s="1">
        <v>4.4631492274E10</v>
      </c>
      <c r="J542" s="1" t="s">
        <v>1244</v>
      </c>
      <c r="K542" s="1" t="s">
        <v>1245</v>
      </c>
      <c r="L542" s="1">
        <v>8.24</v>
      </c>
      <c r="M542" s="1">
        <v>500.85</v>
      </c>
      <c r="N542" s="1">
        <v>501.0</v>
      </c>
      <c r="O542" s="1">
        <v>41583.0</v>
      </c>
    </row>
    <row r="543">
      <c r="A543" s="1" t="s">
        <v>1246</v>
      </c>
      <c r="B543" s="1" t="s">
        <v>31</v>
      </c>
      <c r="C543" s="1">
        <v>315.848</v>
      </c>
      <c r="D543" s="1" t="s">
        <v>21</v>
      </c>
      <c r="E543" s="1" t="s">
        <v>74</v>
      </c>
      <c r="F543" s="1">
        <v>40.42</v>
      </c>
      <c r="G543" s="1">
        <v>3.39</v>
      </c>
      <c r="H543" s="1">
        <v>2.2470722254E10</v>
      </c>
      <c r="I543" s="1">
        <v>3.1363688005E10</v>
      </c>
      <c r="J543" s="2">
        <v>45420.71111111111</v>
      </c>
      <c r="K543" s="2">
        <v>45512.25555555556</v>
      </c>
      <c r="L543" s="1">
        <v>1.1</v>
      </c>
      <c r="M543" s="1">
        <v>347.43</v>
      </c>
      <c r="N543" s="1">
        <v>347.0</v>
      </c>
      <c r="O543" s="1">
        <v>28801.0</v>
      </c>
    </row>
    <row r="544">
      <c r="A544" s="1" t="s">
        <v>1247</v>
      </c>
      <c r="B544" s="1" t="s">
        <v>31</v>
      </c>
      <c r="C544" s="1">
        <v>851.9663</v>
      </c>
      <c r="D544" s="1" t="s">
        <v>17</v>
      </c>
      <c r="E544" s="1" t="s">
        <v>70</v>
      </c>
      <c r="F544" s="1">
        <v>16.04</v>
      </c>
      <c r="G544" s="1">
        <v>92.44</v>
      </c>
      <c r="H544" s="1">
        <v>1.570346992E10</v>
      </c>
      <c r="I544" s="1">
        <v>2.293338707E10</v>
      </c>
      <c r="J544" s="2">
        <v>45299.69236111111</v>
      </c>
      <c r="K544" s="2">
        <v>45359.895833333336</v>
      </c>
      <c r="L544" s="1">
        <v>7.58</v>
      </c>
      <c r="M544" s="1">
        <v>6457.9</v>
      </c>
      <c r="N544" s="1">
        <v>6458.0</v>
      </c>
      <c r="O544" s="1">
        <v>536014.0</v>
      </c>
    </row>
    <row r="545">
      <c r="A545" s="1" t="s">
        <v>1248</v>
      </c>
      <c r="B545" s="1" t="s">
        <v>16</v>
      </c>
      <c r="C545" s="1">
        <v>102.4153</v>
      </c>
      <c r="D545" s="1" t="s">
        <v>21</v>
      </c>
      <c r="E545" s="1" t="s">
        <v>37</v>
      </c>
      <c r="F545" s="1">
        <v>0.69</v>
      </c>
      <c r="G545" s="1">
        <v>79.14</v>
      </c>
      <c r="H545" s="1">
        <v>4.6113640301E10</v>
      </c>
      <c r="I545" s="1">
        <v>5.0547921965E10</v>
      </c>
      <c r="J545" s="1" t="s">
        <v>1249</v>
      </c>
      <c r="K545" s="1" t="s">
        <v>1250</v>
      </c>
      <c r="L545" s="1">
        <v>1.77</v>
      </c>
      <c r="M545" s="1">
        <v>181.28</v>
      </c>
      <c r="N545" s="1">
        <v>181.0</v>
      </c>
      <c r="O545" s="1">
        <v>15023.0</v>
      </c>
    </row>
    <row r="546">
      <c r="A546" s="1" t="s">
        <v>1251</v>
      </c>
      <c r="B546" s="1" t="s">
        <v>16</v>
      </c>
      <c r="C546" s="1">
        <v>530.5378</v>
      </c>
      <c r="D546" s="1" t="s">
        <v>17</v>
      </c>
      <c r="E546" s="1" t="s">
        <v>54</v>
      </c>
      <c r="F546" s="1">
        <v>5.63</v>
      </c>
      <c r="G546" s="1">
        <v>80.46</v>
      </c>
      <c r="H546" s="1">
        <v>4.7148543586E10</v>
      </c>
      <c r="I546" s="1">
        <v>5.513059965E10</v>
      </c>
      <c r="J546" s="1" t="s">
        <v>1252</v>
      </c>
      <c r="K546" s="1" t="s">
        <v>1253</v>
      </c>
      <c r="L546" s="1">
        <v>3.49</v>
      </c>
      <c r="M546" s="1">
        <v>1851.58</v>
      </c>
      <c r="N546" s="1">
        <v>1852.0</v>
      </c>
      <c r="O546" s="1">
        <v>153716.0</v>
      </c>
    </row>
    <row r="547">
      <c r="A547" s="1" t="s">
        <v>1254</v>
      </c>
      <c r="B547" s="1" t="s">
        <v>166</v>
      </c>
      <c r="C547" s="1">
        <v>439.1355</v>
      </c>
      <c r="D547" s="1" t="s">
        <v>21</v>
      </c>
      <c r="E547" s="1" t="s">
        <v>70</v>
      </c>
      <c r="F547" s="1">
        <v>0.69</v>
      </c>
      <c r="G547" s="1">
        <v>57.08</v>
      </c>
      <c r="H547" s="1">
        <v>3.5134645139E10</v>
      </c>
      <c r="I547" s="1">
        <v>3.7251592742E10</v>
      </c>
      <c r="J547" s="2">
        <v>45298.46527777778</v>
      </c>
      <c r="K547" s="2">
        <v>45450.88680555556</v>
      </c>
      <c r="L547" s="1">
        <v>7.67</v>
      </c>
      <c r="M547" s="1">
        <v>3368.17</v>
      </c>
      <c r="N547" s="1">
        <v>3368.0</v>
      </c>
      <c r="O547" s="1">
        <v>279544.0</v>
      </c>
    </row>
    <row r="548">
      <c r="A548" s="1" t="s">
        <v>1255</v>
      </c>
      <c r="B548" s="1" t="s">
        <v>66</v>
      </c>
      <c r="C548" s="1">
        <v>139.8127</v>
      </c>
      <c r="D548" s="1" t="s">
        <v>21</v>
      </c>
      <c r="E548" s="1" t="s">
        <v>123</v>
      </c>
      <c r="F548" s="1">
        <v>36.36</v>
      </c>
      <c r="G548" s="1">
        <v>12.6</v>
      </c>
      <c r="H548" s="1">
        <v>2.707689102E9</v>
      </c>
      <c r="I548" s="1">
        <v>7.586503982E9</v>
      </c>
      <c r="J548" s="2">
        <v>45512.9875</v>
      </c>
      <c r="K548" s="2">
        <v>45634.055555555555</v>
      </c>
      <c r="L548" s="1">
        <v>8.65</v>
      </c>
      <c r="M548" s="1">
        <v>1209.38</v>
      </c>
      <c r="N548" s="1">
        <v>1209.0</v>
      </c>
      <c r="O548" s="1">
        <v>100347.0</v>
      </c>
    </row>
    <row r="549">
      <c r="A549" s="1" t="s">
        <v>1256</v>
      </c>
      <c r="B549" s="1" t="s">
        <v>60</v>
      </c>
      <c r="C549" s="1">
        <v>33.9333</v>
      </c>
      <c r="D549" s="1" t="s">
        <v>42</v>
      </c>
      <c r="E549" s="1" t="s">
        <v>32</v>
      </c>
      <c r="F549" s="1">
        <v>5.08</v>
      </c>
      <c r="G549" s="1">
        <v>95.79</v>
      </c>
      <c r="H549" s="1">
        <v>3.6443878481E10</v>
      </c>
      <c r="I549" s="1">
        <v>4.3988606214E10</v>
      </c>
      <c r="J549" s="1" t="s">
        <v>1257</v>
      </c>
      <c r="K549" s="1" t="s">
        <v>1258</v>
      </c>
      <c r="L549" s="1">
        <v>6.0</v>
      </c>
      <c r="M549" s="1">
        <v>203.6</v>
      </c>
      <c r="N549" s="1">
        <v>204.0</v>
      </c>
      <c r="O549" s="1">
        <v>16932.0</v>
      </c>
    </row>
    <row r="550">
      <c r="A550" s="1" t="s">
        <v>1259</v>
      </c>
      <c r="B550" s="1" t="s">
        <v>128</v>
      </c>
      <c r="C550" s="1">
        <v>983.2136</v>
      </c>
      <c r="D550" s="1" t="s">
        <v>17</v>
      </c>
      <c r="E550" s="1" t="s">
        <v>37</v>
      </c>
      <c r="F550" s="1">
        <v>8.79</v>
      </c>
      <c r="G550" s="1">
        <v>61.74</v>
      </c>
      <c r="H550" s="1">
        <v>5.708649608E10</v>
      </c>
      <c r="I550" s="1">
        <v>6.414697506E10</v>
      </c>
      <c r="J550" s="1" t="s">
        <v>1260</v>
      </c>
      <c r="K550" s="1" t="s">
        <v>1261</v>
      </c>
      <c r="L550" s="1">
        <v>8.9</v>
      </c>
      <c r="M550" s="1">
        <v>8750.6</v>
      </c>
      <c r="N550" s="1">
        <v>8751.0</v>
      </c>
      <c r="O550" s="1">
        <v>726333.0</v>
      </c>
    </row>
    <row r="551">
      <c r="A551" s="1" t="s">
        <v>1262</v>
      </c>
      <c r="B551" s="1" t="s">
        <v>147</v>
      </c>
      <c r="C551" s="1">
        <v>68.5167</v>
      </c>
      <c r="D551" s="1" t="s">
        <v>42</v>
      </c>
      <c r="E551" s="1" t="s">
        <v>37</v>
      </c>
      <c r="F551" s="1">
        <v>56.01</v>
      </c>
      <c r="G551" s="1">
        <v>51.42</v>
      </c>
      <c r="H551" s="1">
        <v>4.1665426239E10</v>
      </c>
      <c r="I551" s="1">
        <v>4.350596649E10</v>
      </c>
      <c r="J551" s="1" t="s">
        <v>1263</v>
      </c>
      <c r="K551" s="1" t="s">
        <v>1264</v>
      </c>
      <c r="L551" s="1">
        <v>8.54</v>
      </c>
      <c r="M551" s="1">
        <v>585.13</v>
      </c>
      <c r="N551" s="1">
        <v>585.0</v>
      </c>
      <c r="O551" s="1">
        <v>48555.0</v>
      </c>
    </row>
    <row r="552">
      <c r="A552" s="1" t="s">
        <v>1265</v>
      </c>
      <c r="B552" s="1" t="s">
        <v>26</v>
      </c>
      <c r="C552" s="1">
        <v>668.9061</v>
      </c>
      <c r="D552" s="1" t="s">
        <v>17</v>
      </c>
      <c r="E552" s="1" t="s">
        <v>54</v>
      </c>
      <c r="F552" s="1">
        <v>64.24</v>
      </c>
      <c r="G552" s="1">
        <v>46.71</v>
      </c>
      <c r="H552" s="1">
        <v>6.6275745278E10</v>
      </c>
      <c r="I552" s="1">
        <v>7.524380418E10</v>
      </c>
      <c r="J552" s="2">
        <v>45298.32013888889</v>
      </c>
      <c r="K552" s="2">
        <v>45389.43402777778</v>
      </c>
      <c r="L552" s="1">
        <v>5.96</v>
      </c>
      <c r="M552" s="1">
        <v>3986.68</v>
      </c>
      <c r="N552" s="1">
        <v>3987.0</v>
      </c>
      <c r="O552" s="1">
        <v>330921.0</v>
      </c>
    </row>
    <row r="553">
      <c r="A553" s="1" t="s">
        <v>1266</v>
      </c>
      <c r="B553" s="1" t="s">
        <v>62</v>
      </c>
      <c r="C553" s="1">
        <v>70.9833</v>
      </c>
      <c r="D553" s="1" t="s">
        <v>42</v>
      </c>
      <c r="E553" s="1" t="s">
        <v>123</v>
      </c>
      <c r="F553" s="1">
        <v>59.38</v>
      </c>
      <c r="G553" s="1">
        <v>77.29</v>
      </c>
      <c r="H553" s="1">
        <v>9.9506684814E10</v>
      </c>
      <c r="I553" s="3">
        <v>1.00645E11</v>
      </c>
      <c r="J553" s="1" t="s">
        <v>1267</v>
      </c>
      <c r="K553" s="1" t="s">
        <v>1268</v>
      </c>
      <c r="L553" s="1">
        <v>8.0</v>
      </c>
      <c r="M553" s="1">
        <v>567.87</v>
      </c>
      <c r="N553" s="1">
        <v>568.0</v>
      </c>
      <c r="O553" s="1">
        <v>47144.0</v>
      </c>
    </row>
    <row r="554">
      <c r="A554" s="1" t="s">
        <v>1269</v>
      </c>
      <c r="B554" s="1" t="s">
        <v>273</v>
      </c>
      <c r="C554" s="1">
        <v>399.8697</v>
      </c>
      <c r="D554" s="1" t="s">
        <v>17</v>
      </c>
      <c r="E554" s="1" t="s">
        <v>58</v>
      </c>
      <c r="F554" s="1">
        <v>44.3</v>
      </c>
      <c r="G554" s="1">
        <v>51.81</v>
      </c>
      <c r="H554" s="1">
        <v>2.2227345114E10</v>
      </c>
      <c r="I554" s="1">
        <v>2.2583927548E10</v>
      </c>
      <c r="J554" s="1" t="s">
        <v>1270</v>
      </c>
      <c r="K554" s="1" t="s">
        <v>1271</v>
      </c>
      <c r="L554" s="1">
        <v>6.54</v>
      </c>
      <c r="M554" s="1">
        <v>2615.15</v>
      </c>
      <c r="N554" s="1">
        <v>2615.0</v>
      </c>
      <c r="O554" s="1">
        <v>217045.0</v>
      </c>
    </row>
    <row r="555">
      <c r="A555" s="1" t="s">
        <v>1272</v>
      </c>
      <c r="B555" s="1" t="s">
        <v>183</v>
      </c>
      <c r="C555" s="1">
        <v>661.8909</v>
      </c>
      <c r="D555" s="1" t="s">
        <v>21</v>
      </c>
      <c r="E555" s="1" t="s">
        <v>54</v>
      </c>
      <c r="F555" s="1">
        <v>97.45</v>
      </c>
      <c r="G555" s="1">
        <v>33.87</v>
      </c>
      <c r="H555" s="1">
        <v>4.7400717792E10</v>
      </c>
      <c r="I555" s="1">
        <v>5.0656729309E10</v>
      </c>
      <c r="J555" s="2">
        <v>45358.53402777778</v>
      </c>
      <c r="K555" s="2">
        <v>45480.001388888886</v>
      </c>
      <c r="L555" s="1">
        <v>1.89</v>
      </c>
      <c r="M555" s="1">
        <v>1250.97</v>
      </c>
      <c r="N555" s="1">
        <v>1251.0</v>
      </c>
      <c r="O555" s="1">
        <v>103833.0</v>
      </c>
    </row>
    <row r="556">
      <c r="A556" s="1" t="s">
        <v>1273</v>
      </c>
      <c r="B556" s="1" t="s">
        <v>53</v>
      </c>
      <c r="C556" s="1">
        <v>133.9256</v>
      </c>
      <c r="D556" s="1" t="s">
        <v>17</v>
      </c>
      <c r="E556" s="1" t="s">
        <v>105</v>
      </c>
      <c r="F556" s="1">
        <v>42.83</v>
      </c>
      <c r="G556" s="1">
        <v>23.04</v>
      </c>
      <c r="H556" s="1">
        <v>7.407345405E10</v>
      </c>
      <c r="I556" s="1">
        <v>8.0762114631E10</v>
      </c>
      <c r="J556" s="1" t="s">
        <v>1274</v>
      </c>
      <c r="K556" s="1" t="s">
        <v>1275</v>
      </c>
      <c r="L556" s="1">
        <v>4.5</v>
      </c>
      <c r="M556" s="1">
        <v>602.67</v>
      </c>
      <c r="N556" s="1">
        <v>603.0</v>
      </c>
      <c r="O556" s="1">
        <v>50049.0</v>
      </c>
    </row>
    <row r="557">
      <c r="A557" s="1" t="s">
        <v>1276</v>
      </c>
      <c r="B557" s="1" t="s">
        <v>16</v>
      </c>
      <c r="C557" s="1">
        <v>104.7603</v>
      </c>
      <c r="D557" s="1" t="s">
        <v>21</v>
      </c>
      <c r="E557" s="1" t="s">
        <v>123</v>
      </c>
      <c r="F557" s="1">
        <v>47.39</v>
      </c>
      <c r="G557" s="1">
        <v>38.48</v>
      </c>
      <c r="H557" s="1">
        <v>9.2008303208E10</v>
      </c>
      <c r="I557" s="1">
        <v>9.9187474674E10</v>
      </c>
      <c r="J557" s="1" t="s">
        <v>1277</v>
      </c>
      <c r="K557" s="1" t="s">
        <v>1278</v>
      </c>
      <c r="L557" s="1">
        <v>2.02</v>
      </c>
      <c r="M557" s="1">
        <v>211.62</v>
      </c>
      <c r="N557" s="1">
        <v>212.0</v>
      </c>
      <c r="O557" s="1">
        <v>17596.0</v>
      </c>
    </row>
    <row r="558">
      <c r="A558" s="1" t="s">
        <v>1279</v>
      </c>
      <c r="B558" s="1" t="s">
        <v>46</v>
      </c>
      <c r="C558" s="1">
        <v>952.6501</v>
      </c>
      <c r="D558" s="1" t="s">
        <v>17</v>
      </c>
      <c r="E558" s="1" t="s">
        <v>58</v>
      </c>
      <c r="F558" s="1">
        <v>6.97</v>
      </c>
      <c r="G558" s="1">
        <v>29.33</v>
      </c>
      <c r="H558" s="1">
        <v>7.430082041E10</v>
      </c>
      <c r="I558" s="1">
        <v>7.5338702575E10</v>
      </c>
      <c r="J558" s="1" t="s">
        <v>1280</v>
      </c>
      <c r="K558" s="2">
        <v>45451.11944444444</v>
      </c>
      <c r="L558" s="1">
        <v>7.4</v>
      </c>
      <c r="M558" s="1">
        <v>7049.61</v>
      </c>
      <c r="N558" s="1">
        <v>7050.0</v>
      </c>
      <c r="O558" s="1">
        <v>585150.0</v>
      </c>
    </row>
    <row r="559">
      <c r="A559" s="1" t="s">
        <v>1281</v>
      </c>
      <c r="B559" s="1" t="s">
        <v>53</v>
      </c>
      <c r="C559" s="1">
        <v>47.7975</v>
      </c>
      <c r="D559" s="1" t="s">
        <v>21</v>
      </c>
      <c r="E559" s="1" t="s">
        <v>22</v>
      </c>
      <c r="F559" s="1">
        <v>14.61</v>
      </c>
      <c r="G559" s="1">
        <v>58.3</v>
      </c>
      <c r="H559" s="1">
        <v>2.0945802878E10</v>
      </c>
      <c r="I559" s="1">
        <v>2.7359115076E10</v>
      </c>
      <c r="J559" s="1" t="s">
        <v>1282</v>
      </c>
      <c r="K559" s="1" t="s">
        <v>1283</v>
      </c>
      <c r="L559" s="1">
        <v>8.94</v>
      </c>
      <c r="M559" s="1">
        <v>427.31</v>
      </c>
      <c r="N559" s="1">
        <v>427.0</v>
      </c>
      <c r="O559" s="1">
        <v>35441.0</v>
      </c>
    </row>
    <row r="560">
      <c r="A560" s="1" t="s">
        <v>1284</v>
      </c>
      <c r="B560" s="1" t="s">
        <v>53</v>
      </c>
      <c r="C560" s="1">
        <v>244.9716</v>
      </c>
      <c r="D560" s="1" t="s">
        <v>17</v>
      </c>
      <c r="E560" s="1" t="s">
        <v>70</v>
      </c>
      <c r="F560" s="1">
        <v>60.59</v>
      </c>
      <c r="G560" s="1">
        <v>24.0</v>
      </c>
      <c r="H560" s="1">
        <v>1.7152367E10</v>
      </c>
      <c r="I560" s="1">
        <v>2.5291730468E10</v>
      </c>
      <c r="J560" s="1" t="s">
        <v>1285</v>
      </c>
      <c r="K560" s="1" t="s">
        <v>1286</v>
      </c>
      <c r="L560" s="1">
        <v>5.57</v>
      </c>
      <c r="M560" s="1">
        <v>1364.49</v>
      </c>
      <c r="N560" s="1">
        <v>1364.0</v>
      </c>
      <c r="O560" s="1">
        <v>113212.0</v>
      </c>
    </row>
    <row r="561">
      <c r="A561" s="1" t="s">
        <v>1287</v>
      </c>
      <c r="B561" s="1" t="s">
        <v>128</v>
      </c>
      <c r="C561" s="1">
        <v>908.6697</v>
      </c>
      <c r="D561" s="1" t="s">
        <v>21</v>
      </c>
      <c r="E561" s="1" t="s">
        <v>58</v>
      </c>
      <c r="F561" s="1">
        <v>38.37</v>
      </c>
      <c r="G561" s="1">
        <v>95.07</v>
      </c>
      <c r="H561" s="1">
        <v>7.227149701E10</v>
      </c>
      <c r="I561" s="1">
        <v>7.2781188808E10</v>
      </c>
      <c r="J561" s="2">
        <v>45573.308333333334</v>
      </c>
      <c r="K561" s="2">
        <v>45634.205555555556</v>
      </c>
      <c r="L561" s="1">
        <v>8.88</v>
      </c>
      <c r="M561" s="1">
        <v>8068.99</v>
      </c>
      <c r="N561" s="1">
        <v>8069.0</v>
      </c>
      <c r="O561" s="1">
        <v>669727.0</v>
      </c>
    </row>
    <row r="562">
      <c r="A562" s="1" t="s">
        <v>1288</v>
      </c>
      <c r="B562" s="1" t="s">
        <v>83</v>
      </c>
      <c r="C562" s="1">
        <v>81.0727</v>
      </c>
      <c r="D562" s="1" t="s">
        <v>17</v>
      </c>
      <c r="E562" s="1" t="s">
        <v>123</v>
      </c>
      <c r="F562" s="1">
        <v>62.74</v>
      </c>
      <c r="G562" s="1">
        <v>66.9</v>
      </c>
      <c r="H562" s="1">
        <v>7.1228556714E10</v>
      </c>
      <c r="I562" s="1">
        <v>7.4440686236E10</v>
      </c>
      <c r="J562" s="1" t="s">
        <v>1289</v>
      </c>
      <c r="K562" s="1" t="s">
        <v>1290</v>
      </c>
      <c r="L562" s="1">
        <v>4.84</v>
      </c>
      <c r="M562" s="1">
        <v>392.39</v>
      </c>
      <c r="N562" s="1">
        <v>392.0</v>
      </c>
      <c r="O562" s="1">
        <v>32536.0</v>
      </c>
    </row>
    <row r="563">
      <c r="A563" s="1" t="s">
        <v>1291</v>
      </c>
      <c r="B563" s="1" t="s">
        <v>60</v>
      </c>
      <c r="C563" s="1">
        <v>24.2667</v>
      </c>
      <c r="D563" s="1" t="s">
        <v>42</v>
      </c>
      <c r="E563" s="1" t="s">
        <v>32</v>
      </c>
      <c r="F563" s="1">
        <v>51.72</v>
      </c>
      <c r="G563" s="1">
        <v>22.33</v>
      </c>
      <c r="H563" s="1">
        <v>6.676334712E10</v>
      </c>
      <c r="I563" s="1">
        <v>7.4879957464E10</v>
      </c>
      <c r="J563" s="1" t="s">
        <v>1292</v>
      </c>
      <c r="K563" s="1" t="s">
        <v>1293</v>
      </c>
      <c r="L563" s="1">
        <v>2.7</v>
      </c>
      <c r="M563" s="1">
        <v>65.52</v>
      </c>
      <c r="N563" s="1">
        <v>66.0</v>
      </c>
      <c r="O563" s="1">
        <v>5478.0</v>
      </c>
    </row>
    <row r="564">
      <c r="A564" s="1" t="s">
        <v>1294</v>
      </c>
      <c r="B564" s="1" t="s">
        <v>57</v>
      </c>
      <c r="C564" s="1">
        <v>184.2222</v>
      </c>
      <c r="D564" s="1" t="s">
        <v>17</v>
      </c>
      <c r="E564" s="1" t="s">
        <v>58</v>
      </c>
      <c r="F564" s="1">
        <v>11.3</v>
      </c>
      <c r="G564" s="1">
        <v>28.26</v>
      </c>
      <c r="H564" s="1">
        <v>1.465636726E10</v>
      </c>
      <c r="I564" s="1">
        <v>1.6707749412E10</v>
      </c>
      <c r="J564" s="1" t="s">
        <v>1295</v>
      </c>
      <c r="K564" s="1" t="s">
        <v>1296</v>
      </c>
      <c r="L564" s="1">
        <v>6.1</v>
      </c>
      <c r="M564" s="1">
        <v>1123.76</v>
      </c>
      <c r="N564" s="1">
        <v>1124.0</v>
      </c>
      <c r="O564" s="1">
        <v>93292.0</v>
      </c>
    </row>
    <row r="565">
      <c r="A565" s="1" t="s">
        <v>1297</v>
      </c>
      <c r="B565" s="1" t="s">
        <v>31</v>
      </c>
      <c r="C565" s="1">
        <v>978.7496</v>
      </c>
      <c r="D565" s="1" t="s">
        <v>17</v>
      </c>
      <c r="E565" s="1" t="s">
        <v>155</v>
      </c>
      <c r="F565" s="1">
        <v>26.6</v>
      </c>
      <c r="G565" s="1">
        <v>26.62</v>
      </c>
      <c r="H565" s="1">
        <v>6.4347112189E10</v>
      </c>
      <c r="I565" s="1">
        <v>7.3020301103E10</v>
      </c>
      <c r="J565" s="1" t="s">
        <v>1298</v>
      </c>
      <c r="K565" s="1" t="s">
        <v>1299</v>
      </c>
      <c r="L565" s="1">
        <v>6.37</v>
      </c>
      <c r="M565" s="1">
        <v>6234.63</v>
      </c>
      <c r="N565" s="1">
        <v>6235.0</v>
      </c>
      <c r="O565" s="1">
        <v>517505.0</v>
      </c>
    </row>
    <row r="566">
      <c r="A566" s="1" t="s">
        <v>1300</v>
      </c>
      <c r="B566" s="1" t="s">
        <v>122</v>
      </c>
      <c r="C566" s="1">
        <v>962.1663</v>
      </c>
      <c r="D566" s="1" t="s">
        <v>21</v>
      </c>
      <c r="E566" s="1" t="s">
        <v>22</v>
      </c>
      <c r="F566" s="1">
        <v>87.07</v>
      </c>
      <c r="G566" s="1">
        <v>33.92</v>
      </c>
      <c r="H566" s="1">
        <v>8.9586422372E10</v>
      </c>
      <c r="I566" s="1">
        <v>9.9534812241E10</v>
      </c>
      <c r="J566" s="1" t="s">
        <v>1301</v>
      </c>
      <c r="K566" s="1" t="s">
        <v>1302</v>
      </c>
      <c r="L566" s="1">
        <v>1.98</v>
      </c>
      <c r="M566" s="1">
        <v>1905.09</v>
      </c>
      <c r="N566" s="1">
        <v>1905.0</v>
      </c>
      <c r="O566" s="1">
        <v>158115.0</v>
      </c>
    </row>
    <row r="567">
      <c r="A567" s="1" t="s">
        <v>1303</v>
      </c>
      <c r="B567" s="1" t="s">
        <v>62</v>
      </c>
      <c r="C567" s="1">
        <v>28.6667</v>
      </c>
      <c r="D567" s="1" t="s">
        <v>42</v>
      </c>
      <c r="E567" s="1" t="s">
        <v>22</v>
      </c>
      <c r="F567" s="1">
        <v>23.39</v>
      </c>
      <c r="G567" s="1">
        <v>56.76</v>
      </c>
      <c r="H567" s="1">
        <v>7.8184512938E10</v>
      </c>
      <c r="I567" s="1">
        <v>8.6307836887E10</v>
      </c>
      <c r="J567" s="2">
        <v>45572.54305555556</v>
      </c>
      <c r="K567" s="2">
        <v>45603.7375</v>
      </c>
      <c r="L567" s="1">
        <v>8.07</v>
      </c>
      <c r="M567" s="1">
        <v>231.34</v>
      </c>
      <c r="N567" s="1">
        <v>231.0</v>
      </c>
      <c r="O567" s="1">
        <v>19173.0</v>
      </c>
    </row>
    <row r="568">
      <c r="A568" s="1" t="s">
        <v>1304</v>
      </c>
      <c r="B568" s="1" t="s">
        <v>16</v>
      </c>
      <c r="C568" s="1">
        <v>311.0466</v>
      </c>
      <c r="D568" s="1" t="s">
        <v>17</v>
      </c>
      <c r="E568" s="1" t="s">
        <v>155</v>
      </c>
      <c r="F568" s="1">
        <v>99.52</v>
      </c>
      <c r="G568" s="1">
        <v>22.92</v>
      </c>
      <c r="H568" s="1">
        <v>5.6304430755E10</v>
      </c>
      <c r="I568" s="1">
        <v>6.3655689339E10</v>
      </c>
      <c r="J568" s="1" t="s">
        <v>1305</v>
      </c>
      <c r="K568" s="1" t="s">
        <v>1306</v>
      </c>
      <c r="L568" s="1">
        <v>5.58</v>
      </c>
      <c r="M568" s="1">
        <v>1735.64</v>
      </c>
      <c r="N568" s="1">
        <v>1736.0</v>
      </c>
      <c r="O568" s="1">
        <v>144088.0</v>
      </c>
    </row>
    <row r="569">
      <c r="A569" s="1" t="s">
        <v>1307</v>
      </c>
      <c r="B569" s="1" t="s">
        <v>16</v>
      </c>
      <c r="C569" s="1">
        <v>30.9371</v>
      </c>
      <c r="D569" s="1" t="s">
        <v>21</v>
      </c>
      <c r="E569" s="1" t="s">
        <v>70</v>
      </c>
      <c r="F569" s="1">
        <v>30.09</v>
      </c>
      <c r="G569" s="1">
        <v>42.9</v>
      </c>
      <c r="H569" s="1">
        <v>6.5864508923E10</v>
      </c>
      <c r="I569" s="1">
        <v>7.5745728262E10</v>
      </c>
      <c r="J569" s="1" t="s">
        <v>1308</v>
      </c>
      <c r="K569" s="1" t="s">
        <v>1309</v>
      </c>
      <c r="L569" s="1">
        <v>4.74</v>
      </c>
      <c r="M569" s="1">
        <v>146.64</v>
      </c>
      <c r="N569" s="1">
        <v>147.0</v>
      </c>
      <c r="O569" s="1">
        <v>12201.0</v>
      </c>
    </row>
    <row r="570">
      <c r="A570" s="1" t="s">
        <v>1310</v>
      </c>
      <c r="B570" s="1" t="s">
        <v>112</v>
      </c>
      <c r="C570" s="1">
        <v>80.4</v>
      </c>
      <c r="D570" s="1" t="s">
        <v>42</v>
      </c>
      <c r="E570" s="1" t="s">
        <v>27</v>
      </c>
      <c r="F570" s="1">
        <v>50.28</v>
      </c>
      <c r="G570" s="1">
        <v>11.88</v>
      </c>
      <c r="H570" s="1">
        <v>7.7464457242E10</v>
      </c>
      <c r="I570" s="1">
        <v>7.7859360072E10</v>
      </c>
      <c r="J570" s="2">
        <v>45542.813888888886</v>
      </c>
      <c r="K570" s="1" t="s">
        <v>1311</v>
      </c>
      <c r="L570" s="1">
        <v>7.93</v>
      </c>
      <c r="M570" s="1">
        <v>637.57</v>
      </c>
      <c r="N570" s="1">
        <v>638.0</v>
      </c>
      <c r="O570" s="1">
        <v>52954.0</v>
      </c>
    </row>
    <row r="571">
      <c r="A571" s="1" t="s">
        <v>1312</v>
      </c>
      <c r="B571" s="1" t="s">
        <v>83</v>
      </c>
      <c r="C571" s="1">
        <v>734.7722</v>
      </c>
      <c r="D571" s="1" t="s">
        <v>17</v>
      </c>
      <c r="E571" s="1" t="s">
        <v>58</v>
      </c>
      <c r="F571" s="1">
        <v>26.61</v>
      </c>
      <c r="G571" s="1">
        <v>62.42</v>
      </c>
      <c r="H571" s="1">
        <v>1.196113039E10</v>
      </c>
      <c r="I571" s="1">
        <v>2.1953273498E10</v>
      </c>
      <c r="J571" s="2">
        <v>45389.395833333336</v>
      </c>
      <c r="K571" s="2">
        <v>45542.34444444445</v>
      </c>
      <c r="L571" s="1">
        <v>7.1</v>
      </c>
      <c r="M571" s="1">
        <v>5216.88</v>
      </c>
      <c r="N571" s="1">
        <v>5217.0</v>
      </c>
      <c r="O571" s="1">
        <v>433011.0</v>
      </c>
    </row>
    <row r="572">
      <c r="A572" s="1" t="s">
        <v>1313</v>
      </c>
      <c r="B572" s="1" t="s">
        <v>46</v>
      </c>
      <c r="C572" s="1">
        <v>366.9998</v>
      </c>
      <c r="D572" s="1" t="s">
        <v>21</v>
      </c>
      <c r="E572" s="1" t="s">
        <v>32</v>
      </c>
      <c r="F572" s="1">
        <v>60.38</v>
      </c>
      <c r="G572" s="1">
        <v>37.62</v>
      </c>
      <c r="H572" s="1">
        <v>8.6262733765E10</v>
      </c>
      <c r="I572" s="1">
        <v>9.1541327287E10</v>
      </c>
      <c r="J572" s="1" t="s">
        <v>1314</v>
      </c>
      <c r="K572" s="1" t="s">
        <v>1315</v>
      </c>
      <c r="L572" s="1">
        <v>8.92</v>
      </c>
      <c r="M572" s="1">
        <v>3273.64</v>
      </c>
      <c r="N572" s="1">
        <v>3274.0</v>
      </c>
      <c r="O572" s="1">
        <v>271742.0</v>
      </c>
    </row>
    <row r="573">
      <c r="A573" s="1" t="s">
        <v>1316</v>
      </c>
      <c r="B573" s="1" t="s">
        <v>46</v>
      </c>
      <c r="C573" s="1">
        <v>832.7303</v>
      </c>
      <c r="D573" s="1" t="s">
        <v>21</v>
      </c>
      <c r="E573" s="1" t="s">
        <v>74</v>
      </c>
      <c r="F573" s="1">
        <v>57.94</v>
      </c>
      <c r="G573" s="1">
        <v>80.47</v>
      </c>
      <c r="H573" s="1">
        <v>4.983017782E9</v>
      </c>
      <c r="I573" s="1">
        <v>1.1521417313E10</v>
      </c>
      <c r="J573" s="1" t="s">
        <v>1317</v>
      </c>
      <c r="K573" s="1" t="s">
        <v>1318</v>
      </c>
      <c r="L573" s="1">
        <v>6.13</v>
      </c>
      <c r="M573" s="1">
        <v>5104.64</v>
      </c>
      <c r="N573" s="1">
        <v>5105.0</v>
      </c>
      <c r="O573" s="1">
        <v>423715.0</v>
      </c>
    </row>
    <row r="574">
      <c r="A574" s="1" t="s">
        <v>1319</v>
      </c>
      <c r="B574" s="1" t="s">
        <v>31</v>
      </c>
      <c r="C574" s="1">
        <v>350.6873</v>
      </c>
      <c r="D574" s="1" t="s">
        <v>21</v>
      </c>
      <c r="E574" s="1" t="s">
        <v>32</v>
      </c>
      <c r="F574" s="1">
        <v>94.96</v>
      </c>
      <c r="G574" s="1">
        <v>77.92</v>
      </c>
      <c r="H574" s="1">
        <v>8.9584285188E10</v>
      </c>
      <c r="I574" s="1">
        <v>9.2406101906E10</v>
      </c>
      <c r="J574" s="2">
        <v>45604.10902777778</v>
      </c>
      <c r="K574" s="1" t="s">
        <v>1320</v>
      </c>
      <c r="L574" s="1">
        <v>2.35</v>
      </c>
      <c r="M574" s="1">
        <v>824.12</v>
      </c>
      <c r="N574" s="1">
        <v>824.0</v>
      </c>
      <c r="O574" s="1">
        <v>68392.0</v>
      </c>
    </row>
    <row r="575">
      <c r="A575" s="1" t="s">
        <v>1321</v>
      </c>
      <c r="B575" s="1" t="s">
        <v>169</v>
      </c>
      <c r="C575" s="1">
        <v>575.093</v>
      </c>
      <c r="D575" s="1" t="s">
        <v>21</v>
      </c>
      <c r="E575" s="1" t="s">
        <v>105</v>
      </c>
      <c r="F575" s="1">
        <v>89.16</v>
      </c>
      <c r="G575" s="1">
        <v>0.73</v>
      </c>
      <c r="H575" s="1">
        <v>2.5153342634E10</v>
      </c>
      <c r="I575" s="1">
        <v>3.2359221738E10</v>
      </c>
      <c r="J575" s="1" t="s">
        <v>1322</v>
      </c>
      <c r="K575" s="1" t="s">
        <v>1323</v>
      </c>
      <c r="L575" s="1">
        <v>3.32</v>
      </c>
      <c r="M575" s="1">
        <v>1909.31</v>
      </c>
      <c r="N575" s="1">
        <v>1909.0</v>
      </c>
      <c r="O575" s="1">
        <v>158447.0</v>
      </c>
    </row>
    <row r="576">
      <c r="A576" s="1" t="s">
        <v>1324</v>
      </c>
      <c r="B576" s="1" t="s">
        <v>26</v>
      </c>
      <c r="C576" s="1">
        <v>195.4914</v>
      </c>
      <c r="D576" s="1" t="s">
        <v>17</v>
      </c>
      <c r="E576" s="1" t="s">
        <v>22</v>
      </c>
      <c r="F576" s="1">
        <v>61.71</v>
      </c>
      <c r="G576" s="1">
        <v>91.21</v>
      </c>
      <c r="H576" s="1">
        <v>2.260036751E10</v>
      </c>
      <c r="I576" s="1">
        <v>2.3271333009E10</v>
      </c>
      <c r="J576" s="2">
        <v>45359.2125</v>
      </c>
      <c r="K576" s="2">
        <v>45543.18402777778</v>
      </c>
      <c r="L576" s="1">
        <v>2.4</v>
      </c>
      <c r="M576" s="1">
        <v>469.18</v>
      </c>
      <c r="N576" s="1">
        <v>469.0</v>
      </c>
      <c r="O576" s="1">
        <v>38927.0</v>
      </c>
    </row>
    <row r="577">
      <c r="A577" s="1" t="s">
        <v>1325</v>
      </c>
      <c r="B577" s="1" t="s">
        <v>128</v>
      </c>
      <c r="C577" s="1">
        <v>555.4361</v>
      </c>
      <c r="D577" s="1" t="s">
        <v>21</v>
      </c>
      <c r="E577" s="1" t="s">
        <v>37</v>
      </c>
      <c r="F577" s="1">
        <v>66.59</v>
      </c>
      <c r="G577" s="1">
        <v>58.88</v>
      </c>
      <c r="H577" s="1">
        <v>8.9123002558E10</v>
      </c>
      <c r="I577" s="1">
        <v>9.2701686882E10</v>
      </c>
      <c r="J577" s="2">
        <v>45511.73611111111</v>
      </c>
      <c r="K577" s="1" t="s">
        <v>1326</v>
      </c>
      <c r="L577" s="1">
        <v>6.38</v>
      </c>
      <c r="M577" s="1">
        <v>3543.68</v>
      </c>
      <c r="N577" s="1">
        <v>3544.0</v>
      </c>
      <c r="O577" s="1">
        <v>294152.0</v>
      </c>
    </row>
    <row r="578">
      <c r="A578" s="1" t="s">
        <v>1327</v>
      </c>
      <c r="B578" s="1" t="s">
        <v>169</v>
      </c>
      <c r="C578" s="1">
        <v>779.8708</v>
      </c>
      <c r="D578" s="1" t="s">
        <v>21</v>
      </c>
      <c r="E578" s="1" t="s">
        <v>18</v>
      </c>
      <c r="F578" s="1">
        <v>92.21</v>
      </c>
      <c r="G578" s="1">
        <v>96.64</v>
      </c>
      <c r="H578" s="1">
        <v>8.9176509871E10</v>
      </c>
      <c r="I578" s="1">
        <v>9.3493164826E10</v>
      </c>
      <c r="J578" s="1" t="s">
        <v>1328</v>
      </c>
      <c r="K578" s="1" t="s">
        <v>1329</v>
      </c>
      <c r="L578" s="1">
        <v>9.28</v>
      </c>
      <c r="M578" s="1">
        <v>7237.2</v>
      </c>
      <c r="N578" s="1">
        <v>7237.0</v>
      </c>
      <c r="O578" s="1">
        <v>600671.0</v>
      </c>
    </row>
    <row r="579">
      <c r="A579" s="1" t="s">
        <v>1330</v>
      </c>
      <c r="B579" s="1" t="s">
        <v>83</v>
      </c>
      <c r="C579" s="1">
        <v>344.424</v>
      </c>
      <c r="D579" s="1" t="s">
        <v>21</v>
      </c>
      <c r="E579" s="1" t="s">
        <v>22</v>
      </c>
      <c r="F579" s="1">
        <v>33.13</v>
      </c>
      <c r="G579" s="1">
        <v>93.68</v>
      </c>
      <c r="H579" s="1">
        <v>9.755217181E9</v>
      </c>
      <c r="I579" s="1">
        <v>1.5073644558E10</v>
      </c>
      <c r="J579" s="1" t="s">
        <v>1331</v>
      </c>
      <c r="K579" s="1" t="s">
        <v>1332</v>
      </c>
      <c r="L579" s="1">
        <v>6.96</v>
      </c>
      <c r="M579" s="1">
        <v>2397.19</v>
      </c>
      <c r="N579" s="1">
        <v>2397.0</v>
      </c>
      <c r="O579" s="1">
        <v>198951.0</v>
      </c>
    </row>
    <row r="580">
      <c r="A580" s="1" t="s">
        <v>1333</v>
      </c>
      <c r="B580" s="1" t="s">
        <v>46</v>
      </c>
      <c r="C580" s="1">
        <v>457.5282</v>
      </c>
      <c r="D580" s="1" t="s">
        <v>21</v>
      </c>
      <c r="E580" s="1" t="s">
        <v>54</v>
      </c>
      <c r="F580" s="1">
        <v>10.52</v>
      </c>
      <c r="G580" s="1">
        <v>88.01</v>
      </c>
      <c r="H580" s="1">
        <v>4.3895284601E10</v>
      </c>
      <c r="I580" s="1">
        <v>4.9685670959E10</v>
      </c>
      <c r="J580" s="1" t="s">
        <v>1334</v>
      </c>
      <c r="K580" s="1" t="s">
        <v>1335</v>
      </c>
      <c r="L580" s="1">
        <v>2.51</v>
      </c>
      <c r="M580" s="1">
        <v>1148.4</v>
      </c>
      <c r="N580" s="1">
        <v>1148.0</v>
      </c>
      <c r="O580" s="1">
        <v>95284.0</v>
      </c>
    </row>
    <row r="581">
      <c r="A581" s="1" t="s">
        <v>1336</v>
      </c>
      <c r="B581" s="1" t="s">
        <v>122</v>
      </c>
      <c r="C581" s="1">
        <v>96.3442</v>
      </c>
      <c r="D581" s="1" t="s">
        <v>21</v>
      </c>
      <c r="E581" s="1" t="s">
        <v>27</v>
      </c>
      <c r="F581" s="1">
        <v>45.14</v>
      </c>
      <c r="G581" s="1">
        <v>86.59</v>
      </c>
      <c r="H581" s="1">
        <v>6.4011750754E10</v>
      </c>
      <c r="I581" s="1">
        <v>6.48112777E10</v>
      </c>
      <c r="J581" s="1" t="s">
        <v>1337</v>
      </c>
      <c r="K581" s="1" t="s">
        <v>1338</v>
      </c>
      <c r="L581" s="1">
        <v>3.38</v>
      </c>
      <c r="M581" s="1">
        <v>325.64</v>
      </c>
      <c r="N581" s="1">
        <v>326.0</v>
      </c>
      <c r="O581" s="1">
        <v>27058.0</v>
      </c>
    </row>
    <row r="582">
      <c r="A582" s="1" t="s">
        <v>1339</v>
      </c>
      <c r="B582" s="1" t="s">
        <v>20</v>
      </c>
      <c r="C582" s="1">
        <v>95.1226</v>
      </c>
      <c r="D582" s="1" t="s">
        <v>21</v>
      </c>
      <c r="E582" s="1" t="s">
        <v>27</v>
      </c>
      <c r="F582" s="1">
        <v>73.95</v>
      </c>
      <c r="G582" s="1">
        <v>45.25</v>
      </c>
      <c r="H582" s="1">
        <v>9.4131763984E10</v>
      </c>
      <c r="I582" s="3">
        <v>1.0171E11</v>
      </c>
      <c r="J582" s="1" t="s">
        <v>1340</v>
      </c>
      <c r="K582" s="1" t="s">
        <v>1341</v>
      </c>
      <c r="L582" s="1">
        <v>1.33</v>
      </c>
      <c r="M582" s="1">
        <v>126.51</v>
      </c>
      <c r="N582" s="1">
        <v>127.0</v>
      </c>
      <c r="O582" s="1">
        <v>10541.0</v>
      </c>
    </row>
    <row r="583">
      <c r="A583" s="1" t="s">
        <v>1342</v>
      </c>
      <c r="B583" s="1" t="s">
        <v>122</v>
      </c>
      <c r="C583" s="1">
        <v>906.1268</v>
      </c>
      <c r="D583" s="1" t="s">
        <v>17</v>
      </c>
      <c r="E583" s="1" t="s">
        <v>32</v>
      </c>
      <c r="F583" s="1">
        <v>6.46</v>
      </c>
      <c r="G583" s="1">
        <v>76.09</v>
      </c>
      <c r="H583" s="1">
        <v>9.6240826717E10</v>
      </c>
      <c r="I583" s="1">
        <v>9.8628174081E10</v>
      </c>
      <c r="J583" s="2">
        <v>45634.98263888889</v>
      </c>
      <c r="K583" s="1" t="s">
        <v>1343</v>
      </c>
      <c r="L583" s="1">
        <v>6.23</v>
      </c>
      <c r="M583" s="1">
        <v>5645.17</v>
      </c>
      <c r="N583" s="1">
        <v>5645.0</v>
      </c>
      <c r="O583" s="1">
        <v>468535.0</v>
      </c>
    </row>
    <row r="584">
      <c r="A584" s="1" t="s">
        <v>1344</v>
      </c>
      <c r="B584" s="1" t="s">
        <v>79</v>
      </c>
      <c r="C584" s="1">
        <v>663.1473</v>
      </c>
      <c r="D584" s="1" t="s">
        <v>21</v>
      </c>
      <c r="E584" s="1" t="s">
        <v>74</v>
      </c>
      <c r="F584" s="1">
        <v>36.9</v>
      </c>
      <c r="G584" s="1">
        <v>70.47</v>
      </c>
      <c r="H584" s="1">
        <v>9.1183939033E10</v>
      </c>
      <c r="I584" s="1">
        <v>9.4771254471E10</v>
      </c>
      <c r="J584" s="1" t="s">
        <v>1345</v>
      </c>
      <c r="K584" s="1" t="s">
        <v>1346</v>
      </c>
      <c r="L584" s="1">
        <v>4.54</v>
      </c>
      <c r="M584" s="1">
        <v>3010.69</v>
      </c>
      <c r="N584" s="1">
        <v>3011.0</v>
      </c>
      <c r="O584" s="1">
        <v>249913.0</v>
      </c>
    </row>
    <row r="585">
      <c r="A585" s="1" t="s">
        <v>1347</v>
      </c>
      <c r="B585" s="1" t="s">
        <v>20</v>
      </c>
      <c r="C585" s="1">
        <v>929.1694</v>
      </c>
      <c r="D585" s="1" t="s">
        <v>21</v>
      </c>
      <c r="E585" s="1" t="s">
        <v>32</v>
      </c>
      <c r="F585" s="1">
        <v>73.09</v>
      </c>
      <c r="G585" s="1">
        <v>38.66</v>
      </c>
      <c r="H585" s="1">
        <v>7.782785245E9</v>
      </c>
      <c r="I585" s="1">
        <v>9.375770542E9</v>
      </c>
      <c r="J585" s="1" t="s">
        <v>1348</v>
      </c>
      <c r="K585" s="1" t="s">
        <v>1349</v>
      </c>
      <c r="L585" s="1">
        <v>9.69</v>
      </c>
      <c r="M585" s="1">
        <v>9003.65</v>
      </c>
      <c r="N585" s="1">
        <v>9004.0</v>
      </c>
      <c r="O585" s="1">
        <v>747332.0</v>
      </c>
    </row>
    <row r="586">
      <c r="A586" s="1" t="s">
        <v>1350</v>
      </c>
      <c r="B586" s="1" t="s">
        <v>26</v>
      </c>
      <c r="C586" s="1">
        <v>685.0582</v>
      </c>
      <c r="D586" s="1" t="s">
        <v>17</v>
      </c>
      <c r="E586" s="1" t="s">
        <v>54</v>
      </c>
      <c r="F586" s="1">
        <v>88.19</v>
      </c>
      <c r="G586" s="1">
        <v>34.34</v>
      </c>
      <c r="H586" s="1">
        <v>8.0406916505E10</v>
      </c>
      <c r="I586" s="1">
        <v>8.3159936819E10</v>
      </c>
      <c r="J586" s="1" t="s">
        <v>1351</v>
      </c>
      <c r="K586" s="1" t="s">
        <v>1352</v>
      </c>
      <c r="L586" s="1">
        <v>4.89</v>
      </c>
      <c r="M586" s="1">
        <v>3349.93</v>
      </c>
      <c r="N586" s="1">
        <v>3350.0</v>
      </c>
      <c r="O586" s="1">
        <v>278050.0</v>
      </c>
    </row>
    <row r="587">
      <c r="A587" s="1" t="s">
        <v>1353</v>
      </c>
      <c r="B587" s="1" t="s">
        <v>16</v>
      </c>
      <c r="C587" s="1">
        <v>779.1763</v>
      </c>
      <c r="D587" s="1" t="s">
        <v>17</v>
      </c>
      <c r="E587" s="1" t="s">
        <v>70</v>
      </c>
      <c r="F587" s="1">
        <v>80.81</v>
      </c>
      <c r="G587" s="1">
        <v>91.42</v>
      </c>
      <c r="H587" s="1">
        <v>9.537209976E10</v>
      </c>
      <c r="I587" s="1">
        <v>9.6841264412E10</v>
      </c>
      <c r="J587" s="2">
        <v>45330.10972222222</v>
      </c>
      <c r="K587" s="2">
        <v>45359.27569444444</v>
      </c>
      <c r="L587" s="1">
        <v>4.23</v>
      </c>
      <c r="M587" s="1">
        <v>3295.92</v>
      </c>
      <c r="N587" s="1">
        <v>3296.0</v>
      </c>
      <c r="O587" s="1">
        <v>273568.0</v>
      </c>
    </row>
    <row r="588">
      <c r="A588" s="1" t="s">
        <v>1354</v>
      </c>
      <c r="B588" s="1" t="s">
        <v>112</v>
      </c>
      <c r="C588" s="1">
        <v>83.4333</v>
      </c>
      <c r="D588" s="1" t="s">
        <v>42</v>
      </c>
      <c r="E588" s="1" t="s">
        <v>123</v>
      </c>
      <c r="F588" s="1">
        <v>25.2</v>
      </c>
      <c r="G588" s="1">
        <v>53.54</v>
      </c>
      <c r="H588" s="1">
        <v>3.8288332782E10</v>
      </c>
      <c r="I588" s="1">
        <v>4.0786031512E10</v>
      </c>
      <c r="J588" s="1" t="s">
        <v>1355</v>
      </c>
      <c r="K588" s="1" t="s">
        <v>1356</v>
      </c>
      <c r="L588" s="1">
        <v>3.18</v>
      </c>
      <c r="M588" s="1">
        <v>265.32</v>
      </c>
      <c r="N588" s="1">
        <v>265.0</v>
      </c>
      <c r="O588" s="1">
        <v>21995.0</v>
      </c>
    </row>
    <row r="589">
      <c r="A589" s="1" t="s">
        <v>1357</v>
      </c>
      <c r="B589" s="1" t="s">
        <v>112</v>
      </c>
      <c r="C589" s="1">
        <v>90.0833</v>
      </c>
      <c r="D589" s="1" t="s">
        <v>42</v>
      </c>
      <c r="E589" s="1" t="s">
        <v>54</v>
      </c>
      <c r="F589" s="1">
        <v>16.92</v>
      </c>
      <c r="G589" s="1">
        <v>16.22</v>
      </c>
      <c r="H589" s="1">
        <v>5.9952324151E10</v>
      </c>
      <c r="I589" s="1">
        <v>6.5511042535E10</v>
      </c>
      <c r="J589" s="1" t="s">
        <v>1358</v>
      </c>
      <c r="K589" s="1" t="s">
        <v>610</v>
      </c>
      <c r="L589" s="1">
        <v>1.87</v>
      </c>
      <c r="M589" s="1">
        <v>168.46</v>
      </c>
      <c r="N589" s="1">
        <v>168.0</v>
      </c>
      <c r="O589" s="1">
        <v>13944.0</v>
      </c>
    </row>
    <row r="590">
      <c r="A590" s="1" t="s">
        <v>1359</v>
      </c>
      <c r="B590" s="1" t="s">
        <v>26</v>
      </c>
      <c r="C590" s="1">
        <v>120.5022</v>
      </c>
      <c r="D590" s="1" t="s">
        <v>17</v>
      </c>
      <c r="E590" s="1" t="s">
        <v>22</v>
      </c>
      <c r="F590" s="1">
        <v>98.35</v>
      </c>
      <c r="G590" s="1">
        <v>57.52</v>
      </c>
      <c r="H590" s="1">
        <v>4.6192771254E10</v>
      </c>
      <c r="I590" s="1">
        <v>4.9636478748E10</v>
      </c>
      <c r="J590" s="1" t="s">
        <v>1360</v>
      </c>
      <c r="K590" s="1" t="s">
        <v>1361</v>
      </c>
      <c r="L590" s="1">
        <v>2.3</v>
      </c>
      <c r="M590" s="1">
        <v>277.16</v>
      </c>
      <c r="N590" s="1">
        <v>277.0</v>
      </c>
      <c r="O590" s="1">
        <v>22991.0</v>
      </c>
    </row>
    <row r="591">
      <c r="A591" s="1" t="s">
        <v>1362</v>
      </c>
      <c r="B591" s="1" t="s">
        <v>46</v>
      </c>
      <c r="C591" s="1">
        <v>802.3156</v>
      </c>
      <c r="D591" s="1" t="s">
        <v>17</v>
      </c>
      <c r="E591" s="1" t="s">
        <v>18</v>
      </c>
      <c r="F591" s="1">
        <v>97.07</v>
      </c>
      <c r="G591" s="1">
        <v>47.44</v>
      </c>
      <c r="H591" s="1">
        <v>6.6031799701E10</v>
      </c>
      <c r="I591" s="1">
        <v>7.3946955087E10</v>
      </c>
      <c r="J591" s="2">
        <v>45633.972916666666</v>
      </c>
      <c r="K591" s="1" t="s">
        <v>1363</v>
      </c>
      <c r="L591" s="1">
        <v>7.29</v>
      </c>
      <c r="M591" s="1">
        <v>5848.88</v>
      </c>
      <c r="N591" s="1">
        <v>5849.0</v>
      </c>
      <c r="O591" s="1">
        <v>485467.0</v>
      </c>
    </row>
    <row r="592">
      <c r="A592" s="1" t="s">
        <v>1364</v>
      </c>
      <c r="B592" s="1" t="s">
        <v>41</v>
      </c>
      <c r="C592" s="1">
        <v>139.5333</v>
      </c>
      <c r="D592" s="1" t="s">
        <v>42</v>
      </c>
      <c r="E592" s="1" t="s">
        <v>32</v>
      </c>
      <c r="F592" s="1">
        <v>55.83</v>
      </c>
      <c r="G592" s="1">
        <v>51.05</v>
      </c>
      <c r="H592" s="1">
        <v>7.5535230544E10</v>
      </c>
      <c r="I592" s="1">
        <v>7.7049187501E10</v>
      </c>
      <c r="J592" s="2">
        <v>45330.85208333333</v>
      </c>
      <c r="K592" s="2">
        <v>45512.665972222225</v>
      </c>
      <c r="L592" s="1">
        <v>1.89</v>
      </c>
      <c r="M592" s="1">
        <v>263.72</v>
      </c>
      <c r="N592" s="1">
        <v>264.0</v>
      </c>
      <c r="O592" s="1">
        <v>21912.0</v>
      </c>
    </row>
    <row r="593">
      <c r="A593" s="1" t="s">
        <v>1365</v>
      </c>
      <c r="B593" s="1" t="s">
        <v>166</v>
      </c>
      <c r="C593" s="1">
        <v>470.2063</v>
      </c>
      <c r="D593" s="1" t="s">
        <v>21</v>
      </c>
      <c r="E593" s="1" t="s">
        <v>155</v>
      </c>
      <c r="F593" s="1">
        <v>3.96</v>
      </c>
      <c r="G593" s="1">
        <v>14.6</v>
      </c>
      <c r="H593" s="1">
        <v>5.4199201379E10</v>
      </c>
      <c r="I593" s="1">
        <v>5.981000836E10</v>
      </c>
      <c r="J593" s="2">
        <v>45542.540972222225</v>
      </c>
      <c r="K593" s="2">
        <v>45603.23472222222</v>
      </c>
      <c r="L593" s="1">
        <v>8.35</v>
      </c>
      <c r="M593" s="1">
        <v>3926.22</v>
      </c>
      <c r="N593" s="1">
        <v>3926.0</v>
      </c>
      <c r="O593" s="1">
        <v>325858.0</v>
      </c>
    </row>
    <row r="594">
      <c r="A594" s="1" t="s">
        <v>1366</v>
      </c>
      <c r="B594" s="1" t="s">
        <v>139</v>
      </c>
      <c r="C594" s="1">
        <v>31.2833</v>
      </c>
      <c r="D594" s="1" t="s">
        <v>42</v>
      </c>
      <c r="E594" s="1" t="s">
        <v>70</v>
      </c>
      <c r="F594" s="1">
        <v>94.2</v>
      </c>
      <c r="G594" s="1">
        <v>76.15</v>
      </c>
      <c r="H594" s="1">
        <v>3.0211701461E10</v>
      </c>
      <c r="I594" s="1">
        <v>3.4831933503E10</v>
      </c>
      <c r="J594" s="2">
        <v>45572.853472222225</v>
      </c>
      <c r="K594" s="2">
        <v>45633.15694444445</v>
      </c>
      <c r="L594" s="1">
        <v>7.86</v>
      </c>
      <c r="M594" s="1">
        <v>245.89</v>
      </c>
      <c r="N594" s="1">
        <v>246.0</v>
      </c>
      <c r="O594" s="1">
        <v>20418.0</v>
      </c>
    </row>
    <row r="595">
      <c r="A595" s="1" t="s">
        <v>1367</v>
      </c>
      <c r="B595" s="1" t="s">
        <v>57</v>
      </c>
      <c r="C595" s="1">
        <v>214.9452</v>
      </c>
      <c r="D595" s="1" t="s">
        <v>17</v>
      </c>
      <c r="E595" s="1" t="s">
        <v>70</v>
      </c>
      <c r="F595" s="1">
        <v>48.81</v>
      </c>
      <c r="G595" s="1">
        <v>92.23</v>
      </c>
      <c r="H595" s="1">
        <v>4.968760381E9</v>
      </c>
      <c r="I595" s="1">
        <v>6.544021317E9</v>
      </c>
      <c r="J595" s="1" t="s">
        <v>1368</v>
      </c>
      <c r="K595" s="1" t="s">
        <v>1369</v>
      </c>
      <c r="L595" s="1">
        <v>2.05</v>
      </c>
      <c r="M595" s="1">
        <v>440.64</v>
      </c>
      <c r="N595" s="1">
        <v>441.0</v>
      </c>
      <c r="O595" s="1">
        <v>36603.0</v>
      </c>
    </row>
    <row r="596">
      <c r="A596" s="1" t="s">
        <v>1370</v>
      </c>
      <c r="B596" s="1" t="s">
        <v>31</v>
      </c>
      <c r="C596" s="1">
        <v>958.0251</v>
      </c>
      <c r="D596" s="1" t="s">
        <v>21</v>
      </c>
      <c r="E596" s="1" t="s">
        <v>18</v>
      </c>
      <c r="F596" s="1">
        <v>21.58</v>
      </c>
      <c r="G596" s="1">
        <v>24.91</v>
      </c>
      <c r="H596" s="1">
        <v>1.4507368142E10</v>
      </c>
      <c r="I596" s="1">
        <v>1.4799300079E10</v>
      </c>
      <c r="J596" s="2">
        <v>45543.29861111111</v>
      </c>
      <c r="K596" s="2">
        <v>45604.00625</v>
      </c>
      <c r="L596" s="1">
        <v>8.34</v>
      </c>
      <c r="M596" s="1">
        <v>7989.93</v>
      </c>
      <c r="N596" s="1">
        <v>7990.0</v>
      </c>
      <c r="O596" s="1">
        <v>663170.0</v>
      </c>
    </row>
    <row r="597">
      <c r="A597" s="1" t="s">
        <v>1371</v>
      </c>
      <c r="B597" s="1" t="s">
        <v>183</v>
      </c>
      <c r="C597" s="1">
        <v>56.0054</v>
      </c>
      <c r="D597" s="1" t="s">
        <v>21</v>
      </c>
      <c r="E597" s="1" t="s">
        <v>70</v>
      </c>
      <c r="F597" s="1">
        <v>82.09</v>
      </c>
      <c r="G597" s="1">
        <v>49.34</v>
      </c>
      <c r="H597" s="1">
        <v>4.7722928764E10</v>
      </c>
      <c r="I597" s="1">
        <v>5.2353116409E10</v>
      </c>
      <c r="J597" s="1" t="s">
        <v>1372</v>
      </c>
      <c r="K597" s="1" t="s">
        <v>1373</v>
      </c>
      <c r="L597" s="1">
        <v>2.96</v>
      </c>
      <c r="M597" s="1">
        <v>165.78</v>
      </c>
      <c r="N597" s="1">
        <v>166.0</v>
      </c>
      <c r="O597" s="1">
        <v>13778.0</v>
      </c>
    </row>
    <row r="598">
      <c r="A598" s="1" t="s">
        <v>1374</v>
      </c>
      <c r="B598" s="1" t="s">
        <v>139</v>
      </c>
      <c r="C598" s="1">
        <v>58.8167</v>
      </c>
      <c r="D598" s="1" t="s">
        <v>42</v>
      </c>
      <c r="E598" s="1" t="s">
        <v>18</v>
      </c>
      <c r="F598" s="1">
        <v>92.84</v>
      </c>
      <c r="G598" s="1">
        <v>49.35</v>
      </c>
      <c r="H598" s="1">
        <v>3.8117025024E10</v>
      </c>
      <c r="I598" s="1">
        <v>4.6310224844E10</v>
      </c>
      <c r="J598" s="2">
        <v>45298.41388888889</v>
      </c>
      <c r="K598" s="2">
        <v>45358.864583333336</v>
      </c>
      <c r="L598" s="1">
        <v>9.93</v>
      </c>
      <c r="M598" s="1">
        <v>584.05</v>
      </c>
      <c r="N598" s="1">
        <v>584.0</v>
      </c>
      <c r="O598" s="1">
        <v>48472.0</v>
      </c>
    </row>
    <row r="599">
      <c r="A599" s="1" t="s">
        <v>1375</v>
      </c>
      <c r="B599" s="1" t="s">
        <v>36</v>
      </c>
      <c r="C599" s="1">
        <v>388.8883</v>
      </c>
      <c r="D599" s="1" t="s">
        <v>21</v>
      </c>
      <c r="E599" s="1" t="s">
        <v>155</v>
      </c>
      <c r="F599" s="1">
        <v>80.23</v>
      </c>
      <c r="G599" s="1">
        <v>41.57</v>
      </c>
      <c r="H599" s="1">
        <v>8.1865257366E10</v>
      </c>
      <c r="I599" s="1">
        <v>8.5119583044E10</v>
      </c>
      <c r="J599" s="2">
        <v>45481.302777777775</v>
      </c>
      <c r="K599" s="2">
        <v>45512.850694444445</v>
      </c>
      <c r="L599" s="1">
        <v>7.03</v>
      </c>
      <c r="M599" s="1">
        <v>2733.88</v>
      </c>
      <c r="N599" s="1">
        <v>2734.0</v>
      </c>
      <c r="O599" s="1">
        <v>226922.0</v>
      </c>
    </row>
    <row r="600">
      <c r="A600" s="1" t="s">
        <v>1376</v>
      </c>
      <c r="B600" s="1" t="s">
        <v>57</v>
      </c>
      <c r="C600" s="1">
        <v>278.6818</v>
      </c>
      <c r="D600" s="1" t="s">
        <v>21</v>
      </c>
      <c r="E600" s="1" t="s">
        <v>22</v>
      </c>
      <c r="F600" s="1">
        <v>68.82</v>
      </c>
      <c r="G600" s="1">
        <v>26.87</v>
      </c>
      <c r="H600" s="1">
        <v>8.0624515493E10</v>
      </c>
      <c r="I600" s="1">
        <v>8.7446054134E10</v>
      </c>
      <c r="J600" s="1" t="s">
        <v>1377</v>
      </c>
      <c r="K600" s="2">
        <v>45331.85833333333</v>
      </c>
      <c r="L600" s="1">
        <v>2.05</v>
      </c>
      <c r="M600" s="1">
        <v>571.3</v>
      </c>
      <c r="N600" s="1">
        <v>571.0</v>
      </c>
      <c r="O600" s="1">
        <v>47393.0</v>
      </c>
    </row>
    <row r="601">
      <c r="A601" s="1" t="s">
        <v>1378</v>
      </c>
      <c r="B601" s="1" t="s">
        <v>53</v>
      </c>
      <c r="C601" s="1">
        <v>107.7011</v>
      </c>
      <c r="D601" s="1" t="s">
        <v>17</v>
      </c>
      <c r="E601" s="1" t="s">
        <v>18</v>
      </c>
      <c r="F601" s="1">
        <v>24.41</v>
      </c>
      <c r="G601" s="1">
        <v>29.04</v>
      </c>
      <c r="H601" s="1">
        <v>5.8360197356E10</v>
      </c>
      <c r="I601" s="1">
        <v>5.9141084735E10</v>
      </c>
      <c r="J601" s="1" t="s">
        <v>1379</v>
      </c>
      <c r="K601" s="1" t="s">
        <v>1380</v>
      </c>
      <c r="L601" s="1">
        <v>4.12</v>
      </c>
      <c r="M601" s="1">
        <v>443.73</v>
      </c>
      <c r="N601" s="1">
        <v>444.0</v>
      </c>
      <c r="O601" s="1">
        <v>36852.0</v>
      </c>
    </row>
    <row r="602">
      <c r="A602" s="1" t="s">
        <v>1381</v>
      </c>
      <c r="B602" s="1" t="s">
        <v>53</v>
      </c>
      <c r="C602" s="1">
        <v>472.5108</v>
      </c>
      <c r="D602" s="1" t="s">
        <v>17</v>
      </c>
      <c r="E602" s="1" t="s">
        <v>22</v>
      </c>
      <c r="F602" s="1">
        <v>59.68</v>
      </c>
      <c r="G602" s="1">
        <v>32.7</v>
      </c>
      <c r="H602" s="1">
        <v>5.0485341786E10</v>
      </c>
      <c r="I602" s="1">
        <v>5.9272302026E10</v>
      </c>
      <c r="J602" s="1" t="s">
        <v>1382</v>
      </c>
      <c r="K602" s="1" t="s">
        <v>1383</v>
      </c>
      <c r="L602" s="1">
        <v>8.37</v>
      </c>
      <c r="M602" s="1">
        <v>3954.92</v>
      </c>
      <c r="N602" s="1">
        <v>3955.0</v>
      </c>
      <c r="O602" s="1">
        <v>328265.0</v>
      </c>
    </row>
    <row r="603">
      <c r="A603" s="1" t="s">
        <v>1384</v>
      </c>
      <c r="B603" s="1" t="s">
        <v>147</v>
      </c>
      <c r="C603" s="1">
        <v>34.2833</v>
      </c>
      <c r="D603" s="1" t="s">
        <v>42</v>
      </c>
      <c r="E603" s="1" t="s">
        <v>22</v>
      </c>
      <c r="F603" s="1">
        <v>10.03</v>
      </c>
      <c r="G603" s="1">
        <v>96.22</v>
      </c>
      <c r="H603" s="1">
        <v>9.4135245422E10</v>
      </c>
      <c r="I603" s="1">
        <v>9.8449735815E10</v>
      </c>
      <c r="J603" s="2">
        <v>45298.186111111114</v>
      </c>
      <c r="K603" s="2">
        <v>45329.614583333336</v>
      </c>
      <c r="L603" s="1">
        <v>6.14</v>
      </c>
      <c r="M603" s="1">
        <v>210.5</v>
      </c>
      <c r="N603" s="1">
        <v>210.0</v>
      </c>
      <c r="O603" s="1">
        <v>17430.0</v>
      </c>
    </row>
    <row r="604">
      <c r="A604" s="1" t="s">
        <v>1385</v>
      </c>
      <c r="B604" s="1" t="s">
        <v>166</v>
      </c>
      <c r="C604" s="1">
        <v>199.0047</v>
      </c>
      <c r="D604" s="1" t="s">
        <v>17</v>
      </c>
      <c r="E604" s="1" t="s">
        <v>58</v>
      </c>
      <c r="F604" s="1">
        <v>68.2</v>
      </c>
      <c r="G604" s="1">
        <v>51.61</v>
      </c>
      <c r="H604" s="1">
        <v>5.3528253656E10</v>
      </c>
      <c r="I604" s="1">
        <v>5.9192635837E10</v>
      </c>
      <c r="J604" s="1" t="s">
        <v>1386</v>
      </c>
      <c r="K604" s="1" t="s">
        <v>1387</v>
      </c>
      <c r="L604" s="1">
        <v>5.99</v>
      </c>
      <c r="M604" s="1">
        <v>1192.04</v>
      </c>
      <c r="N604" s="1">
        <v>1192.0</v>
      </c>
      <c r="O604" s="1">
        <v>98936.0</v>
      </c>
    </row>
    <row r="605">
      <c r="A605" s="1" t="s">
        <v>1388</v>
      </c>
      <c r="B605" s="1" t="s">
        <v>147</v>
      </c>
      <c r="C605" s="1">
        <v>74.4667</v>
      </c>
      <c r="D605" s="1" t="s">
        <v>42</v>
      </c>
      <c r="E605" s="1" t="s">
        <v>27</v>
      </c>
      <c r="F605" s="1">
        <v>5.07</v>
      </c>
      <c r="G605" s="1">
        <v>44.06</v>
      </c>
      <c r="H605" s="1">
        <v>2.7065705673E10</v>
      </c>
      <c r="I605" s="1">
        <v>3.0638291701E10</v>
      </c>
      <c r="J605" s="2">
        <v>45633.4375</v>
      </c>
      <c r="K605" s="1" t="s">
        <v>1389</v>
      </c>
      <c r="L605" s="1">
        <v>1.35</v>
      </c>
      <c r="M605" s="1">
        <v>100.53</v>
      </c>
      <c r="N605" s="1">
        <v>101.0</v>
      </c>
      <c r="O605" s="1">
        <v>8383.0</v>
      </c>
    </row>
    <row r="606">
      <c r="A606" s="1" t="s">
        <v>1390</v>
      </c>
      <c r="B606" s="1" t="s">
        <v>41</v>
      </c>
      <c r="C606" s="1">
        <v>30.7</v>
      </c>
      <c r="D606" s="1" t="s">
        <v>42</v>
      </c>
      <c r="E606" s="1" t="s">
        <v>58</v>
      </c>
      <c r="F606" s="1">
        <v>93.43</v>
      </c>
      <c r="G606" s="1">
        <v>60.69</v>
      </c>
      <c r="H606" s="1">
        <v>9.0173241605E10</v>
      </c>
      <c r="I606" s="1">
        <v>9.3835895466E10</v>
      </c>
      <c r="J606" s="2">
        <v>45330.74375</v>
      </c>
      <c r="K606" s="2">
        <v>45390.02291666667</v>
      </c>
      <c r="L606" s="1">
        <v>8.96</v>
      </c>
      <c r="M606" s="1">
        <v>275.07</v>
      </c>
      <c r="N606" s="1">
        <v>275.0</v>
      </c>
      <c r="O606" s="1">
        <v>22825.0</v>
      </c>
    </row>
    <row r="607">
      <c r="A607" s="1" t="s">
        <v>1391</v>
      </c>
      <c r="B607" s="1" t="s">
        <v>166</v>
      </c>
      <c r="C607" s="1">
        <v>402.1611</v>
      </c>
      <c r="D607" s="1" t="s">
        <v>17</v>
      </c>
      <c r="E607" s="1" t="s">
        <v>74</v>
      </c>
      <c r="F607" s="1">
        <v>58.6</v>
      </c>
      <c r="G607" s="1">
        <v>70.99</v>
      </c>
      <c r="H607" s="1">
        <v>8.0225660303E10</v>
      </c>
      <c r="I607" s="1">
        <v>8.0774640241E10</v>
      </c>
      <c r="J607" s="1" t="s">
        <v>1392</v>
      </c>
      <c r="K607" s="1" t="s">
        <v>1393</v>
      </c>
      <c r="L607" s="1">
        <v>2.62</v>
      </c>
      <c r="M607" s="1">
        <v>1053.66</v>
      </c>
      <c r="N607" s="1">
        <v>1054.0</v>
      </c>
      <c r="O607" s="1">
        <v>87482.0</v>
      </c>
    </row>
    <row r="608">
      <c r="A608" s="1" t="s">
        <v>1394</v>
      </c>
      <c r="B608" s="1" t="s">
        <v>60</v>
      </c>
      <c r="C608" s="1">
        <v>70.0</v>
      </c>
      <c r="D608" s="1" t="s">
        <v>42</v>
      </c>
      <c r="E608" s="1" t="s">
        <v>105</v>
      </c>
      <c r="F608" s="1">
        <v>0.19</v>
      </c>
      <c r="G608" s="1">
        <v>63.07</v>
      </c>
      <c r="H608" s="1">
        <v>8.3126833068E10</v>
      </c>
      <c r="I608" s="1">
        <v>9.2600620478E10</v>
      </c>
      <c r="J608" s="1" t="s">
        <v>1395</v>
      </c>
      <c r="K608" s="1" t="s">
        <v>1396</v>
      </c>
      <c r="L608" s="1">
        <v>1.71</v>
      </c>
      <c r="M608" s="1">
        <v>119.7</v>
      </c>
      <c r="N608" s="1">
        <v>120.0</v>
      </c>
      <c r="O608" s="1">
        <v>9960.0</v>
      </c>
    </row>
    <row r="609">
      <c r="A609" s="1" t="s">
        <v>1397</v>
      </c>
      <c r="B609" s="1" t="s">
        <v>139</v>
      </c>
      <c r="C609" s="1">
        <v>109.6333</v>
      </c>
      <c r="D609" s="1" t="s">
        <v>42</v>
      </c>
      <c r="E609" s="1" t="s">
        <v>123</v>
      </c>
      <c r="F609" s="1">
        <v>97.05</v>
      </c>
      <c r="G609" s="1">
        <v>97.65</v>
      </c>
      <c r="H609" s="1">
        <v>6.1917587897E10</v>
      </c>
      <c r="I609" s="1">
        <v>6.7635412141E10</v>
      </c>
      <c r="J609" s="2">
        <v>45573.15</v>
      </c>
      <c r="K609" s="1" t="s">
        <v>1398</v>
      </c>
      <c r="L609" s="1">
        <v>7.78</v>
      </c>
      <c r="M609" s="1">
        <v>852.95</v>
      </c>
      <c r="N609" s="1">
        <v>853.0</v>
      </c>
      <c r="O609" s="1">
        <v>70799.0</v>
      </c>
    </row>
    <row r="610">
      <c r="A610" s="1" t="s">
        <v>1399</v>
      </c>
      <c r="B610" s="1" t="s">
        <v>79</v>
      </c>
      <c r="C610" s="1">
        <v>740.4587</v>
      </c>
      <c r="D610" s="1" t="s">
        <v>21</v>
      </c>
      <c r="E610" s="1" t="s">
        <v>74</v>
      </c>
      <c r="F610" s="1">
        <v>4.53</v>
      </c>
      <c r="G610" s="1">
        <v>74.01</v>
      </c>
      <c r="H610" s="1">
        <v>7.938375261E10</v>
      </c>
      <c r="I610" s="1">
        <v>8.8680909492E10</v>
      </c>
      <c r="J610" s="1" t="s">
        <v>1400</v>
      </c>
      <c r="K610" s="1" t="s">
        <v>1401</v>
      </c>
      <c r="L610" s="1">
        <v>2.8</v>
      </c>
      <c r="M610" s="1">
        <v>2073.28</v>
      </c>
      <c r="N610" s="1">
        <v>2073.0</v>
      </c>
      <c r="O610" s="1">
        <v>172059.0</v>
      </c>
    </row>
    <row r="611">
      <c r="A611" s="1" t="s">
        <v>1402</v>
      </c>
      <c r="B611" s="1" t="s">
        <v>83</v>
      </c>
      <c r="C611" s="1">
        <v>422.7299</v>
      </c>
      <c r="D611" s="1" t="s">
        <v>21</v>
      </c>
      <c r="E611" s="1" t="s">
        <v>123</v>
      </c>
      <c r="F611" s="1">
        <v>1.72</v>
      </c>
      <c r="G611" s="1">
        <v>74.52</v>
      </c>
      <c r="H611" s="1">
        <v>7.6049289371E10</v>
      </c>
      <c r="I611" s="1">
        <v>8.4863458397E10</v>
      </c>
      <c r="J611" s="1" t="s">
        <v>1403</v>
      </c>
      <c r="K611" s="1" t="s">
        <v>1404</v>
      </c>
      <c r="L611" s="1">
        <v>4.08</v>
      </c>
      <c r="M611" s="1">
        <v>1724.74</v>
      </c>
      <c r="N611" s="1">
        <v>1725.0</v>
      </c>
      <c r="O611" s="1">
        <v>143175.0</v>
      </c>
    </row>
    <row r="612">
      <c r="A612" s="1" t="s">
        <v>1405</v>
      </c>
      <c r="B612" s="1" t="s">
        <v>183</v>
      </c>
      <c r="C612" s="1">
        <v>758.306</v>
      </c>
      <c r="D612" s="1" t="s">
        <v>17</v>
      </c>
      <c r="E612" s="1" t="s">
        <v>123</v>
      </c>
      <c r="F612" s="1">
        <v>71.11</v>
      </c>
      <c r="G612" s="1">
        <v>20.31</v>
      </c>
      <c r="H612" s="1">
        <v>2.6769360946E10</v>
      </c>
      <c r="I612" s="1">
        <v>3.3807753371E10</v>
      </c>
      <c r="J612" s="1" t="s">
        <v>1406</v>
      </c>
      <c r="K612" s="1" t="s">
        <v>1407</v>
      </c>
      <c r="L612" s="1">
        <v>8.82</v>
      </c>
      <c r="M612" s="1">
        <v>6688.26</v>
      </c>
      <c r="N612" s="1">
        <v>6688.0</v>
      </c>
      <c r="O612" s="1">
        <v>555104.0</v>
      </c>
    </row>
    <row r="613">
      <c r="A613" s="1" t="s">
        <v>1408</v>
      </c>
      <c r="B613" s="1" t="s">
        <v>169</v>
      </c>
      <c r="C613" s="1">
        <v>768.0133</v>
      </c>
      <c r="D613" s="1" t="s">
        <v>17</v>
      </c>
      <c r="E613" s="1" t="s">
        <v>27</v>
      </c>
      <c r="F613" s="1">
        <v>5.33</v>
      </c>
      <c r="G613" s="1">
        <v>50.11</v>
      </c>
      <c r="H613" s="1">
        <v>5.0942367098E10</v>
      </c>
      <c r="I613" s="1">
        <v>5.8673102217E10</v>
      </c>
      <c r="J613" s="1" t="s">
        <v>1409</v>
      </c>
      <c r="K613" s="1" t="s">
        <v>1410</v>
      </c>
      <c r="L613" s="1">
        <v>7.12</v>
      </c>
      <c r="M613" s="1">
        <v>5468.25</v>
      </c>
      <c r="N613" s="1">
        <v>5468.0</v>
      </c>
      <c r="O613" s="1">
        <v>453844.0</v>
      </c>
    </row>
    <row r="614">
      <c r="A614" s="1" t="s">
        <v>1411</v>
      </c>
      <c r="B614" s="1" t="s">
        <v>36</v>
      </c>
      <c r="C614" s="1">
        <v>933.6444</v>
      </c>
      <c r="D614" s="1" t="s">
        <v>17</v>
      </c>
      <c r="E614" s="1" t="s">
        <v>123</v>
      </c>
      <c r="F614" s="1">
        <v>92.88</v>
      </c>
      <c r="G614" s="1">
        <v>35.54</v>
      </c>
      <c r="H614" s="1">
        <v>3.8215807762E10</v>
      </c>
      <c r="I614" s="1">
        <v>4.590959343E10</v>
      </c>
      <c r="J614" s="2">
        <v>45298.12291666667</v>
      </c>
      <c r="K614" s="2">
        <v>45419.311111111114</v>
      </c>
      <c r="L614" s="1">
        <v>2.74</v>
      </c>
      <c r="M614" s="1">
        <v>2558.19</v>
      </c>
      <c r="N614" s="1">
        <v>2558.0</v>
      </c>
      <c r="O614" s="1">
        <v>212314.0</v>
      </c>
    </row>
    <row r="615">
      <c r="A615" s="1" t="s">
        <v>1412</v>
      </c>
      <c r="B615" s="1" t="s">
        <v>20</v>
      </c>
      <c r="C615" s="1">
        <v>579.897</v>
      </c>
      <c r="D615" s="1" t="s">
        <v>17</v>
      </c>
      <c r="E615" s="1" t="s">
        <v>74</v>
      </c>
      <c r="F615" s="1">
        <v>15.28</v>
      </c>
      <c r="G615" s="1">
        <v>86.99</v>
      </c>
      <c r="H615" s="1">
        <v>6.0995867173E10</v>
      </c>
      <c r="I615" s="1">
        <v>6.1780596439E10</v>
      </c>
      <c r="J615" s="1" t="s">
        <v>1413</v>
      </c>
      <c r="K615" s="1" t="s">
        <v>1414</v>
      </c>
      <c r="L615" s="1">
        <v>1.5</v>
      </c>
      <c r="M615" s="1">
        <v>869.85</v>
      </c>
      <c r="N615" s="1">
        <v>870.0</v>
      </c>
      <c r="O615" s="1">
        <v>72210.0</v>
      </c>
    </row>
    <row r="616">
      <c r="A616" s="1" t="s">
        <v>1415</v>
      </c>
      <c r="B616" s="1" t="s">
        <v>57</v>
      </c>
      <c r="C616" s="1">
        <v>75.9818</v>
      </c>
      <c r="D616" s="1" t="s">
        <v>17</v>
      </c>
      <c r="E616" s="1" t="s">
        <v>22</v>
      </c>
      <c r="F616" s="1">
        <v>18.79</v>
      </c>
      <c r="G616" s="1">
        <v>10.51</v>
      </c>
      <c r="H616" s="1">
        <v>3.8046686352E10</v>
      </c>
      <c r="I616" s="1">
        <v>4.1138689229E10</v>
      </c>
      <c r="J616" s="2">
        <v>45634.53055555555</v>
      </c>
      <c r="K616" s="1" t="s">
        <v>1416</v>
      </c>
      <c r="L616" s="1">
        <v>4.09</v>
      </c>
      <c r="M616" s="1">
        <v>310.77</v>
      </c>
      <c r="N616" s="1">
        <v>311.0</v>
      </c>
      <c r="O616" s="1">
        <v>25813.0</v>
      </c>
    </row>
    <row r="617">
      <c r="A617" s="1" t="s">
        <v>1417</v>
      </c>
      <c r="B617" s="1" t="s">
        <v>66</v>
      </c>
      <c r="C617" s="1">
        <v>364.5037</v>
      </c>
      <c r="D617" s="1" t="s">
        <v>21</v>
      </c>
      <c r="E617" s="1" t="s">
        <v>18</v>
      </c>
      <c r="F617" s="1">
        <v>50.11</v>
      </c>
      <c r="G617" s="1">
        <v>2.28</v>
      </c>
      <c r="H617" s="1">
        <v>7.7440994177E10</v>
      </c>
      <c r="I617" s="1">
        <v>7.784075432E10</v>
      </c>
      <c r="J617" s="1" t="s">
        <v>1418</v>
      </c>
      <c r="K617" s="2">
        <v>45299.513194444444</v>
      </c>
      <c r="L617" s="1">
        <v>3.65</v>
      </c>
      <c r="M617" s="1">
        <v>1330.44</v>
      </c>
      <c r="N617" s="1">
        <v>1330.0</v>
      </c>
      <c r="O617" s="1">
        <v>110390.0</v>
      </c>
    </row>
    <row r="618">
      <c r="A618" s="1" t="s">
        <v>1419</v>
      </c>
      <c r="B618" s="1" t="s">
        <v>139</v>
      </c>
      <c r="C618" s="1">
        <v>82.9</v>
      </c>
      <c r="D618" s="1" t="s">
        <v>42</v>
      </c>
      <c r="E618" s="1" t="s">
        <v>155</v>
      </c>
      <c r="F618" s="1">
        <v>44.88</v>
      </c>
      <c r="G618" s="1">
        <v>94.96</v>
      </c>
      <c r="H618" s="1">
        <v>1.3212279998E10</v>
      </c>
      <c r="I618" s="1">
        <v>1.7308367361E10</v>
      </c>
      <c r="J618" s="2">
        <v>45329.097916666666</v>
      </c>
      <c r="K618" s="2">
        <v>45419.552083333336</v>
      </c>
      <c r="L618" s="1">
        <v>6.66</v>
      </c>
      <c r="M618" s="1">
        <v>552.11</v>
      </c>
      <c r="N618" s="1">
        <v>552.0</v>
      </c>
      <c r="O618" s="1">
        <v>45816.0</v>
      </c>
    </row>
    <row r="619">
      <c r="A619" s="1" t="s">
        <v>1420</v>
      </c>
      <c r="B619" s="1" t="s">
        <v>26</v>
      </c>
      <c r="C619" s="1">
        <v>357.5289</v>
      </c>
      <c r="D619" s="1" t="s">
        <v>17</v>
      </c>
      <c r="E619" s="1" t="s">
        <v>155</v>
      </c>
      <c r="F619" s="1">
        <v>19.36</v>
      </c>
      <c r="G619" s="1">
        <v>40.14</v>
      </c>
      <c r="H619" s="1">
        <v>1.0886501175E10</v>
      </c>
      <c r="I619" s="1">
        <v>2.0627001344E10</v>
      </c>
      <c r="J619" s="2">
        <v>45543.47083333333</v>
      </c>
      <c r="K619" s="1" t="s">
        <v>1421</v>
      </c>
      <c r="L619" s="1">
        <v>2.43</v>
      </c>
      <c r="M619" s="1">
        <v>868.8</v>
      </c>
      <c r="N619" s="1">
        <v>869.0</v>
      </c>
      <c r="O619" s="1">
        <v>72127.0</v>
      </c>
    </row>
    <row r="620">
      <c r="A620" s="1" t="s">
        <v>1422</v>
      </c>
      <c r="B620" s="1" t="s">
        <v>60</v>
      </c>
      <c r="C620" s="1">
        <v>61.4833</v>
      </c>
      <c r="D620" s="1" t="s">
        <v>42</v>
      </c>
      <c r="E620" s="1" t="s">
        <v>58</v>
      </c>
      <c r="F620" s="1">
        <v>73.77</v>
      </c>
      <c r="G620" s="1">
        <v>16.96</v>
      </c>
      <c r="H620" s="1">
        <v>6.0202055264E10</v>
      </c>
      <c r="I620" s="1">
        <v>6.8337416384E10</v>
      </c>
      <c r="J620" s="2">
        <v>45543.450694444444</v>
      </c>
      <c r="K620" s="2">
        <v>45634.0125</v>
      </c>
      <c r="L620" s="1">
        <v>3.98</v>
      </c>
      <c r="M620" s="1">
        <v>244.7</v>
      </c>
      <c r="N620" s="1">
        <v>245.0</v>
      </c>
      <c r="O620" s="1">
        <v>20335.0</v>
      </c>
    </row>
    <row r="621">
      <c r="A621" s="1" t="s">
        <v>1423</v>
      </c>
      <c r="B621" s="1" t="s">
        <v>41</v>
      </c>
      <c r="C621" s="1">
        <v>132.5833</v>
      </c>
      <c r="D621" s="1" t="s">
        <v>42</v>
      </c>
      <c r="E621" s="1" t="s">
        <v>32</v>
      </c>
      <c r="F621" s="1">
        <v>32.95</v>
      </c>
      <c r="G621" s="1">
        <v>50.84</v>
      </c>
      <c r="H621" s="1">
        <v>6.2624375224E10</v>
      </c>
      <c r="I621" s="1">
        <v>6.6506699642E10</v>
      </c>
      <c r="J621" s="1" t="s">
        <v>1424</v>
      </c>
      <c r="K621" s="2">
        <v>45360.31597222222</v>
      </c>
      <c r="L621" s="1">
        <v>8.24</v>
      </c>
      <c r="M621" s="1">
        <v>1092.49</v>
      </c>
      <c r="N621" s="1">
        <v>1092.0</v>
      </c>
      <c r="O621" s="1">
        <v>90636.0</v>
      </c>
    </row>
    <row r="622">
      <c r="A622" s="1" t="s">
        <v>1425</v>
      </c>
      <c r="B622" s="1" t="s">
        <v>183</v>
      </c>
      <c r="C622" s="1">
        <v>931.6294</v>
      </c>
      <c r="D622" s="1" t="s">
        <v>17</v>
      </c>
      <c r="E622" s="1" t="s">
        <v>18</v>
      </c>
      <c r="F622" s="1">
        <v>69.47</v>
      </c>
      <c r="G622" s="1">
        <v>60.8</v>
      </c>
      <c r="H622" s="1">
        <v>3.9058017625E10</v>
      </c>
      <c r="I622" s="1">
        <v>4.8645923518E10</v>
      </c>
      <c r="J622" s="1" t="s">
        <v>1426</v>
      </c>
      <c r="K622" s="1" t="s">
        <v>1427</v>
      </c>
      <c r="L622" s="1">
        <v>3.15</v>
      </c>
      <c r="M622" s="1">
        <v>2934.63</v>
      </c>
      <c r="N622" s="1">
        <v>2935.0</v>
      </c>
      <c r="O622" s="1">
        <v>243605.0</v>
      </c>
    </row>
    <row r="623">
      <c r="A623" s="1" t="s">
        <v>1428</v>
      </c>
      <c r="B623" s="1" t="s">
        <v>112</v>
      </c>
      <c r="C623" s="1">
        <v>103.9167</v>
      </c>
      <c r="D623" s="1" t="s">
        <v>42</v>
      </c>
      <c r="E623" s="1" t="s">
        <v>70</v>
      </c>
      <c r="F623" s="1">
        <v>93.48</v>
      </c>
      <c r="G623" s="1">
        <v>32.8</v>
      </c>
      <c r="H623" s="1">
        <v>3.2475050333E10</v>
      </c>
      <c r="I623" s="1">
        <v>4.0333849858E10</v>
      </c>
      <c r="J623" s="2">
        <v>45298.37430555555</v>
      </c>
      <c r="K623" s="2">
        <v>45419.70416666667</v>
      </c>
      <c r="L623" s="1">
        <v>8.52</v>
      </c>
      <c r="M623" s="1">
        <v>885.37</v>
      </c>
      <c r="N623" s="1">
        <v>885.0</v>
      </c>
      <c r="O623" s="1">
        <v>73455.0</v>
      </c>
    </row>
    <row r="624">
      <c r="A624" s="1" t="s">
        <v>1429</v>
      </c>
      <c r="B624" s="1" t="s">
        <v>128</v>
      </c>
      <c r="C624" s="1">
        <v>142.5774</v>
      </c>
      <c r="D624" s="1" t="s">
        <v>21</v>
      </c>
      <c r="E624" s="1" t="s">
        <v>74</v>
      </c>
      <c r="F624" s="1">
        <v>61.06</v>
      </c>
      <c r="G624" s="1">
        <v>25.1</v>
      </c>
      <c r="H624" s="1">
        <v>8.9802450137E10</v>
      </c>
      <c r="I624" s="1">
        <v>9.4186930893E10</v>
      </c>
      <c r="J624" s="2">
        <v>45358.572916666664</v>
      </c>
      <c r="K624" s="2">
        <v>45480.847916666666</v>
      </c>
      <c r="L624" s="1">
        <v>6.06</v>
      </c>
      <c r="M624" s="1">
        <v>864.02</v>
      </c>
      <c r="N624" s="1">
        <v>864.0</v>
      </c>
      <c r="O624" s="1">
        <v>71712.0</v>
      </c>
    </row>
    <row r="625">
      <c r="A625" s="1" t="s">
        <v>1430</v>
      </c>
      <c r="B625" s="1" t="s">
        <v>66</v>
      </c>
      <c r="C625" s="1">
        <v>395.8666</v>
      </c>
      <c r="D625" s="1" t="s">
        <v>17</v>
      </c>
      <c r="E625" s="1" t="s">
        <v>123</v>
      </c>
      <c r="F625" s="1">
        <v>31.76</v>
      </c>
      <c r="G625" s="1">
        <v>4.0</v>
      </c>
      <c r="H625" s="1">
        <v>9.0103791429E10</v>
      </c>
      <c r="I625" s="1">
        <v>9.6109228818E10</v>
      </c>
      <c r="J625" s="2">
        <v>45330.660416666666</v>
      </c>
      <c r="K625" s="2">
        <v>45390.583333333336</v>
      </c>
      <c r="L625" s="1">
        <v>6.32</v>
      </c>
      <c r="M625" s="1">
        <v>2501.88</v>
      </c>
      <c r="N625" s="1">
        <v>2502.0</v>
      </c>
      <c r="O625" s="1">
        <v>207666.0</v>
      </c>
    </row>
    <row r="626">
      <c r="A626" s="1" t="s">
        <v>1431</v>
      </c>
      <c r="B626" s="1" t="s">
        <v>66</v>
      </c>
      <c r="C626" s="1">
        <v>691.7493</v>
      </c>
      <c r="D626" s="1" t="s">
        <v>21</v>
      </c>
      <c r="E626" s="1" t="s">
        <v>37</v>
      </c>
      <c r="F626" s="1">
        <v>3.07</v>
      </c>
      <c r="G626" s="1">
        <v>5.56</v>
      </c>
      <c r="H626" s="1">
        <v>4.16957707E9</v>
      </c>
      <c r="I626" s="1">
        <v>1.1227431169E10</v>
      </c>
      <c r="J626" s="1" t="s">
        <v>1432</v>
      </c>
      <c r="K626" s="1" t="s">
        <v>1433</v>
      </c>
      <c r="L626" s="1">
        <v>5.71</v>
      </c>
      <c r="M626" s="1">
        <v>3949.89</v>
      </c>
      <c r="N626" s="1">
        <v>3950.0</v>
      </c>
      <c r="O626" s="1">
        <v>327850.0</v>
      </c>
    </row>
    <row r="627">
      <c r="A627" s="1" t="s">
        <v>1434</v>
      </c>
      <c r="B627" s="1" t="s">
        <v>147</v>
      </c>
      <c r="C627" s="1">
        <v>31.4</v>
      </c>
      <c r="D627" s="1" t="s">
        <v>42</v>
      </c>
      <c r="E627" s="1" t="s">
        <v>123</v>
      </c>
      <c r="F627" s="1">
        <v>66.21</v>
      </c>
      <c r="G627" s="1">
        <v>60.58</v>
      </c>
      <c r="H627" s="1">
        <v>4.8909078248E10</v>
      </c>
      <c r="I627" s="1">
        <v>5.6422763858E10</v>
      </c>
      <c r="J627" s="2">
        <v>45543.06597222222</v>
      </c>
      <c r="K627" s="2">
        <v>45573.37430555555</v>
      </c>
      <c r="L627" s="1">
        <v>4.56</v>
      </c>
      <c r="M627" s="1">
        <v>143.18</v>
      </c>
      <c r="N627" s="1">
        <v>143.0</v>
      </c>
      <c r="O627" s="1">
        <v>11869.0</v>
      </c>
    </row>
    <row r="628">
      <c r="A628" s="1" t="s">
        <v>1435</v>
      </c>
      <c r="B628" s="1" t="s">
        <v>26</v>
      </c>
      <c r="C628" s="1">
        <v>94.6982</v>
      </c>
      <c r="D628" s="1" t="s">
        <v>17</v>
      </c>
      <c r="E628" s="1" t="s">
        <v>155</v>
      </c>
      <c r="F628" s="1">
        <v>98.0</v>
      </c>
      <c r="G628" s="1">
        <v>36.52</v>
      </c>
      <c r="H628" s="1">
        <v>9.14725292E9</v>
      </c>
      <c r="I628" s="1">
        <v>1.4178293537E10</v>
      </c>
      <c r="J628" s="1" t="s">
        <v>1436</v>
      </c>
      <c r="K628" s="2">
        <v>45299.11944444444</v>
      </c>
      <c r="L628" s="1">
        <v>7.05</v>
      </c>
      <c r="M628" s="1">
        <v>667.62</v>
      </c>
      <c r="N628" s="1">
        <v>668.0</v>
      </c>
      <c r="O628" s="1">
        <v>55444.0</v>
      </c>
    </row>
    <row r="629">
      <c r="A629" s="1" t="s">
        <v>1437</v>
      </c>
      <c r="B629" s="1" t="s">
        <v>31</v>
      </c>
      <c r="C629" s="1">
        <v>323.6305</v>
      </c>
      <c r="D629" s="1" t="s">
        <v>21</v>
      </c>
      <c r="E629" s="1" t="s">
        <v>70</v>
      </c>
      <c r="F629" s="1">
        <v>85.01</v>
      </c>
      <c r="G629" s="1">
        <v>78.84</v>
      </c>
      <c r="H629" s="1">
        <v>8.4496301651E10</v>
      </c>
      <c r="I629" s="1">
        <v>8.5421901662E10</v>
      </c>
      <c r="J629" s="2">
        <v>45543.521527777775</v>
      </c>
      <c r="K629" s="2">
        <v>45634.240277777775</v>
      </c>
      <c r="L629" s="1">
        <v>5.99</v>
      </c>
      <c r="M629" s="1">
        <v>1938.55</v>
      </c>
      <c r="N629" s="1">
        <v>1939.0</v>
      </c>
      <c r="O629" s="1">
        <v>160937.0</v>
      </c>
    </row>
    <row r="630">
      <c r="A630" s="1" t="s">
        <v>1438</v>
      </c>
      <c r="B630" s="1" t="s">
        <v>169</v>
      </c>
      <c r="C630" s="1">
        <v>773.7328</v>
      </c>
      <c r="D630" s="1" t="s">
        <v>21</v>
      </c>
      <c r="E630" s="1" t="s">
        <v>27</v>
      </c>
      <c r="F630" s="1">
        <v>0.72</v>
      </c>
      <c r="G630" s="1">
        <v>75.7</v>
      </c>
      <c r="H630" s="1">
        <v>5.2580606871E10</v>
      </c>
      <c r="I630" s="1">
        <v>5.471822072E10</v>
      </c>
      <c r="J630" s="1" t="s">
        <v>1439</v>
      </c>
      <c r="K630" s="1" t="s">
        <v>1440</v>
      </c>
      <c r="L630" s="1">
        <v>7.67</v>
      </c>
      <c r="M630" s="1">
        <v>5934.53</v>
      </c>
      <c r="N630" s="1">
        <v>5935.0</v>
      </c>
      <c r="O630" s="1">
        <v>492605.0</v>
      </c>
    </row>
    <row r="631">
      <c r="A631" s="1" t="s">
        <v>1441</v>
      </c>
      <c r="B631" s="1" t="s">
        <v>46</v>
      </c>
      <c r="C631" s="1">
        <v>654.2975</v>
      </c>
      <c r="D631" s="1" t="s">
        <v>21</v>
      </c>
      <c r="E631" s="1" t="s">
        <v>54</v>
      </c>
      <c r="F631" s="1">
        <v>20.92</v>
      </c>
      <c r="G631" s="1">
        <v>76.59</v>
      </c>
      <c r="H631" s="1">
        <v>1.6174137911E10</v>
      </c>
      <c r="I631" s="1">
        <v>1.8145286001E10</v>
      </c>
      <c r="J631" s="1" t="s">
        <v>1442</v>
      </c>
      <c r="K631" s="1" t="s">
        <v>1443</v>
      </c>
      <c r="L631" s="1">
        <v>1.36</v>
      </c>
      <c r="M631" s="1">
        <v>889.84</v>
      </c>
      <c r="N631" s="1">
        <v>890.0</v>
      </c>
      <c r="O631" s="1">
        <v>73870.0</v>
      </c>
    </row>
    <row r="632">
      <c r="A632" s="1" t="s">
        <v>1444</v>
      </c>
      <c r="B632" s="1" t="s">
        <v>83</v>
      </c>
      <c r="C632" s="1">
        <v>353.1097</v>
      </c>
      <c r="D632" s="1" t="s">
        <v>21</v>
      </c>
      <c r="E632" s="1" t="s">
        <v>155</v>
      </c>
      <c r="F632" s="1">
        <v>71.19</v>
      </c>
      <c r="G632" s="1">
        <v>63.19</v>
      </c>
      <c r="H632" s="1">
        <v>7.5436784164E10</v>
      </c>
      <c r="I632" s="1">
        <v>8.4411038163E10</v>
      </c>
      <c r="J632" s="2">
        <v>45573.26111111111</v>
      </c>
      <c r="K632" s="2">
        <v>45604.975694444445</v>
      </c>
      <c r="L632" s="1">
        <v>5.27</v>
      </c>
      <c r="M632" s="1">
        <v>1860.89</v>
      </c>
      <c r="N632" s="1">
        <v>1861.0</v>
      </c>
      <c r="O632" s="1">
        <v>154463.0</v>
      </c>
    </row>
    <row r="633">
      <c r="A633" s="1" t="s">
        <v>1445</v>
      </c>
      <c r="B633" s="1" t="s">
        <v>350</v>
      </c>
      <c r="C633" s="1">
        <v>733.4302</v>
      </c>
      <c r="D633" s="1" t="s">
        <v>17</v>
      </c>
      <c r="E633" s="1" t="s">
        <v>22</v>
      </c>
      <c r="F633" s="1">
        <v>59.44</v>
      </c>
      <c r="G633" s="1">
        <v>62.96</v>
      </c>
      <c r="H633" s="1">
        <v>6.5233713287E10</v>
      </c>
      <c r="I633" s="1">
        <v>7.1396549568E10</v>
      </c>
      <c r="J633" s="2">
        <v>45573.76111111111</v>
      </c>
      <c r="K633" s="1" t="s">
        <v>1446</v>
      </c>
      <c r="L633" s="1">
        <v>5.54</v>
      </c>
      <c r="M633" s="1">
        <v>4063.2</v>
      </c>
      <c r="N633" s="1">
        <v>4063.0</v>
      </c>
      <c r="O633" s="1">
        <v>337229.0</v>
      </c>
    </row>
    <row r="634">
      <c r="A634" s="1" t="s">
        <v>1447</v>
      </c>
      <c r="B634" s="1" t="s">
        <v>166</v>
      </c>
      <c r="C634" s="1">
        <v>440.8594</v>
      </c>
      <c r="D634" s="1" t="s">
        <v>21</v>
      </c>
      <c r="E634" s="1" t="s">
        <v>70</v>
      </c>
      <c r="F634" s="1">
        <v>63.21</v>
      </c>
      <c r="G634" s="1">
        <v>81.01</v>
      </c>
      <c r="H634" s="1">
        <v>7.8340522052E10</v>
      </c>
      <c r="I634" s="1">
        <v>8.5056013216E10</v>
      </c>
      <c r="J634" s="2">
        <v>45511.40277777778</v>
      </c>
      <c r="K634" s="2">
        <v>45603.174305555556</v>
      </c>
      <c r="L634" s="1">
        <v>4.18</v>
      </c>
      <c r="M634" s="1">
        <v>1842.79</v>
      </c>
      <c r="N634" s="1">
        <v>1843.0</v>
      </c>
      <c r="O634" s="1">
        <v>152969.0</v>
      </c>
    </row>
    <row r="635">
      <c r="A635" s="1" t="s">
        <v>1448</v>
      </c>
      <c r="B635" s="1" t="s">
        <v>166</v>
      </c>
      <c r="C635" s="1">
        <v>829.9321</v>
      </c>
      <c r="D635" s="1" t="s">
        <v>21</v>
      </c>
      <c r="E635" s="1" t="s">
        <v>155</v>
      </c>
      <c r="F635" s="1">
        <v>95.97</v>
      </c>
      <c r="G635" s="1">
        <v>44.27</v>
      </c>
      <c r="H635" s="1">
        <v>1.2624630979E10</v>
      </c>
      <c r="I635" s="1">
        <v>1.4756357058E10</v>
      </c>
      <c r="J635" s="2">
        <v>45572.35486111111</v>
      </c>
      <c r="K635" s="1" t="s">
        <v>1449</v>
      </c>
      <c r="L635" s="1">
        <v>7.56</v>
      </c>
      <c r="M635" s="1">
        <v>6274.29</v>
      </c>
      <c r="N635" s="1">
        <v>6274.0</v>
      </c>
      <c r="O635" s="1">
        <v>520742.0</v>
      </c>
    </row>
    <row r="636">
      <c r="A636" s="1" t="s">
        <v>1450</v>
      </c>
      <c r="B636" s="1" t="s">
        <v>128</v>
      </c>
      <c r="C636" s="1">
        <v>987.5483</v>
      </c>
      <c r="D636" s="1" t="s">
        <v>17</v>
      </c>
      <c r="E636" s="1" t="s">
        <v>27</v>
      </c>
      <c r="F636" s="1">
        <v>64.58</v>
      </c>
      <c r="G636" s="1">
        <v>63.3</v>
      </c>
      <c r="H636" s="1">
        <v>2.6239273306E10</v>
      </c>
      <c r="I636" s="1">
        <v>3.4223805256E10</v>
      </c>
      <c r="J636" s="2">
        <v>45358.186111111114</v>
      </c>
      <c r="K636" s="2">
        <v>45480.82708333333</v>
      </c>
      <c r="L636" s="1">
        <v>3.21</v>
      </c>
      <c r="M636" s="1">
        <v>3170.03</v>
      </c>
      <c r="N636" s="1">
        <v>3170.0</v>
      </c>
      <c r="O636" s="1">
        <v>263110.0</v>
      </c>
    </row>
    <row r="637">
      <c r="A637" s="1" t="s">
        <v>1451</v>
      </c>
      <c r="B637" s="1" t="s">
        <v>41</v>
      </c>
      <c r="C637" s="1">
        <v>110.8</v>
      </c>
      <c r="D637" s="1" t="s">
        <v>42</v>
      </c>
      <c r="E637" s="1" t="s">
        <v>32</v>
      </c>
      <c r="F637" s="1">
        <v>17.24</v>
      </c>
      <c r="G637" s="1">
        <v>65.59</v>
      </c>
      <c r="H637" s="1">
        <v>4.984717928E9</v>
      </c>
      <c r="I637" s="1">
        <v>7.461405073E9</v>
      </c>
      <c r="J637" s="2">
        <v>45420.53888888889</v>
      </c>
      <c r="K637" s="2">
        <v>45573.15555555555</v>
      </c>
      <c r="L637" s="1">
        <v>6.1</v>
      </c>
      <c r="M637" s="1">
        <v>675.88</v>
      </c>
      <c r="N637" s="1">
        <v>676.0</v>
      </c>
      <c r="O637" s="1">
        <v>56108.0</v>
      </c>
    </row>
    <row r="638">
      <c r="A638" s="1" t="s">
        <v>1452</v>
      </c>
      <c r="B638" s="1" t="s">
        <v>60</v>
      </c>
      <c r="C638" s="1">
        <v>96.1333</v>
      </c>
      <c r="D638" s="1" t="s">
        <v>42</v>
      </c>
      <c r="E638" s="1" t="s">
        <v>22</v>
      </c>
      <c r="F638" s="1">
        <v>19.84</v>
      </c>
      <c r="G638" s="1">
        <v>38.28</v>
      </c>
      <c r="H638" s="1">
        <v>2.6883540687E10</v>
      </c>
      <c r="I638" s="1">
        <v>2.9144872044E10</v>
      </c>
      <c r="J638" s="1" t="s">
        <v>1453</v>
      </c>
      <c r="K638" s="1" t="s">
        <v>1454</v>
      </c>
      <c r="L638" s="1">
        <v>3.84</v>
      </c>
      <c r="M638" s="1">
        <v>369.15</v>
      </c>
      <c r="N638" s="1">
        <v>369.0</v>
      </c>
      <c r="O638" s="1">
        <v>30627.0</v>
      </c>
    </row>
    <row r="639">
      <c r="A639" s="1" t="s">
        <v>1455</v>
      </c>
      <c r="B639" s="1" t="s">
        <v>53</v>
      </c>
      <c r="C639" s="1">
        <v>970.2519</v>
      </c>
      <c r="D639" s="1" t="s">
        <v>21</v>
      </c>
      <c r="E639" s="1" t="s">
        <v>74</v>
      </c>
      <c r="F639" s="1">
        <v>0.88</v>
      </c>
      <c r="G639" s="1">
        <v>78.54</v>
      </c>
      <c r="H639" s="1">
        <v>2.4663740242E10</v>
      </c>
      <c r="I639" s="1">
        <v>3.3163141551E10</v>
      </c>
      <c r="J639" s="1" t="s">
        <v>1456</v>
      </c>
      <c r="K639" s="1" t="s">
        <v>1457</v>
      </c>
      <c r="L639" s="1">
        <v>5.05</v>
      </c>
      <c r="M639" s="1">
        <v>4899.77</v>
      </c>
      <c r="N639" s="1">
        <v>4900.0</v>
      </c>
      <c r="O639" s="1">
        <v>406700.0</v>
      </c>
    </row>
    <row r="640">
      <c r="A640" s="1" t="s">
        <v>1458</v>
      </c>
      <c r="B640" s="1" t="s">
        <v>26</v>
      </c>
      <c r="C640" s="1">
        <v>205.2521</v>
      </c>
      <c r="D640" s="1" t="s">
        <v>17</v>
      </c>
      <c r="E640" s="1" t="s">
        <v>22</v>
      </c>
      <c r="F640" s="1">
        <v>54.75</v>
      </c>
      <c r="G640" s="1">
        <v>93.39</v>
      </c>
      <c r="H640" s="1">
        <v>8.7248623585E10</v>
      </c>
      <c r="I640" s="1">
        <v>9.1585705285E10</v>
      </c>
      <c r="J640" s="1" t="s">
        <v>1459</v>
      </c>
      <c r="K640" s="1" t="s">
        <v>1460</v>
      </c>
      <c r="L640" s="1">
        <v>6.77</v>
      </c>
      <c r="M640" s="1">
        <v>1389.56</v>
      </c>
      <c r="N640" s="1">
        <v>1390.0</v>
      </c>
      <c r="O640" s="1">
        <v>115370.0</v>
      </c>
    </row>
    <row r="641">
      <c r="A641" s="1" t="s">
        <v>1461</v>
      </c>
      <c r="B641" s="1" t="s">
        <v>273</v>
      </c>
      <c r="C641" s="1">
        <v>670.2735</v>
      </c>
      <c r="D641" s="1" t="s">
        <v>17</v>
      </c>
      <c r="E641" s="1" t="s">
        <v>155</v>
      </c>
      <c r="F641" s="1">
        <v>46.23</v>
      </c>
      <c r="G641" s="1">
        <v>64.83</v>
      </c>
      <c r="H641" s="1">
        <v>1.959784952E10</v>
      </c>
      <c r="I641" s="1">
        <v>2.9080373672E10</v>
      </c>
      <c r="J641" s="2">
        <v>45389.302083333336</v>
      </c>
      <c r="K641" s="2">
        <v>45480.85625</v>
      </c>
      <c r="L641" s="1">
        <v>8.42</v>
      </c>
      <c r="M641" s="1">
        <v>5643.7</v>
      </c>
      <c r="N641" s="1">
        <v>5644.0</v>
      </c>
      <c r="O641" s="1">
        <v>468452.0</v>
      </c>
    </row>
    <row r="642">
      <c r="A642" s="1" t="s">
        <v>1462</v>
      </c>
      <c r="B642" s="1" t="s">
        <v>26</v>
      </c>
      <c r="C642" s="1">
        <v>851.117</v>
      </c>
      <c r="D642" s="1" t="s">
        <v>21</v>
      </c>
      <c r="E642" s="1" t="s">
        <v>54</v>
      </c>
      <c r="F642" s="1">
        <v>27.67</v>
      </c>
      <c r="G642" s="1">
        <v>10.1</v>
      </c>
      <c r="H642" s="1">
        <v>9.3663664453E10</v>
      </c>
      <c r="I642" s="3">
        <v>1.0151E11</v>
      </c>
      <c r="J642" s="2">
        <v>45451.25</v>
      </c>
      <c r="K642" s="2">
        <v>45634.197916666664</v>
      </c>
      <c r="L642" s="1">
        <v>2.21</v>
      </c>
      <c r="M642" s="1">
        <v>1880.97</v>
      </c>
      <c r="N642" s="1">
        <v>1881.0</v>
      </c>
      <c r="O642" s="1">
        <v>156123.0</v>
      </c>
    </row>
    <row r="643">
      <c r="A643" s="1" t="s">
        <v>1463</v>
      </c>
      <c r="B643" s="1" t="s">
        <v>16</v>
      </c>
      <c r="C643" s="1">
        <v>424.6237</v>
      </c>
      <c r="D643" s="1" t="s">
        <v>17</v>
      </c>
      <c r="E643" s="1" t="s">
        <v>155</v>
      </c>
      <c r="F643" s="1">
        <v>8.65</v>
      </c>
      <c r="G643" s="1">
        <v>10.66</v>
      </c>
      <c r="H643" s="1">
        <v>1.754509079E10</v>
      </c>
      <c r="I643" s="1">
        <v>2.0838682033E10</v>
      </c>
      <c r="J643" s="1" t="s">
        <v>1464</v>
      </c>
      <c r="K643" s="1" t="s">
        <v>1465</v>
      </c>
      <c r="L643" s="1">
        <v>7.05</v>
      </c>
      <c r="M643" s="1">
        <v>2993.6</v>
      </c>
      <c r="N643" s="1">
        <v>2994.0</v>
      </c>
      <c r="O643" s="1">
        <v>248502.0</v>
      </c>
    </row>
    <row r="644">
      <c r="A644" s="1" t="s">
        <v>1466</v>
      </c>
      <c r="B644" s="1" t="s">
        <v>31</v>
      </c>
      <c r="C644" s="1">
        <v>839.2951</v>
      </c>
      <c r="D644" s="1" t="s">
        <v>17</v>
      </c>
      <c r="E644" s="1" t="s">
        <v>58</v>
      </c>
      <c r="F644" s="1">
        <v>13.28</v>
      </c>
      <c r="G644" s="1">
        <v>86.26</v>
      </c>
      <c r="H644" s="1">
        <v>9.9716836901E10</v>
      </c>
      <c r="I644" s="3">
        <v>1.0007E11</v>
      </c>
      <c r="J644" s="2">
        <v>45572.14791666667</v>
      </c>
      <c r="K644" s="1" t="s">
        <v>1467</v>
      </c>
      <c r="L644" s="1">
        <v>6.07</v>
      </c>
      <c r="M644" s="1">
        <v>5094.52</v>
      </c>
      <c r="N644" s="1">
        <v>5095.0</v>
      </c>
      <c r="O644" s="1">
        <v>422885.0</v>
      </c>
    </row>
    <row r="645">
      <c r="A645" s="1" t="s">
        <v>1468</v>
      </c>
      <c r="B645" s="1" t="s">
        <v>128</v>
      </c>
      <c r="C645" s="1">
        <v>390.8588</v>
      </c>
      <c r="D645" s="1" t="s">
        <v>21</v>
      </c>
      <c r="E645" s="1" t="s">
        <v>32</v>
      </c>
      <c r="F645" s="1">
        <v>98.64</v>
      </c>
      <c r="G645" s="1">
        <v>64.86</v>
      </c>
      <c r="H645" s="1">
        <v>8.7072187476E10</v>
      </c>
      <c r="I645" s="1">
        <v>8.7524967649E10</v>
      </c>
      <c r="J645" s="1" t="s">
        <v>1469</v>
      </c>
      <c r="K645" s="1" t="s">
        <v>1470</v>
      </c>
      <c r="L645" s="1">
        <v>4.56</v>
      </c>
      <c r="M645" s="1">
        <v>1782.32</v>
      </c>
      <c r="N645" s="1">
        <v>1782.0</v>
      </c>
      <c r="O645" s="1">
        <v>147906.0</v>
      </c>
    </row>
    <row r="646">
      <c r="A646" s="1" t="s">
        <v>1471</v>
      </c>
      <c r="B646" s="1" t="s">
        <v>53</v>
      </c>
      <c r="C646" s="1">
        <v>972.7981</v>
      </c>
      <c r="D646" s="1" t="s">
        <v>17</v>
      </c>
      <c r="E646" s="1" t="s">
        <v>105</v>
      </c>
      <c r="F646" s="1">
        <v>97.98</v>
      </c>
      <c r="G646" s="1">
        <v>92.04</v>
      </c>
      <c r="H646" s="1">
        <v>9.8221012165E10</v>
      </c>
      <c r="I646" s="3">
        <v>1.06189E11</v>
      </c>
      <c r="J646" s="1" t="s">
        <v>1472</v>
      </c>
      <c r="K646" s="1" t="s">
        <v>1473</v>
      </c>
      <c r="L646" s="1">
        <v>4.61</v>
      </c>
      <c r="M646" s="1">
        <v>4484.6</v>
      </c>
      <c r="N646" s="1">
        <v>4485.0</v>
      </c>
      <c r="O646" s="1">
        <v>372255.0</v>
      </c>
    </row>
    <row r="647">
      <c r="A647" s="1" t="s">
        <v>1474</v>
      </c>
      <c r="B647" s="1" t="s">
        <v>99</v>
      </c>
      <c r="C647" s="1">
        <v>94.5509</v>
      </c>
      <c r="D647" s="1" t="s">
        <v>21</v>
      </c>
      <c r="E647" s="1" t="s">
        <v>27</v>
      </c>
      <c r="F647" s="1">
        <v>13.6</v>
      </c>
      <c r="G647" s="1">
        <v>72.79</v>
      </c>
      <c r="H647" s="1">
        <v>9.4448273573E10</v>
      </c>
      <c r="I647" s="1">
        <v>9.686144E10</v>
      </c>
      <c r="J647" s="1" t="s">
        <v>1475</v>
      </c>
      <c r="K647" s="1" t="s">
        <v>1476</v>
      </c>
      <c r="L647" s="1">
        <v>9.47</v>
      </c>
      <c r="M647" s="1">
        <v>895.4</v>
      </c>
      <c r="N647" s="1">
        <v>895.0</v>
      </c>
      <c r="O647" s="1">
        <v>74285.0</v>
      </c>
    </row>
    <row r="648">
      <c r="A648" s="1" t="s">
        <v>1477</v>
      </c>
      <c r="B648" s="1" t="s">
        <v>79</v>
      </c>
      <c r="C648" s="1">
        <v>421.893</v>
      </c>
      <c r="D648" s="1" t="s">
        <v>17</v>
      </c>
      <c r="E648" s="1" t="s">
        <v>105</v>
      </c>
      <c r="F648" s="1">
        <v>74.52</v>
      </c>
      <c r="G648" s="1">
        <v>16.13</v>
      </c>
      <c r="H648" s="1">
        <v>7.4428790693E10</v>
      </c>
      <c r="I648" s="1">
        <v>8.0406552383E10</v>
      </c>
      <c r="J648" s="1" t="s">
        <v>1478</v>
      </c>
      <c r="K648" s="2">
        <v>45389.12152777778</v>
      </c>
      <c r="L648" s="1">
        <v>4.91</v>
      </c>
      <c r="M648" s="1">
        <v>2071.49</v>
      </c>
      <c r="N648" s="1">
        <v>2071.0</v>
      </c>
      <c r="O648" s="1">
        <v>171893.0</v>
      </c>
    </row>
    <row r="649">
      <c r="A649" s="1" t="s">
        <v>1479</v>
      </c>
      <c r="B649" s="1" t="s">
        <v>112</v>
      </c>
      <c r="C649" s="1">
        <v>45.2833</v>
      </c>
      <c r="D649" s="1" t="s">
        <v>42</v>
      </c>
      <c r="E649" s="1" t="s">
        <v>74</v>
      </c>
      <c r="F649" s="1">
        <v>34.31</v>
      </c>
      <c r="G649" s="1">
        <v>45.39</v>
      </c>
      <c r="H649" s="1">
        <v>9.188789805E10</v>
      </c>
      <c r="I649" s="1">
        <v>9.7319003375E10</v>
      </c>
      <c r="J649" s="2">
        <v>45634.14722222222</v>
      </c>
      <c r="K649" s="1" t="s">
        <v>1480</v>
      </c>
      <c r="L649" s="1">
        <v>8.17</v>
      </c>
      <c r="M649" s="1">
        <v>369.96</v>
      </c>
      <c r="N649" s="1">
        <v>370.0</v>
      </c>
      <c r="O649" s="1">
        <v>30710.0</v>
      </c>
    </row>
    <row r="650">
      <c r="A650" s="1" t="s">
        <v>1481</v>
      </c>
      <c r="B650" s="1" t="s">
        <v>66</v>
      </c>
      <c r="C650" s="1">
        <v>194.5629</v>
      </c>
      <c r="D650" s="1" t="s">
        <v>17</v>
      </c>
      <c r="E650" s="1" t="s">
        <v>70</v>
      </c>
      <c r="F650" s="1">
        <v>65.68</v>
      </c>
      <c r="G650" s="1">
        <v>58.07</v>
      </c>
      <c r="H650" s="1">
        <v>4.1353387123E10</v>
      </c>
      <c r="I650" s="1">
        <v>4.2888320883E10</v>
      </c>
      <c r="J650" s="1" t="s">
        <v>1482</v>
      </c>
      <c r="K650" s="2">
        <v>45300.85625</v>
      </c>
      <c r="L650" s="1">
        <v>3.59</v>
      </c>
      <c r="M650" s="1">
        <v>698.48</v>
      </c>
      <c r="N650" s="1">
        <v>698.0</v>
      </c>
      <c r="O650" s="1">
        <v>57934.0</v>
      </c>
    </row>
    <row r="651">
      <c r="A651" s="1" t="s">
        <v>1483</v>
      </c>
      <c r="B651" s="1" t="s">
        <v>183</v>
      </c>
      <c r="C651" s="1">
        <v>296.3158</v>
      </c>
      <c r="D651" s="1" t="s">
        <v>21</v>
      </c>
      <c r="E651" s="1" t="s">
        <v>123</v>
      </c>
      <c r="F651" s="1">
        <v>43.62</v>
      </c>
      <c r="G651" s="1">
        <v>75.96</v>
      </c>
      <c r="H651" s="1">
        <v>2.6330187674E10</v>
      </c>
      <c r="I651" s="1">
        <v>3.120252426E10</v>
      </c>
      <c r="J651" s="1" t="s">
        <v>1484</v>
      </c>
      <c r="K651" s="1" t="s">
        <v>1485</v>
      </c>
      <c r="L651" s="1">
        <v>8.5</v>
      </c>
      <c r="M651" s="1">
        <v>2518.68</v>
      </c>
      <c r="N651" s="1">
        <v>2519.0</v>
      </c>
      <c r="O651" s="1">
        <v>209077.0</v>
      </c>
    </row>
    <row r="652">
      <c r="A652" s="1" t="s">
        <v>1486</v>
      </c>
      <c r="B652" s="1" t="s">
        <v>20</v>
      </c>
      <c r="C652" s="1">
        <v>664.4434</v>
      </c>
      <c r="D652" s="1" t="s">
        <v>17</v>
      </c>
      <c r="E652" s="1" t="s">
        <v>54</v>
      </c>
      <c r="F652" s="1">
        <v>84.34</v>
      </c>
      <c r="G652" s="1">
        <v>39.99</v>
      </c>
      <c r="H652" s="1">
        <v>1.9127660859E10</v>
      </c>
      <c r="I652" s="1">
        <v>2.7734835528E10</v>
      </c>
      <c r="J652" s="1" t="s">
        <v>1487</v>
      </c>
      <c r="K652" s="1" t="s">
        <v>1488</v>
      </c>
      <c r="L652" s="1">
        <v>2.46</v>
      </c>
      <c r="M652" s="1">
        <v>1634.53</v>
      </c>
      <c r="N652" s="1">
        <v>1635.0</v>
      </c>
      <c r="O652" s="1">
        <v>135705.0</v>
      </c>
    </row>
    <row r="653">
      <c r="A653" s="1" t="s">
        <v>1489</v>
      </c>
      <c r="B653" s="1" t="s">
        <v>20</v>
      </c>
      <c r="C653" s="1">
        <v>978.5674</v>
      </c>
      <c r="D653" s="1" t="s">
        <v>21</v>
      </c>
      <c r="E653" s="1" t="s">
        <v>27</v>
      </c>
      <c r="F653" s="1">
        <v>24.37</v>
      </c>
      <c r="G653" s="1">
        <v>98.76</v>
      </c>
      <c r="H653" s="1">
        <v>4.9432835031E10</v>
      </c>
      <c r="I653" s="1">
        <v>5.5790794157E10</v>
      </c>
      <c r="J653" s="1" t="s">
        <v>1490</v>
      </c>
      <c r="K653" s="1" t="s">
        <v>1491</v>
      </c>
      <c r="L653" s="1">
        <v>2.78</v>
      </c>
      <c r="M653" s="1">
        <v>2720.42</v>
      </c>
      <c r="N653" s="1">
        <v>2720.0</v>
      </c>
      <c r="O653" s="1">
        <v>225760.0</v>
      </c>
    </row>
    <row r="654">
      <c r="A654" s="1" t="s">
        <v>1492</v>
      </c>
      <c r="B654" s="1" t="s">
        <v>139</v>
      </c>
      <c r="C654" s="1">
        <v>99.95</v>
      </c>
      <c r="D654" s="1" t="s">
        <v>42</v>
      </c>
      <c r="E654" s="1" t="s">
        <v>58</v>
      </c>
      <c r="F654" s="1">
        <v>83.18</v>
      </c>
      <c r="G654" s="1">
        <v>59.63</v>
      </c>
      <c r="H654" s="1">
        <v>9.1222256614E10</v>
      </c>
      <c r="I654" s="1">
        <v>9.7205628513E10</v>
      </c>
      <c r="J654" s="1" t="s">
        <v>1493</v>
      </c>
      <c r="K654" s="1" t="s">
        <v>1494</v>
      </c>
      <c r="L654" s="1">
        <v>4.58</v>
      </c>
      <c r="M654" s="1">
        <v>457.77</v>
      </c>
      <c r="N654" s="1">
        <v>458.0</v>
      </c>
      <c r="O654" s="1">
        <v>38014.0</v>
      </c>
    </row>
    <row r="655">
      <c r="A655" s="1" t="s">
        <v>1495</v>
      </c>
      <c r="B655" s="1" t="s">
        <v>83</v>
      </c>
      <c r="C655" s="1">
        <v>553.1158</v>
      </c>
      <c r="D655" s="1" t="s">
        <v>17</v>
      </c>
      <c r="E655" s="1" t="s">
        <v>70</v>
      </c>
      <c r="F655" s="1">
        <v>44.1</v>
      </c>
      <c r="G655" s="1">
        <v>34.63</v>
      </c>
      <c r="H655" s="1">
        <v>5.5231442932E10</v>
      </c>
      <c r="I655" s="1">
        <v>6.1525169383E10</v>
      </c>
      <c r="J655" s="1" t="s">
        <v>1496</v>
      </c>
      <c r="K655" s="1" t="s">
        <v>1497</v>
      </c>
      <c r="L655" s="1">
        <v>3.18</v>
      </c>
      <c r="M655" s="1">
        <v>1758.91</v>
      </c>
      <c r="N655" s="1">
        <v>1759.0</v>
      </c>
      <c r="O655" s="1">
        <v>145997.0</v>
      </c>
    </row>
    <row r="656">
      <c r="A656" s="1" t="s">
        <v>1498</v>
      </c>
      <c r="B656" s="1" t="s">
        <v>99</v>
      </c>
      <c r="C656" s="1">
        <v>977.6097</v>
      </c>
      <c r="D656" s="1" t="s">
        <v>21</v>
      </c>
      <c r="E656" s="1" t="s">
        <v>27</v>
      </c>
      <c r="F656" s="1">
        <v>32.34</v>
      </c>
      <c r="G656" s="1">
        <v>42.97</v>
      </c>
      <c r="H656" s="1">
        <v>6.5787375716E10</v>
      </c>
      <c r="I656" s="1">
        <v>7.4610547787E10</v>
      </c>
      <c r="J656" s="1" t="s">
        <v>1499</v>
      </c>
      <c r="K656" s="1" t="s">
        <v>1500</v>
      </c>
      <c r="L656" s="1">
        <v>7.47</v>
      </c>
      <c r="M656" s="1">
        <v>7302.74</v>
      </c>
      <c r="N656" s="1">
        <v>7303.0</v>
      </c>
      <c r="O656" s="1">
        <v>606149.0</v>
      </c>
    </row>
    <row r="657">
      <c r="A657" s="1" t="s">
        <v>1501</v>
      </c>
      <c r="B657" s="1" t="s">
        <v>112</v>
      </c>
      <c r="C657" s="1">
        <v>92.6833</v>
      </c>
      <c r="D657" s="1" t="s">
        <v>42</v>
      </c>
      <c r="E657" s="1" t="s">
        <v>74</v>
      </c>
      <c r="F657" s="1">
        <v>42.96</v>
      </c>
      <c r="G657" s="1">
        <v>39.11</v>
      </c>
      <c r="H657" s="1">
        <v>9.3946177259E10</v>
      </c>
      <c r="I657" s="3">
        <v>1.03707E11</v>
      </c>
      <c r="J657" s="1" t="s">
        <v>1502</v>
      </c>
      <c r="K657" s="1" t="s">
        <v>1503</v>
      </c>
      <c r="L657" s="1">
        <v>5.16</v>
      </c>
      <c r="M657" s="1">
        <v>478.25</v>
      </c>
      <c r="N657" s="1">
        <v>478.0</v>
      </c>
      <c r="O657" s="1">
        <v>39674.0</v>
      </c>
    </row>
    <row r="658">
      <c r="A658" s="1" t="s">
        <v>1504</v>
      </c>
      <c r="B658" s="1" t="s">
        <v>139</v>
      </c>
      <c r="C658" s="1">
        <v>135.65</v>
      </c>
      <c r="D658" s="1" t="s">
        <v>42</v>
      </c>
      <c r="E658" s="1" t="s">
        <v>18</v>
      </c>
      <c r="F658" s="1">
        <v>44.81</v>
      </c>
      <c r="G658" s="1">
        <v>78.87</v>
      </c>
      <c r="H658" s="1">
        <v>4.8852615149E10</v>
      </c>
      <c r="I658" s="1">
        <v>5.1565864749E10</v>
      </c>
      <c r="J658" s="1" t="s">
        <v>1505</v>
      </c>
      <c r="K658" s="1" t="s">
        <v>1506</v>
      </c>
      <c r="L658" s="1">
        <v>7.99</v>
      </c>
      <c r="M658" s="1">
        <v>1083.84</v>
      </c>
      <c r="N658" s="1">
        <v>1084.0</v>
      </c>
      <c r="O658" s="1">
        <v>89972.0</v>
      </c>
    </row>
    <row r="659">
      <c r="A659" s="1" t="s">
        <v>1507</v>
      </c>
      <c r="B659" s="1" t="s">
        <v>41</v>
      </c>
      <c r="C659" s="1">
        <v>113.9667</v>
      </c>
      <c r="D659" s="1" t="s">
        <v>42</v>
      </c>
      <c r="E659" s="1" t="s">
        <v>18</v>
      </c>
      <c r="F659" s="1">
        <v>83.34</v>
      </c>
      <c r="G659" s="1">
        <v>51.43</v>
      </c>
      <c r="H659" s="1">
        <v>3.2128373004E10</v>
      </c>
      <c r="I659" s="1">
        <v>3.8191273413E10</v>
      </c>
      <c r="J659" s="1" t="s">
        <v>1508</v>
      </c>
      <c r="K659" s="1" t="s">
        <v>1509</v>
      </c>
      <c r="L659" s="1">
        <v>6.16</v>
      </c>
      <c r="M659" s="1">
        <v>702.03</v>
      </c>
      <c r="N659" s="1">
        <v>702.0</v>
      </c>
      <c r="O659" s="1">
        <v>58266.0</v>
      </c>
    </row>
    <row r="660">
      <c r="A660" s="1" t="s">
        <v>1510</v>
      </c>
      <c r="B660" s="1" t="s">
        <v>60</v>
      </c>
      <c r="C660" s="1">
        <v>125.2833</v>
      </c>
      <c r="D660" s="1" t="s">
        <v>42</v>
      </c>
      <c r="E660" s="1" t="s">
        <v>74</v>
      </c>
      <c r="F660" s="1">
        <v>28.85</v>
      </c>
      <c r="G660" s="1">
        <v>92.55</v>
      </c>
      <c r="H660" s="1">
        <v>2.0719596409E10</v>
      </c>
      <c r="I660" s="1">
        <v>2.9680737705E10</v>
      </c>
      <c r="J660" s="2">
        <v>45451.645833333336</v>
      </c>
      <c r="K660" s="2">
        <v>45604.86597222222</v>
      </c>
      <c r="L660" s="1">
        <v>2.45</v>
      </c>
      <c r="M660" s="1">
        <v>306.94</v>
      </c>
      <c r="N660" s="1">
        <v>307.0</v>
      </c>
      <c r="O660" s="1">
        <v>25481.0</v>
      </c>
    </row>
    <row r="661">
      <c r="A661" s="1" t="s">
        <v>1511</v>
      </c>
      <c r="B661" s="1" t="s">
        <v>128</v>
      </c>
      <c r="C661" s="1">
        <v>360.9702</v>
      </c>
      <c r="D661" s="1" t="s">
        <v>17</v>
      </c>
      <c r="E661" s="1" t="s">
        <v>18</v>
      </c>
      <c r="F661" s="1">
        <v>48.3</v>
      </c>
      <c r="G661" s="1">
        <v>90.99</v>
      </c>
      <c r="H661" s="1">
        <v>2.775461869E10</v>
      </c>
      <c r="I661" s="1">
        <v>3.5507304239E10</v>
      </c>
      <c r="J661" s="1" t="s">
        <v>1512</v>
      </c>
      <c r="K661" s="1" t="s">
        <v>1513</v>
      </c>
      <c r="L661" s="1">
        <v>5.16</v>
      </c>
      <c r="M661" s="1">
        <v>1862.61</v>
      </c>
      <c r="N661" s="1">
        <v>1863.0</v>
      </c>
      <c r="O661" s="1">
        <v>154629.0</v>
      </c>
    </row>
    <row r="662">
      <c r="A662" s="1" t="s">
        <v>1514</v>
      </c>
      <c r="B662" s="1" t="s">
        <v>31</v>
      </c>
      <c r="C662" s="1">
        <v>480.5511</v>
      </c>
      <c r="D662" s="1" t="s">
        <v>21</v>
      </c>
      <c r="E662" s="1" t="s">
        <v>54</v>
      </c>
      <c r="F662" s="1">
        <v>24.66</v>
      </c>
      <c r="G662" s="1">
        <v>3.98</v>
      </c>
      <c r="H662" s="1">
        <v>3.0514861798E10</v>
      </c>
      <c r="I662" s="1">
        <v>3.5153310829E10</v>
      </c>
      <c r="J662" s="1" t="s">
        <v>1515</v>
      </c>
      <c r="K662" s="1" t="s">
        <v>1516</v>
      </c>
      <c r="L662" s="1">
        <v>6.0</v>
      </c>
      <c r="M662" s="1">
        <v>2883.31</v>
      </c>
      <c r="N662" s="1">
        <v>2883.0</v>
      </c>
      <c r="O662" s="1">
        <v>239289.0</v>
      </c>
    </row>
    <row r="663">
      <c r="A663" s="1" t="s">
        <v>1517</v>
      </c>
      <c r="B663" s="1" t="s">
        <v>79</v>
      </c>
      <c r="C663" s="1">
        <v>220.6895</v>
      </c>
      <c r="D663" s="1" t="s">
        <v>21</v>
      </c>
      <c r="E663" s="1" t="s">
        <v>37</v>
      </c>
      <c r="F663" s="1">
        <v>60.44</v>
      </c>
      <c r="G663" s="1">
        <v>77.79</v>
      </c>
      <c r="H663" s="1">
        <v>6.2721425289E10</v>
      </c>
      <c r="I663" s="1">
        <v>6.7805433734E10</v>
      </c>
      <c r="J663" s="1" t="s">
        <v>1518</v>
      </c>
      <c r="K663" s="2">
        <v>45300.14861111111</v>
      </c>
      <c r="L663" s="1">
        <v>7.51</v>
      </c>
      <c r="M663" s="1">
        <v>1657.38</v>
      </c>
      <c r="N663" s="1">
        <v>1657.0</v>
      </c>
      <c r="O663" s="1">
        <v>137531.0</v>
      </c>
    </row>
    <row r="664">
      <c r="A664" s="1" t="s">
        <v>1519</v>
      </c>
      <c r="B664" s="1" t="s">
        <v>57</v>
      </c>
      <c r="C664" s="1">
        <v>499.9709</v>
      </c>
      <c r="D664" s="1" t="s">
        <v>17</v>
      </c>
      <c r="E664" s="1" t="s">
        <v>58</v>
      </c>
      <c r="F664" s="1">
        <v>45.68</v>
      </c>
      <c r="G664" s="1">
        <v>22.22</v>
      </c>
      <c r="H664" s="1">
        <v>1.3379480317E10</v>
      </c>
      <c r="I664" s="1">
        <v>1.7283883409E10</v>
      </c>
      <c r="J664" s="1" t="s">
        <v>1520</v>
      </c>
      <c r="K664" s="1" t="s">
        <v>1521</v>
      </c>
      <c r="L664" s="1">
        <v>1.87</v>
      </c>
      <c r="M664" s="1">
        <v>934.95</v>
      </c>
      <c r="N664" s="1">
        <v>935.0</v>
      </c>
      <c r="O664" s="1">
        <v>77605.0</v>
      </c>
    </row>
    <row r="665">
      <c r="A665" s="1" t="s">
        <v>1522</v>
      </c>
      <c r="B665" s="1" t="s">
        <v>66</v>
      </c>
      <c r="C665" s="1">
        <v>402.6602</v>
      </c>
      <c r="D665" s="1" t="s">
        <v>17</v>
      </c>
      <c r="E665" s="1" t="s">
        <v>18</v>
      </c>
      <c r="F665" s="1">
        <v>34.9</v>
      </c>
      <c r="G665" s="1">
        <v>34.24</v>
      </c>
      <c r="H665" s="1">
        <v>4.051874744E9</v>
      </c>
      <c r="I665" s="1">
        <v>6.569214624E9</v>
      </c>
      <c r="J665" s="2">
        <v>45330.20347222222</v>
      </c>
      <c r="K665" s="2">
        <v>45481.08263888889</v>
      </c>
      <c r="L665" s="1">
        <v>9.57</v>
      </c>
      <c r="M665" s="1">
        <v>3853.46</v>
      </c>
      <c r="N665" s="1">
        <v>3853.0</v>
      </c>
      <c r="O665" s="1">
        <v>319799.0</v>
      </c>
    </row>
    <row r="666">
      <c r="A666" s="1" t="s">
        <v>1523</v>
      </c>
      <c r="B666" s="1" t="s">
        <v>57</v>
      </c>
      <c r="C666" s="1">
        <v>230.4643</v>
      </c>
      <c r="D666" s="1" t="s">
        <v>21</v>
      </c>
      <c r="E666" s="1" t="s">
        <v>22</v>
      </c>
      <c r="F666" s="1">
        <v>52.02</v>
      </c>
      <c r="G666" s="1">
        <v>75.19</v>
      </c>
      <c r="H666" s="1">
        <v>4.9637105643E10</v>
      </c>
      <c r="I666" s="1">
        <v>5.1071043166E10</v>
      </c>
      <c r="J666" s="2">
        <v>45542.55</v>
      </c>
      <c r="K666" s="1" t="s">
        <v>1524</v>
      </c>
      <c r="L666" s="1">
        <v>6.85</v>
      </c>
      <c r="M666" s="1">
        <v>1578.68</v>
      </c>
      <c r="N666" s="1">
        <v>1579.0</v>
      </c>
      <c r="O666" s="1">
        <v>131057.0</v>
      </c>
    </row>
    <row r="667">
      <c r="A667" s="1" t="s">
        <v>1525</v>
      </c>
      <c r="B667" s="1" t="s">
        <v>66</v>
      </c>
      <c r="C667" s="1">
        <v>607.4707</v>
      </c>
      <c r="D667" s="1" t="s">
        <v>21</v>
      </c>
      <c r="E667" s="1" t="s">
        <v>27</v>
      </c>
      <c r="F667" s="1">
        <v>18.05</v>
      </c>
      <c r="G667" s="1">
        <v>9.28</v>
      </c>
      <c r="H667" s="1">
        <v>6.9669692064E10</v>
      </c>
      <c r="I667" s="1">
        <v>7.6918930113E10</v>
      </c>
      <c r="J667" s="2">
        <v>45359.11736111111</v>
      </c>
      <c r="K667" s="2">
        <v>45420.89375</v>
      </c>
      <c r="L667" s="1">
        <v>2.75</v>
      </c>
      <c r="M667" s="1">
        <v>1670.54</v>
      </c>
      <c r="N667" s="1">
        <v>1671.0</v>
      </c>
      <c r="O667" s="1">
        <v>138693.0</v>
      </c>
    </row>
    <row r="668">
      <c r="A668" s="1" t="s">
        <v>1526</v>
      </c>
      <c r="B668" s="1" t="s">
        <v>139</v>
      </c>
      <c r="C668" s="1">
        <v>46.6333</v>
      </c>
      <c r="D668" s="1" t="s">
        <v>42</v>
      </c>
      <c r="E668" s="1" t="s">
        <v>70</v>
      </c>
      <c r="F668" s="1">
        <v>50.19</v>
      </c>
      <c r="G668" s="1">
        <v>66.6</v>
      </c>
      <c r="H668" s="1">
        <v>1.1043575144E10</v>
      </c>
      <c r="I668" s="1">
        <v>1.3633323065E10</v>
      </c>
      <c r="J668" s="1" t="s">
        <v>1527</v>
      </c>
      <c r="K668" s="1" t="s">
        <v>1528</v>
      </c>
      <c r="L668" s="1">
        <v>6.58</v>
      </c>
      <c r="M668" s="1">
        <v>306.85</v>
      </c>
      <c r="N668" s="1">
        <v>307.0</v>
      </c>
      <c r="O668" s="1">
        <v>25481.0</v>
      </c>
    </row>
    <row r="669">
      <c r="A669" s="1" t="s">
        <v>1529</v>
      </c>
      <c r="B669" s="1" t="s">
        <v>41</v>
      </c>
      <c r="C669" s="1">
        <v>38.2167</v>
      </c>
      <c r="D669" s="1" t="s">
        <v>42</v>
      </c>
      <c r="E669" s="1" t="s">
        <v>18</v>
      </c>
      <c r="F669" s="1">
        <v>41.18</v>
      </c>
      <c r="G669" s="1">
        <v>81.14</v>
      </c>
      <c r="H669" s="1">
        <v>2.1583247587E10</v>
      </c>
      <c r="I669" s="1">
        <v>2.5875971843E10</v>
      </c>
      <c r="J669" s="2">
        <v>45329.05972222222</v>
      </c>
      <c r="K669" s="2">
        <v>45358.652083333334</v>
      </c>
      <c r="L669" s="1">
        <v>4.71</v>
      </c>
      <c r="M669" s="1">
        <v>180.0</v>
      </c>
      <c r="N669" s="1">
        <v>180.0</v>
      </c>
      <c r="O669" s="1">
        <v>14940.0</v>
      </c>
    </row>
    <row r="670">
      <c r="A670" s="1" t="s">
        <v>1530</v>
      </c>
      <c r="B670" s="1" t="s">
        <v>66</v>
      </c>
      <c r="C670" s="1">
        <v>506.0399</v>
      </c>
      <c r="D670" s="1" t="s">
        <v>17</v>
      </c>
      <c r="E670" s="1" t="s">
        <v>37</v>
      </c>
      <c r="F670" s="1">
        <v>2.5</v>
      </c>
      <c r="G670" s="1">
        <v>40.41</v>
      </c>
      <c r="H670" s="1">
        <v>6.4079190131E10</v>
      </c>
      <c r="I670" s="1">
        <v>6.6145003338E10</v>
      </c>
      <c r="J670" s="2">
        <v>45419.763194444444</v>
      </c>
      <c r="K670" s="2">
        <v>45603.1375</v>
      </c>
      <c r="L670" s="1">
        <v>4.0</v>
      </c>
      <c r="M670" s="1">
        <v>2024.16</v>
      </c>
      <c r="N670" s="1">
        <v>2024.0</v>
      </c>
      <c r="O670" s="1">
        <v>167992.0</v>
      </c>
    </row>
    <row r="671">
      <c r="A671" s="1" t="s">
        <v>1531</v>
      </c>
      <c r="B671" s="1" t="s">
        <v>128</v>
      </c>
      <c r="C671" s="1">
        <v>532.48</v>
      </c>
      <c r="D671" s="1" t="s">
        <v>17</v>
      </c>
      <c r="E671" s="1" t="s">
        <v>155</v>
      </c>
      <c r="F671" s="1">
        <v>16.08</v>
      </c>
      <c r="G671" s="1">
        <v>67.34</v>
      </c>
      <c r="H671" s="1">
        <v>1.5502968944E10</v>
      </c>
      <c r="I671" s="1">
        <v>2.3111173365E10</v>
      </c>
      <c r="J671" s="1" t="s">
        <v>1532</v>
      </c>
      <c r="K671" s="1" t="s">
        <v>1533</v>
      </c>
      <c r="L671" s="1">
        <v>2.98</v>
      </c>
      <c r="M671" s="1">
        <v>1586.79</v>
      </c>
      <c r="N671" s="1">
        <v>1587.0</v>
      </c>
      <c r="O671" s="1">
        <v>131721.0</v>
      </c>
    </row>
    <row r="672">
      <c r="A672" s="1" t="s">
        <v>1534</v>
      </c>
      <c r="B672" s="1" t="s">
        <v>273</v>
      </c>
      <c r="C672" s="1">
        <v>663.0369</v>
      </c>
      <c r="D672" s="1" t="s">
        <v>17</v>
      </c>
      <c r="E672" s="1" t="s">
        <v>105</v>
      </c>
      <c r="F672" s="1">
        <v>22.24</v>
      </c>
      <c r="G672" s="1">
        <v>40.82</v>
      </c>
      <c r="H672" s="1">
        <v>9.2734171158E10</v>
      </c>
      <c r="I672" s="1">
        <v>9.8804510325E10</v>
      </c>
      <c r="J672" s="1" t="s">
        <v>1535</v>
      </c>
      <c r="K672" s="1" t="s">
        <v>1536</v>
      </c>
      <c r="L672" s="1">
        <v>6.84</v>
      </c>
      <c r="M672" s="1">
        <v>4535.17</v>
      </c>
      <c r="N672" s="1">
        <v>4535.0</v>
      </c>
      <c r="O672" s="1">
        <v>376405.0</v>
      </c>
    </row>
    <row r="673">
      <c r="A673" s="1" t="s">
        <v>1537</v>
      </c>
      <c r="B673" s="1" t="s">
        <v>166</v>
      </c>
      <c r="C673" s="1">
        <v>137.6362</v>
      </c>
      <c r="D673" s="1" t="s">
        <v>21</v>
      </c>
      <c r="E673" s="1" t="s">
        <v>32</v>
      </c>
      <c r="F673" s="1">
        <v>55.5</v>
      </c>
      <c r="G673" s="1">
        <v>63.99</v>
      </c>
      <c r="H673" s="1">
        <v>8.7647637512E10</v>
      </c>
      <c r="I673" s="1">
        <v>9.0309475809E10</v>
      </c>
      <c r="J673" s="1" t="s">
        <v>1538</v>
      </c>
      <c r="K673" s="1" t="s">
        <v>1539</v>
      </c>
      <c r="L673" s="1">
        <v>9.58</v>
      </c>
      <c r="M673" s="1">
        <v>1318.55</v>
      </c>
      <c r="N673" s="1">
        <v>1319.0</v>
      </c>
      <c r="O673" s="1">
        <v>109477.0</v>
      </c>
    </row>
    <row r="674">
      <c r="A674" s="1" t="s">
        <v>1540</v>
      </c>
      <c r="B674" s="1" t="s">
        <v>20</v>
      </c>
      <c r="C674" s="1">
        <v>345.3023</v>
      </c>
      <c r="D674" s="1" t="s">
        <v>17</v>
      </c>
      <c r="E674" s="1" t="s">
        <v>54</v>
      </c>
      <c r="F674" s="1">
        <v>37.54</v>
      </c>
      <c r="G674" s="1">
        <v>1.19</v>
      </c>
      <c r="H674" s="1">
        <v>1.2677499842E10</v>
      </c>
      <c r="I674" s="1">
        <v>2.092645753E10</v>
      </c>
      <c r="J674" s="1" t="s">
        <v>1541</v>
      </c>
      <c r="K674" s="1" t="s">
        <v>1542</v>
      </c>
      <c r="L674" s="1">
        <v>4.51</v>
      </c>
      <c r="M674" s="1">
        <v>1557.31</v>
      </c>
      <c r="N674" s="1">
        <v>1557.0</v>
      </c>
      <c r="O674" s="1">
        <v>129231.0</v>
      </c>
    </row>
    <row r="675">
      <c r="A675" s="1" t="s">
        <v>1543</v>
      </c>
      <c r="B675" s="1" t="s">
        <v>169</v>
      </c>
      <c r="C675" s="1">
        <v>825.0126</v>
      </c>
      <c r="D675" s="1" t="s">
        <v>17</v>
      </c>
      <c r="E675" s="1" t="s">
        <v>74</v>
      </c>
      <c r="F675" s="1">
        <v>44.96</v>
      </c>
      <c r="G675" s="1">
        <v>44.96</v>
      </c>
      <c r="H675" s="1">
        <v>8.940332711E9</v>
      </c>
      <c r="I675" s="1">
        <v>1.697047848E10</v>
      </c>
      <c r="J675" s="1" t="s">
        <v>1544</v>
      </c>
      <c r="K675" s="1" t="s">
        <v>1545</v>
      </c>
      <c r="L675" s="1">
        <v>9.82</v>
      </c>
      <c r="M675" s="1">
        <v>8101.62</v>
      </c>
      <c r="N675" s="1">
        <v>8102.0</v>
      </c>
      <c r="O675" s="1">
        <v>672466.0</v>
      </c>
    </row>
    <row r="676">
      <c r="A676" s="1" t="s">
        <v>1546</v>
      </c>
      <c r="B676" s="1" t="s">
        <v>128</v>
      </c>
      <c r="C676" s="1">
        <v>515.2714</v>
      </c>
      <c r="D676" s="1" t="s">
        <v>17</v>
      </c>
      <c r="E676" s="1" t="s">
        <v>22</v>
      </c>
      <c r="F676" s="1">
        <v>59.39</v>
      </c>
      <c r="G676" s="1">
        <v>3.49</v>
      </c>
      <c r="H676" s="1">
        <v>9.0804234874E10</v>
      </c>
      <c r="I676" s="1">
        <v>9.5479814717E10</v>
      </c>
      <c r="J676" s="1" t="s">
        <v>1547</v>
      </c>
      <c r="K676" s="1" t="s">
        <v>1548</v>
      </c>
      <c r="L676" s="1">
        <v>1.4</v>
      </c>
      <c r="M676" s="1">
        <v>721.38</v>
      </c>
      <c r="N676" s="1">
        <v>721.0</v>
      </c>
      <c r="O676" s="1">
        <v>59843.0</v>
      </c>
    </row>
    <row r="677">
      <c r="A677" s="1" t="s">
        <v>1549</v>
      </c>
      <c r="B677" s="1" t="s">
        <v>122</v>
      </c>
      <c r="C677" s="1">
        <v>645.6266</v>
      </c>
      <c r="D677" s="1" t="s">
        <v>17</v>
      </c>
      <c r="E677" s="1" t="s">
        <v>70</v>
      </c>
      <c r="F677" s="1">
        <v>83.99</v>
      </c>
      <c r="G677" s="1">
        <v>46.32</v>
      </c>
      <c r="H677" s="1">
        <v>8.03520492E10</v>
      </c>
      <c r="I677" s="1">
        <v>8.1047715753E10</v>
      </c>
      <c r="J677" s="1" t="s">
        <v>1550</v>
      </c>
      <c r="K677" s="1" t="s">
        <v>1551</v>
      </c>
      <c r="L677" s="1">
        <v>1.47</v>
      </c>
      <c r="M677" s="1">
        <v>949.07</v>
      </c>
      <c r="N677" s="1">
        <v>949.0</v>
      </c>
      <c r="O677" s="1">
        <v>78767.0</v>
      </c>
    </row>
    <row r="678">
      <c r="A678" s="1" t="s">
        <v>1552</v>
      </c>
      <c r="B678" s="1" t="s">
        <v>169</v>
      </c>
      <c r="C678" s="1">
        <v>153.5011</v>
      </c>
      <c r="D678" s="1" t="s">
        <v>17</v>
      </c>
      <c r="E678" s="1" t="s">
        <v>74</v>
      </c>
      <c r="F678" s="1">
        <v>26.65</v>
      </c>
      <c r="G678" s="1">
        <v>8.78</v>
      </c>
      <c r="H678" s="1">
        <v>4.7511595763E10</v>
      </c>
      <c r="I678" s="1">
        <v>5.4074999234E10</v>
      </c>
      <c r="J678" s="2">
        <v>45358.23402777778</v>
      </c>
      <c r="K678" s="2">
        <v>45419.95</v>
      </c>
      <c r="L678" s="1">
        <v>3.08</v>
      </c>
      <c r="M678" s="1">
        <v>472.78</v>
      </c>
      <c r="N678" s="1">
        <v>473.0</v>
      </c>
      <c r="O678" s="1">
        <v>39259.0</v>
      </c>
    </row>
    <row r="679">
      <c r="A679" s="1" t="s">
        <v>1553</v>
      </c>
      <c r="B679" s="1" t="s">
        <v>46</v>
      </c>
      <c r="C679" s="1">
        <v>776.2761</v>
      </c>
      <c r="D679" s="1" t="s">
        <v>17</v>
      </c>
      <c r="E679" s="1" t="s">
        <v>27</v>
      </c>
      <c r="F679" s="1">
        <v>59.36</v>
      </c>
      <c r="G679" s="1">
        <v>91.81</v>
      </c>
      <c r="H679" s="1">
        <v>7.5364762439E10</v>
      </c>
      <c r="I679" s="1">
        <v>8.3411061952E10</v>
      </c>
      <c r="J679" s="2">
        <v>45633.31805555556</v>
      </c>
      <c r="K679" s="1" t="s">
        <v>1554</v>
      </c>
      <c r="L679" s="1">
        <v>2.36</v>
      </c>
      <c r="M679" s="1">
        <v>1832.01</v>
      </c>
      <c r="N679" s="1">
        <v>1832.0</v>
      </c>
      <c r="O679" s="1">
        <v>152056.0</v>
      </c>
    </row>
    <row r="680">
      <c r="A680" s="1" t="s">
        <v>1555</v>
      </c>
      <c r="B680" s="1" t="s">
        <v>79</v>
      </c>
      <c r="C680" s="1">
        <v>722.3221</v>
      </c>
      <c r="D680" s="1" t="s">
        <v>21</v>
      </c>
      <c r="E680" s="1" t="s">
        <v>37</v>
      </c>
      <c r="F680" s="1">
        <v>94.84</v>
      </c>
      <c r="G680" s="1">
        <v>65.76</v>
      </c>
      <c r="H680" s="1">
        <v>8.1479153306E10</v>
      </c>
      <c r="I680" s="1">
        <v>8.6249992427E10</v>
      </c>
      <c r="J680" s="1" t="s">
        <v>1556</v>
      </c>
      <c r="K680" s="1" t="s">
        <v>1557</v>
      </c>
      <c r="L680" s="1">
        <v>8.63</v>
      </c>
      <c r="M680" s="1">
        <v>6233.64</v>
      </c>
      <c r="N680" s="1">
        <v>6234.0</v>
      </c>
      <c r="O680" s="1">
        <v>517422.0</v>
      </c>
    </row>
    <row r="681">
      <c r="A681" s="1" t="s">
        <v>1558</v>
      </c>
      <c r="B681" s="1" t="s">
        <v>128</v>
      </c>
      <c r="C681" s="1">
        <v>335.0037</v>
      </c>
      <c r="D681" s="1" t="s">
        <v>17</v>
      </c>
      <c r="E681" s="1" t="s">
        <v>37</v>
      </c>
      <c r="F681" s="1">
        <v>69.96</v>
      </c>
      <c r="G681" s="1">
        <v>68.23</v>
      </c>
      <c r="H681" s="1">
        <v>4.3868885858E10</v>
      </c>
      <c r="I681" s="1">
        <v>5.2444783637E10</v>
      </c>
      <c r="J681" s="2">
        <v>45358.96319444444</v>
      </c>
      <c r="K681" s="2">
        <v>45450.05972222222</v>
      </c>
      <c r="L681" s="1">
        <v>6.48</v>
      </c>
      <c r="M681" s="1">
        <v>2170.82</v>
      </c>
      <c r="N681" s="1">
        <v>2171.0</v>
      </c>
      <c r="O681" s="1">
        <v>180193.0</v>
      </c>
    </row>
    <row r="682">
      <c r="A682" s="1" t="s">
        <v>1559</v>
      </c>
      <c r="B682" s="1" t="s">
        <v>147</v>
      </c>
      <c r="C682" s="1">
        <v>68.5667</v>
      </c>
      <c r="D682" s="1" t="s">
        <v>42</v>
      </c>
      <c r="E682" s="1" t="s">
        <v>18</v>
      </c>
      <c r="F682" s="1">
        <v>35.79</v>
      </c>
      <c r="G682" s="1">
        <v>67.52</v>
      </c>
      <c r="H682" s="1">
        <v>4.7407570072E10</v>
      </c>
      <c r="I682" s="1">
        <v>5.5754811438E10</v>
      </c>
      <c r="J682" s="1" t="s">
        <v>1560</v>
      </c>
      <c r="K682" s="1" t="s">
        <v>1561</v>
      </c>
      <c r="L682" s="1">
        <v>7.38</v>
      </c>
      <c r="M682" s="1">
        <v>506.02</v>
      </c>
      <c r="N682" s="1">
        <v>506.0</v>
      </c>
      <c r="O682" s="1">
        <v>41998.0</v>
      </c>
    </row>
    <row r="683">
      <c r="A683" s="1" t="s">
        <v>1562</v>
      </c>
      <c r="B683" s="1" t="s">
        <v>139</v>
      </c>
      <c r="C683" s="1">
        <v>143.45</v>
      </c>
      <c r="D683" s="1" t="s">
        <v>42</v>
      </c>
      <c r="E683" s="1" t="s">
        <v>18</v>
      </c>
      <c r="F683" s="1">
        <v>61.69</v>
      </c>
      <c r="G683" s="1">
        <v>53.28</v>
      </c>
      <c r="H683" s="1">
        <v>4.3537352308E10</v>
      </c>
      <c r="I683" s="1">
        <v>4.7365560959E10</v>
      </c>
      <c r="J683" s="1" t="s">
        <v>1563</v>
      </c>
      <c r="K683" s="1" t="s">
        <v>1564</v>
      </c>
      <c r="L683" s="1">
        <v>4.37</v>
      </c>
      <c r="M683" s="1">
        <v>626.88</v>
      </c>
      <c r="N683" s="1">
        <v>627.0</v>
      </c>
      <c r="O683" s="1">
        <v>52041.0</v>
      </c>
    </row>
    <row r="684">
      <c r="A684" s="1" t="s">
        <v>1565</v>
      </c>
      <c r="B684" s="1" t="s">
        <v>57</v>
      </c>
      <c r="C684" s="1">
        <v>64.4925</v>
      </c>
      <c r="D684" s="1" t="s">
        <v>21</v>
      </c>
      <c r="E684" s="1" t="s">
        <v>105</v>
      </c>
      <c r="F684" s="1">
        <v>60.79</v>
      </c>
      <c r="G684" s="1">
        <v>7.4</v>
      </c>
      <c r="H684" s="1">
        <v>9.3989384817E10</v>
      </c>
      <c r="I684" s="1">
        <v>9.4119404545E10</v>
      </c>
      <c r="J684" s="1" t="s">
        <v>1566</v>
      </c>
      <c r="K684" s="1" t="s">
        <v>1567</v>
      </c>
      <c r="L684" s="1">
        <v>4.35</v>
      </c>
      <c r="M684" s="1">
        <v>280.54</v>
      </c>
      <c r="N684" s="1">
        <v>281.0</v>
      </c>
      <c r="O684" s="1">
        <v>23323.0</v>
      </c>
    </row>
    <row r="685">
      <c r="A685" s="1" t="s">
        <v>1568</v>
      </c>
      <c r="B685" s="1" t="s">
        <v>46</v>
      </c>
      <c r="C685" s="1">
        <v>488.8016</v>
      </c>
      <c r="D685" s="1" t="s">
        <v>21</v>
      </c>
      <c r="E685" s="1" t="s">
        <v>27</v>
      </c>
      <c r="F685" s="1">
        <v>93.75</v>
      </c>
      <c r="G685" s="1">
        <v>81.69</v>
      </c>
      <c r="H685" s="1">
        <v>4.8017673402E10</v>
      </c>
      <c r="I685" s="1">
        <v>5.3416146845E10</v>
      </c>
      <c r="J685" s="1" t="s">
        <v>1569</v>
      </c>
      <c r="K685" s="1" t="s">
        <v>1570</v>
      </c>
      <c r="L685" s="1">
        <v>7.74</v>
      </c>
      <c r="M685" s="1">
        <v>3783.32</v>
      </c>
      <c r="N685" s="1">
        <v>3783.0</v>
      </c>
      <c r="O685" s="1">
        <v>313989.0</v>
      </c>
    </row>
    <row r="686">
      <c r="A686" s="1" t="s">
        <v>1571</v>
      </c>
      <c r="B686" s="1" t="s">
        <v>26</v>
      </c>
      <c r="C686" s="1">
        <v>165.4426</v>
      </c>
      <c r="D686" s="1" t="s">
        <v>17</v>
      </c>
      <c r="E686" s="1" t="s">
        <v>70</v>
      </c>
      <c r="F686" s="1">
        <v>10.47</v>
      </c>
      <c r="G686" s="1">
        <v>51.64</v>
      </c>
      <c r="H686" s="1">
        <v>4.16603926E10</v>
      </c>
      <c r="I686" s="1">
        <v>4.9886997678E10</v>
      </c>
      <c r="J686" s="1" t="s">
        <v>1572</v>
      </c>
      <c r="K686" s="1" t="s">
        <v>1573</v>
      </c>
      <c r="L686" s="1">
        <v>9.18</v>
      </c>
      <c r="M686" s="1">
        <v>1518.76</v>
      </c>
      <c r="N686" s="1">
        <v>1519.0</v>
      </c>
      <c r="O686" s="1">
        <v>126077.0</v>
      </c>
    </row>
    <row r="687">
      <c r="A687" s="1" t="s">
        <v>1574</v>
      </c>
      <c r="B687" s="1" t="s">
        <v>62</v>
      </c>
      <c r="C687" s="1">
        <v>55.9333</v>
      </c>
      <c r="D687" s="1" t="s">
        <v>42</v>
      </c>
      <c r="E687" s="1" t="s">
        <v>70</v>
      </c>
      <c r="F687" s="1">
        <v>1.43</v>
      </c>
      <c r="G687" s="1">
        <v>54.69</v>
      </c>
      <c r="H687" s="1">
        <v>5.6540203796E10</v>
      </c>
      <c r="I687" s="1">
        <v>6.5733481253E10</v>
      </c>
      <c r="J687" s="1" t="s">
        <v>1575</v>
      </c>
      <c r="K687" s="1" t="s">
        <v>1576</v>
      </c>
      <c r="L687" s="1">
        <v>8.44</v>
      </c>
      <c r="M687" s="1">
        <v>472.08</v>
      </c>
      <c r="N687" s="1">
        <v>472.0</v>
      </c>
      <c r="O687" s="1">
        <v>39176.0</v>
      </c>
    </row>
    <row r="688">
      <c r="A688" s="1" t="s">
        <v>1577</v>
      </c>
      <c r="B688" s="1" t="s">
        <v>41</v>
      </c>
      <c r="C688" s="1">
        <v>70.2667</v>
      </c>
      <c r="D688" s="1" t="s">
        <v>42</v>
      </c>
      <c r="E688" s="1" t="s">
        <v>54</v>
      </c>
      <c r="F688" s="1">
        <v>81.57</v>
      </c>
      <c r="G688" s="1">
        <v>85.12</v>
      </c>
      <c r="H688" s="1">
        <v>8.8789753885E10</v>
      </c>
      <c r="I688" s="1">
        <v>9.6741542761E10</v>
      </c>
      <c r="J688" s="2">
        <v>45358.96944444445</v>
      </c>
      <c r="K688" s="2">
        <v>45450.89722222222</v>
      </c>
      <c r="L688" s="1">
        <v>4.31</v>
      </c>
      <c r="M688" s="1">
        <v>302.85</v>
      </c>
      <c r="N688" s="1">
        <v>303.0</v>
      </c>
      <c r="O688" s="1">
        <v>25149.0</v>
      </c>
    </row>
    <row r="689">
      <c r="A689" s="1" t="s">
        <v>1578</v>
      </c>
      <c r="B689" s="1" t="s">
        <v>46</v>
      </c>
      <c r="C689" s="1">
        <v>707.5356</v>
      </c>
      <c r="D689" s="1" t="s">
        <v>17</v>
      </c>
      <c r="E689" s="1" t="s">
        <v>18</v>
      </c>
      <c r="F689" s="1">
        <v>42.57</v>
      </c>
      <c r="G689" s="1">
        <v>57.09</v>
      </c>
      <c r="H689" s="1">
        <v>3.2886761948E10</v>
      </c>
      <c r="I689" s="1">
        <v>3.5853807212E10</v>
      </c>
      <c r="J689" s="1" t="s">
        <v>1579</v>
      </c>
      <c r="K689" s="1" t="s">
        <v>1580</v>
      </c>
      <c r="L689" s="1">
        <v>1.38</v>
      </c>
      <c r="M689" s="1">
        <v>976.4</v>
      </c>
      <c r="N689" s="1">
        <v>976.0</v>
      </c>
      <c r="O689" s="1">
        <v>81008.0</v>
      </c>
    </row>
    <row r="690">
      <c r="A690" s="1" t="s">
        <v>1581</v>
      </c>
      <c r="B690" s="1" t="s">
        <v>83</v>
      </c>
      <c r="C690" s="1">
        <v>837.1211</v>
      </c>
      <c r="D690" s="1" t="s">
        <v>21</v>
      </c>
      <c r="E690" s="1" t="s">
        <v>22</v>
      </c>
      <c r="F690" s="1">
        <v>58.63</v>
      </c>
      <c r="G690" s="1">
        <v>4.35</v>
      </c>
      <c r="H690" s="1">
        <v>4.2359675619E10</v>
      </c>
      <c r="I690" s="1">
        <v>4.8886874049E10</v>
      </c>
      <c r="J690" s="1" t="s">
        <v>1582</v>
      </c>
      <c r="K690" s="2">
        <v>45359.504166666666</v>
      </c>
      <c r="L690" s="1">
        <v>9.61</v>
      </c>
      <c r="M690" s="1">
        <v>8044.73</v>
      </c>
      <c r="N690" s="1">
        <v>8045.0</v>
      </c>
      <c r="O690" s="1">
        <v>667735.0</v>
      </c>
    </row>
    <row r="691">
      <c r="A691" s="1" t="s">
        <v>1583</v>
      </c>
      <c r="B691" s="1" t="s">
        <v>147</v>
      </c>
      <c r="C691" s="1">
        <v>100.2167</v>
      </c>
      <c r="D691" s="1" t="s">
        <v>42</v>
      </c>
      <c r="E691" s="1" t="s">
        <v>27</v>
      </c>
      <c r="F691" s="1">
        <v>51.68</v>
      </c>
      <c r="G691" s="1">
        <v>40.39</v>
      </c>
      <c r="H691" s="1">
        <v>8.7228922486E10</v>
      </c>
      <c r="I691" s="1">
        <v>8.8742671577E10</v>
      </c>
      <c r="J691" s="2">
        <v>45358.125</v>
      </c>
      <c r="K691" s="2">
        <v>45480.30069444444</v>
      </c>
      <c r="L691" s="1">
        <v>7.25</v>
      </c>
      <c r="M691" s="1">
        <v>726.57</v>
      </c>
      <c r="N691" s="1">
        <v>727.0</v>
      </c>
      <c r="O691" s="1">
        <v>60341.0</v>
      </c>
    </row>
    <row r="692">
      <c r="A692" s="1" t="s">
        <v>1584</v>
      </c>
      <c r="B692" s="1" t="s">
        <v>139</v>
      </c>
      <c r="C692" s="1">
        <v>133.9833</v>
      </c>
      <c r="D692" s="1" t="s">
        <v>42</v>
      </c>
      <c r="E692" s="1" t="s">
        <v>54</v>
      </c>
      <c r="F692" s="1">
        <v>48.01</v>
      </c>
      <c r="G692" s="1">
        <v>77.78</v>
      </c>
      <c r="H692" s="1">
        <v>8.6808016202E10</v>
      </c>
      <c r="I692" s="1">
        <v>9.6487241274E10</v>
      </c>
      <c r="J692" s="2">
        <v>45543.16805555556</v>
      </c>
      <c r="K692" s="1" t="s">
        <v>1585</v>
      </c>
      <c r="L692" s="1">
        <v>4.8</v>
      </c>
      <c r="M692" s="1">
        <v>643.12</v>
      </c>
      <c r="N692" s="1">
        <v>643.0</v>
      </c>
      <c r="O692" s="1">
        <v>53369.0</v>
      </c>
    </row>
    <row r="693">
      <c r="A693" s="1" t="s">
        <v>1586</v>
      </c>
      <c r="B693" s="1" t="s">
        <v>60</v>
      </c>
      <c r="C693" s="1">
        <v>90.0333</v>
      </c>
      <c r="D693" s="1" t="s">
        <v>42</v>
      </c>
      <c r="E693" s="1" t="s">
        <v>32</v>
      </c>
      <c r="F693" s="1">
        <v>27.91</v>
      </c>
      <c r="G693" s="1">
        <v>20.82</v>
      </c>
      <c r="H693" s="1">
        <v>3.5168275881E10</v>
      </c>
      <c r="I693" s="1">
        <v>3.5549490094E10</v>
      </c>
      <c r="J693" s="2">
        <v>45390.697222222225</v>
      </c>
      <c r="K693" s="2">
        <v>45512.44861111111</v>
      </c>
      <c r="L693" s="1">
        <v>2.56</v>
      </c>
      <c r="M693" s="1">
        <v>230.49</v>
      </c>
      <c r="N693" s="1">
        <v>230.0</v>
      </c>
      <c r="O693" s="1">
        <v>19090.0</v>
      </c>
    </row>
    <row r="694">
      <c r="A694" s="1" t="s">
        <v>1587</v>
      </c>
      <c r="B694" s="1" t="s">
        <v>350</v>
      </c>
      <c r="C694" s="1">
        <v>967.6514</v>
      </c>
      <c r="D694" s="1" t="s">
        <v>17</v>
      </c>
      <c r="E694" s="1" t="s">
        <v>74</v>
      </c>
      <c r="F694" s="1">
        <v>71.99</v>
      </c>
      <c r="G694" s="1">
        <v>90.71</v>
      </c>
      <c r="H694" s="1">
        <v>8.8850957657E10</v>
      </c>
      <c r="I694" s="1">
        <v>9.7055839525E10</v>
      </c>
      <c r="J694" s="1" t="s">
        <v>1588</v>
      </c>
      <c r="K694" s="2">
        <v>45359.3375</v>
      </c>
      <c r="L694" s="1">
        <v>5.38</v>
      </c>
      <c r="M694" s="1">
        <v>5205.96</v>
      </c>
      <c r="N694" s="1">
        <v>5206.0</v>
      </c>
      <c r="O694" s="1">
        <v>432098.0</v>
      </c>
    </row>
    <row r="695">
      <c r="A695" s="1" t="s">
        <v>1589</v>
      </c>
      <c r="B695" s="1" t="s">
        <v>46</v>
      </c>
      <c r="C695" s="1">
        <v>258.9203</v>
      </c>
      <c r="D695" s="1" t="s">
        <v>21</v>
      </c>
      <c r="E695" s="1" t="s">
        <v>70</v>
      </c>
      <c r="F695" s="1">
        <v>26.6</v>
      </c>
      <c r="G695" s="1">
        <v>9.73</v>
      </c>
      <c r="H695" s="1">
        <v>6.2749645572E10</v>
      </c>
      <c r="I695" s="1">
        <v>6.9290341947E10</v>
      </c>
      <c r="J695" s="2">
        <v>45481.038194444445</v>
      </c>
      <c r="K695" s="2">
        <v>45543.65416666667</v>
      </c>
      <c r="L695" s="1">
        <v>7.84</v>
      </c>
      <c r="M695" s="1">
        <v>2029.94</v>
      </c>
      <c r="N695" s="1">
        <v>2030.0</v>
      </c>
      <c r="O695" s="1">
        <v>168490.0</v>
      </c>
    </row>
    <row r="696">
      <c r="A696" s="1" t="s">
        <v>1590</v>
      </c>
      <c r="B696" s="1" t="s">
        <v>53</v>
      </c>
      <c r="C696" s="1">
        <v>486.0461</v>
      </c>
      <c r="D696" s="1" t="s">
        <v>17</v>
      </c>
      <c r="E696" s="1" t="s">
        <v>155</v>
      </c>
      <c r="F696" s="1">
        <v>53.95</v>
      </c>
      <c r="G696" s="1">
        <v>27.86</v>
      </c>
      <c r="H696" s="1">
        <v>1.5964690505E10</v>
      </c>
      <c r="I696" s="1">
        <v>2.4126435025E10</v>
      </c>
      <c r="J696" s="1" t="s">
        <v>1591</v>
      </c>
      <c r="K696" s="1" t="s">
        <v>1592</v>
      </c>
      <c r="L696" s="1">
        <v>9.81</v>
      </c>
      <c r="M696" s="1">
        <v>4768.11</v>
      </c>
      <c r="N696" s="1">
        <v>4768.0</v>
      </c>
      <c r="O696" s="1">
        <v>395744.0</v>
      </c>
    </row>
    <row r="697">
      <c r="A697" s="1" t="s">
        <v>1593</v>
      </c>
      <c r="B697" s="1" t="s">
        <v>62</v>
      </c>
      <c r="C697" s="1">
        <v>101.0333</v>
      </c>
      <c r="D697" s="1" t="s">
        <v>42</v>
      </c>
      <c r="E697" s="1" t="s">
        <v>54</v>
      </c>
      <c r="F697" s="1">
        <v>65.04</v>
      </c>
      <c r="G697" s="1">
        <v>3.91</v>
      </c>
      <c r="H697" s="1">
        <v>6.6129027399E10</v>
      </c>
      <c r="I697" s="1">
        <v>7.0445684715E10</v>
      </c>
      <c r="J697" s="1" t="s">
        <v>1594</v>
      </c>
      <c r="K697" s="1" t="s">
        <v>1595</v>
      </c>
      <c r="L697" s="1">
        <v>8.86</v>
      </c>
      <c r="M697" s="1">
        <v>895.16</v>
      </c>
      <c r="N697" s="1">
        <v>895.0</v>
      </c>
      <c r="O697" s="1">
        <v>74285.0</v>
      </c>
    </row>
    <row r="698">
      <c r="A698" s="1" t="s">
        <v>1596</v>
      </c>
      <c r="B698" s="1" t="s">
        <v>122</v>
      </c>
      <c r="C698" s="1">
        <v>739.8663</v>
      </c>
      <c r="D698" s="1" t="s">
        <v>17</v>
      </c>
      <c r="E698" s="1" t="s">
        <v>70</v>
      </c>
      <c r="F698" s="1">
        <v>96.28</v>
      </c>
      <c r="G698" s="1">
        <v>35.39</v>
      </c>
      <c r="H698" s="1">
        <v>7.5172925598E10</v>
      </c>
      <c r="I698" s="1">
        <v>8.0420687118E10</v>
      </c>
      <c r="J698" s="2">
        <v>45511.67847222222</v>
      </c>
      <c r="K698" s="2">
        <v>45633.79236111111</v>
      </c>
      <c r="L698" s="1">
        <v>4.92</v>
      </c>
      <c r="M698" s="1">
        <v>3640.14</v>
      </c>
      <c r="N698" s="1">
        <v>3640.0</v>
      </c>
      <c r="O698" s="1">
        <v>302120.0</v>
      </c>
    </row>
    <row r="699">
      <c r="A699" s="1" t="s">
        <v>1597</v>
      </c>
      <c r="B699" s="1" t="s">
        <v>60</v>
      </c>
      <c r="C699" s="1">
        <v>67.9333</v>
      </c>
      <c r="D699" s="1" t="s">
        <v>42</v>
      </c>
      <c r="E699" s="1" t="s">
        <v>105</v>
      </c>
      <c r="F699" s="1">
        <v>36.04</v>
      </c>
      <c r="G699" s="1">
        <v>12.92</v>
      </c>
      <c r="H699" s="1">
        <v>8.7765223697E10</v>
      </c>
      <c r="I699" s="1">
        <v>9.4004249669E10</v>
      </c>
      <c r="J699" s="2">
        <v>45358.78958333333</v>
      </c>
      <c r="K699" s="2">
        <v>45450.62013888889</v>
      </c>
      <c r="L699" s="1">
        <v>8.64</v>
      </c>
      <c r="M699" s="1">
        <v>586.94</v>
      </c>
      <c r="N699" s="1">
        <v>587.0</v>
      </c>
      <c r="O699" s="1">
        <v>48721.0</v>
      </c>
    </row>
    <row r="700">
      <c r="A700" s="1" t="s">
        <v>1598</v>
      </c>
      <c r="B700" s="1" t="s">
        <v>16</v>
      </c>
      <c r="C700" s="1">
        <v>14.7407</v>
      </c>
      <c r="D700" s="1" t="s">
        <v>17</v>
      </c>
      <c r="E700" s="1" t="s">
        <v>123</v>
      </c>
      <c r="F700" s="1">
        <v>27.66</v>
      </c>
      <c r="G700" s="1">
        <v>9.87</v>
      </c>
      <c r="H700" s="1">
        <v>9.9045026637E10</v>
      </c>
      <c r="I700" s="3">
        <v>1.02258E11</v>
      </c>
      <c r="J700" s="2">
        <v>45512.07638888889</v>
      </c>
      <c r="K700" s="2">
        <v>45543.55763888889</v>
      </c>
      <c r="L700" s="1">
        <v>6.47</v>
      </c>
      <c r="M700" s="1">
        <v>95.37</v>
      </c>
      <c r="N700" s="1">
        <v>95.0</v>
      </c>
      <c r="O700" s="1">
        <v>7885.0</v>
      </c>
    </row>
    <row r="701">
      <c r="A701" s="1" t="s">
        <v>1599</v>
      </c>
      <c r="B701" s="1" t="s">
        <v>31</v>
      </c>
      <c r="C701" s="1">
        <v>678.9377</v>
      </c>
      <c r="D701" s="1" t="s">
        <v>17</v>
      </c>
      <c r="E701" s="1" t="s">
        <v>155</v>
      </c>
      <c r="F701" s="1">
        <v>49.9</v>
      </c>
      <c r="G701" s="1">
        <v>77.79</v>
      </c>
      <c r="H701" s="1">
        <v>3.6243105504E10</v>
      </c>
      <c r="I701" s="1">
        <v>3.7904911914E10</v>
      </c>
      <c r="J701" s="1" t="s">
        <v>1600</v>
      </c>
      <c r="K701" s="2">
        <v>45390.92847222222</v>
      </c>
      <c r="L701" s="1">
        <v>7.93</v>
      </c>
      <c r="M701" s="1">
        <v>5383.98</v>
      </c>
      <c r="N701" s="1">
        <v>5384.0</v>
      </c>
      <c r="O701" s="1">
        <v>446872.0</v>
      </c>
    </row>
    <row r="702">
      <c r="A702" s="1" t="s">
        <v>1601</v>
      </c>
      <c r="B702" s="1" t="s">
        <v>31</v>
      </c>
      <c r="C702" s="1">
        <v>16.014</v>
      </c>
      <c r="D702" s="1" t="s">
        <v>17</v>
      </c>
      <c r="E702" s="1" t="s">
        <v>27</v>
      </c>
      <c r="F702" s="1">
        <v>86.77</v>
      </c>
      <c r="G702" s="1">
        <v>30.59</v>
      </c>
      <c r="H702" s="1">
        <v>7.5582087702E10</v>
      </c>
      <c r="I702" s="1">
        <v>8.3456067239E10</v>
      </c>
      <c r="J702" s="1" t="s">
        <v>1602</v>
      </c>
      <c r="K702" s="1" t="s">
        <v>1603</v>
      </c>
      <c r="L702" s="1">
        <v>1.41</v>
      </c>
      <c r="M702" s="1">
        <v>22.58</v>
      </c>
      <c r="N702" s="1">
        <v>23.0</v>
      </c>
      <c r="O702" s="1">
        <v>1909.0</v>
      </c>
    </row>
    <row r="703">
      <c r="A703" s="1" t="s">
        <v>1604</v>
      </c>
      <c r="B703" s="1" t="s">
        <v>79</v>
      </c>
      <c r="C703" s="1">
        <v>640.3689</v>
      </c>
      <c r="D703" s="1" t="s">
        <v>17</v>
      </c>
      <c r="E703" s="1" t="s">
        <v>54</v>
      </c>
      <c r="F703" s="1">
        <v>33.89</v>
      </c>
      <c r="G703" s="1">
        <v>46.71</v>
      </c>
      <c r="H703" s="1">
        <v>8.9864872774E10</v>
      </c>
      <c r="I703" s="1">
        <v>9.1252171321E10</v>
      </c>
      <c r="J703" s="1" t="s">
        <v>1605</v>
      </c>
      <c r="K703" s="1" t="s">
        <v>1606</v>
      </c>
      <c r="L703" s="1">
        <v>3.46</v>
      </c>
      <c r="M703" s="1">
        <v>2215.68</v>
      </c>
      <c r="N703" s="1">
        <v>2216.0</v>
      </c>
      <c r="O703" s="1">
        <v>183928.0</v>
      </c>
    </row>
    <row r="704">
      <c r="A704" s="1" t="s">
        <v>1607</v>
      </c>
      <c r="B704" s="1" t="s">
        <v>147</v>
      </c>
      <c r="C704" s="1">
        <v>67.6167</v>
      </c>
      <c r="D704" s="1" t="s">
        <v>42</v>
      </c>
      <c r="E704" s="1" t="s">
        <v>70</v>
      </c>
      <c r="F704" s="1">
        <v>73.97</v>
      </c>
      <c r="G704" s="1">
        <v>13.99</v>
      </c>
      <c r="H704" s="1">
        <v>6.9401060148E10</v>
      </c>
      <c r="I704" s="1">
        <v>7.8819950569E10</v>
      </c>
      <c r="J704" s="1" t="s">
        <v>1608</v>
      </c>
      <c r="K704" s="1" t="s">
        <v>1609</v>
      </c>
      <c r="L704" s="1">
        <v>2.24</v>
      </c>
      <c r="M704" s="1">
        <v>151.46</v>
      </c>
      <c r="N704" s="1">
        <v>151.0</v>
      </c>
      <c r="O704" s="1">
        <v>12533.0</v>
      </c>
    </row>
    <row r="705">
      <c r="A705" s="1" t="s">
        <v>1610</v>
      </c>
      <c r="B705" s="1" t="s">
        <v>20</v>
      </c>
      <c r="C705" s="1">
        <v>537.9744</v>
      </c>
      <c r="D705" s="1" t="s">
        <v>17</v>
      </c>
      <c r="E705" s="1" t="s">
        <v>32</v>
      </c>
      <c r="F705" s="1">
        <v>80.8</v>
      </c>
      <c r="G705" s="1">
        <v>20.89</v>
      </c>
      <c r="H705" s="1">
        <v>3.993477298E9</v>
      </c>
      <c r="I705" s="1">
        <v>1.1595695364E10</v>
      </c>
      <c r="J705" s="2">
        <v>45603.87152777778</v>
      </c>
      <c r="K705" s="1" t="s">
        <v>1611</v>
      </c>
      <c r="L705" s="1">
        <v>3.68</v>
      </c>
      <c r="M705" s="1">
        <v>1979.75</v>
      </c>
      <c r="N705" s="1">
        <v>1980.0</v>
      </c>
      <c r="O705" s="1">
        <v>164340.0</v>
      </c>
    </row>
    <row r="706">
      <c r="A706" s="1" t="s">
        <v>1612</v>
      </c>
      <c r="B706" s="1" t="s">
        <v>350</v>
      </c>
      <c r="C706" s="1">
        <v>429.39</v>
      </c>
      <c r="D706" s="1" t="s">
        <v>21</v>
      </c>
      <c r="E706" s="1" t="s">
        <v>27</v>
      </c>
      <c r="F706" s="1">
        <v>88.89</v>
      </c>
      <c r="G706" s="1">
        <v>58.96</v>
      </c>
      <c r="H706" s="1">
        <v>4.9294000807E10</v>
      </c>
      <c r="I706" s="1">
        <v>5.1881763823E10</v>
      </c>
      <c r="J706" s="1" t="s">
        <v>1613</v>
      </c>
      <c r="K706" s="1" t="s">
        <v>1614</v>
      </c>
      <c r="L706" s="1">
        <v>8.76</v>
      </c>
      <c r="M706" s="1">
        <v>3761.46</v>
      </c>
      <c r="N706" s="1">
        <v>3761.0</v>
      </c>
      <c r="O706" s="1">
        <v>312163.0</v>
      </c>
    </row>
    <row r="707">
      <c r="A707" s="1" t="s">
        <v>1615</v>
      </c>
      <c r="B707" s="1" t="s">
        <v>147</v>
      </c>
      <c r="C707" s="1">
        <v>113.7167</v>
      </c>
      <c r="D707" s="1" t="s">
        <v>42</v>
      </c>
      <c r="E707" s="1" t="s">
        <v>58</v>
      </c>
      <c r="F707" s="1">
        <v>22.19</v>
      </c>
      <c r="G707" s="1">
        <v>50.81</v>
      </c>
      <c r="H707" s="1">
        <v>7.2922188358E10</v>
      </c>
      <c r="I707" s="1">
        <v>7.3740836405E10</v>
      </c>
      <c r="J707" s="2">
        <v>45359.24166666667</v>
      </c>
      <c r="K707" s="2">
        <v>45481.97986111111</v>
      </c>
      <c r="L707" s="1">
        <v>8.26</v>
      </c>
      <c r="M707" s="1">
        <v>939.3</v>
      </c>
      <c r="N707" s="1">
        <v>939.0</v>
      </c>
      <c r="O707" s="1">
        <v>77937.0</v>
      </c>
    </row>
    <row r="708">
      <c r="A708" s="1" t="s">
        <v>1616</v>
      </c>
      <c r="B708" s="1" t="s">
        <v>273</v>
      </c>
      <c r="C708" s="1">
        <v>68.3914</v>
      </c>
      <c r="D708" s="1" t="s">
        <v>17</v>
      </c>
      <c r="E708" s="1" t="s">
        <v>37</v>
      </c>
      <c r="F708" s="1">
        <v>56.02</v>
      </c>
      <c r="G708" s="1">
        <v>62.7</v>
      </c>
      <c r="H708" s="1">
        <v>1.182748459E9</v>
      </c>
      <c r="I708" s="1">
        <v>5.830753913E9</v>
      </c>
      <c r="J708" s="1" t="s">
        <v>1617</v>
      </c>
      <c r="K708" s="1" t="s">
        <v>1618</v>
      </c>
      <c r="L708" s="1">
        <v>5.23</v>
      </c>
      <c r="M708" s="1">
        <v>357.69</v>
      </c>
      <c r="N708" s="1">
        <v>358.0</v>
      </c>
      <c r="O708" s="1">
        <v>29714.0</v>
      </c>
    </row>
    <row r="709">
      <c r="A709" s="1" t="s">
        <v>1619</v>
      </c>
      <c r="B709" s="1" t="s">
        <v>350</v>
      </c>
      <c r="C709" s="1">
        <v>863.095</v>
      </c>
      <c r="D709" s="1" t="s">
        <v>17</v>
      </c>
      <c r="E709" s="1" t="s">
        <v>37</v>
      </c>
      <c r="F709" s="1">
        <v>44.24</v>
      </c>
      <c r="G709" s="1">
        <v>88.33</v>
      </c>
      <c r="H709" s="1">
        <v>8.3139711355E10</v>
      </c>
      <c r="I709" s="1">
        <v>9.0368691633E10</v>
      </c>
      <c r="J709" s="1" t="s">
        <v>1620</v>
      </c>
      <c r="K709" s="1" t="s">
        <v>1621</v>
      </c>
      <c r="L709" s="1">
        <v>6.45</v>
      </c>
      <c r="M709" s="1">
        <v>5566.96</v>
      </c>
      <c r="N709" s="1">
        <v>5567.0</v>
      </c>
      <c r="O709" s="1">
        <v>462061.0</v>
      </c>
    </row>
    <row r="710">
      <c r="A710" s="1" t="s">
        <v>1622</v>
      </c>
      <c r="B710" s="1" t="s">
        <v>128</v>
      </c>
      <c r="C710" s="1">
        <v>942.5422</v>
      </c>
      <c r="D710" s="1" t="s">
        <v>21</v>
      </c>
      <c r="E710" s="1" t="s">
        <v>70</v>
      </c>
      <c r="F710" s="1">
        <v>88.72</v>
      </c>
      <c r="G710" s="1">
        <v>54.12</v>
      </c>
      <c r="H710" s="1">
        <v>7.2585159345E10</v>
      </c>
      <c r="I710" s="1">
        <v>8.0787050908E10</v>
      </c>
      <c r="J710" s="2">
        <v>45542.07083333333</v>
      </c>
      <c r="K710" s="2">
        <v>45572.11875</v>
      </c>
      <c r="L710" s="1">
        <v>6.33</v>
      </c>
      <c r="M710" s="1">
        <v>5966.29</v>
      </c>
      <c r="N710" s="1">
        <v>5966.0</v>
      </c>
      <c r="O710" s="1">
        <v>495178.0</v>
      </c>
    </row>
    <row r="711">
      <c r="A711" s="1" t="s">
        <v>1623</v>
      </c>
      <c r="B711" s="1" t="s">
        <v>128</v>
      </c>
      <c r="C711" s="1">
        <v>593.7</v>
      </c>
      <c r="D711" s="1" t="s">
        <v>21</v>
      </c>
      <c r="E711" s="1" t="s">
        <v>27</v>
      </c>
      <c r="F711" s="1">
        <v>25.5</v>
      </c>
      <c r="G711" s="1">
        <v>89.97</v>
      </c>
      <c r="H711" s="1">
        <v>3.2996592113E10</v>
      </c>
      <c r="I711" s="1">
        <v>4.0478716789E10</v>
      </c>
      <c r="J711" s="2">
        <v>45359.325694444444</v>
      </c>
      <c r="K711" s="2">
        <v>45390.62847222222</v>
      </c>
      <c r="L711" s="1">
        <v>5.58</v>
      </c>
      <c r="M711" s="1">
        <v>3312.85</v>
      </c>
      <c r="N711" s="1">
        <v>3313.0</v>
      </c>
      <c r="O711" s="1">
        <v>274979.0</v>
      </c>
    </row>
    <row r="712">
      <c r="A712" s="1" t="s">
        <v>1624</v>
      </c>
      <c r="B712" s="1" t="s">
        <v>41</v>
      </c>
      <c r="C712" s="1">
        <v>120.0333</v>
      </c>
      <c r="D712" s="1" t="s">
        <v>42</v>
      </c>
      <c r="E712" s="1" t="s">
        <v>37</v>
      </c>
      <c r="F712" s="1">
        <v>63.32</v>
      </c>
      <c r="G712" s="1">
        <v>15.88</v>
      </c>
      <c r="H712" s="1">
        <v>3.8518452231E10</v>
      </c>
      <c r="I712" s="1">
        <v>4.5323568182E10</v>
      </c>
      <c r="J712" s="2">
        <v>45573.84930555556</v>
      </c>
      <c r="K712" s="1" t="s">
        <v>1625</v>
      </c>
      <c r="L712" s="1">
        <v>2.8</v>
      </c>
      <c r="M712" s="1">
        <v>336.09</v>
      </c>
      <c r="N712" s="1">
        <v>336.0</v>
      </c>
      <c r="O712" s="1">
        <v>27888.0</v>
      </c>
    </row>
    <row r="713">
      <c r="A713" s="1" t="s">
        <v>1626</v>
      </c>
      <c r="B713" s="1" t="s">
        <v>112</v>
      </c>
      <c r="C713" s="1">
        <v>131.4333</v>
      </c>
      <c r="D713" s="1" t="s">
        <v>42</v>
      </c>
      <c r="E713" s="1" t="s">
        <v>32</v>
      </c>
      <c r="F713" s="1">
        <v>81.15</v>
      </c>
      <c r="G713" s="1">
        <v>33.15</v>
      </c>
      <c r="H713" s="1">
        <v>7.9097760525E10</v>
      </c>
      <c r="I713" s="1">
        <v>8.5922163334E10</v>
      </c>
      <c r="J713" s="1" t="s">
        <v>1627</v>
      </c>
      <c r="K713" s="1" t="s">
        <v>1628</v>
      </c>
      <c r="L713" s="1">
        <v>3.04</v>
      </c>
      <c r="M713" s="1">
        <v>399.56</v>
      </c>
      <c r="N713" s="1">
        <v>400.0</v>
      </c>
      <c r="O713" s="1">
        <v>33200.0</v>
      </c>
    </row>
    <row r="714">
      <c r="A714" s="1" t="s">
        <v>1629</v>
      </c>
      <c r="B714" s="1" t="s">
        <v>62</v>
      </c>
      <c r="C714" s="1">
        <v>69.4</v>
      </c>
      <c r="D714" s="1" t="s">
        <v>42</v>
      </c>
      <c r="E714" s="1" t="s">
        <v>37</v>
      </c>
      <c r="F714" s="1">
        <v>47.99</v>
      </c>
      <c r="G714" s="1">
        <v>94.08</v>
      </c>
      <c r="H714" s="1">
        <v>3.3005849885E10</v>
      </c>
      <c r="I714" s="1">
        <v>3.6574371942E10</v>
      </c>
      <c r="J714" s="1" t="s">
        <v>1630</v>
      </c>
      <c r="K714" s="1" t="s">
        <v>1631</v>
      </c>
      <c r="L714" s="1">
        <v>6.81</v>
      </c>
      <c r="M714" s="1">
        <v>472.61</v>
      </c>
      <c r="N714" s="1">
        <v>473.0</v>
      </c>
      <c r="O714" s="1">
        <v>39259.0</v>
      </c>
    </row>
    <row r="715">
      <c r="A715" s="1" t="s">
        <v>1632</v>
      </c>
      <c r="B715" s="1" t="s">
        <v>60</v>
      </c>
      <c r="C715" s="1">
        <v>101.5</v>
      </c>
      <c r="D715" s="1" t="s">
        <v>42</v>
      </c>
      <c r="E715" s="1" t="s">
        <v>37</v>
      </c>
      <c r="F715" s="1">
        <v>37.57</v>
      </c>
      <c r="G715" s="1">
        <v>32.15</v>
      </c>
      <c r="H715" s="1">
        <v>8.1529079148E10</v>
      </c>
      <c r="I715" s="1">
        <v>8.1835001901E10</v>
      </c>
      <c r="J715" s="2">
        <v>45542.777083333334</v>
      </c>
      <c r="K715" s="1" t="s">
        <v>1633</v>
      </c>
      <c r="L715" s="1">
        <v>9.82</v>
      </c>
      <c r="M715" s="1">
        <v>996.73</v>
      </c>
      <c r="N715" s="1">
        <v>997.0</v>
      </c>
      <c r="O715" s="1">
        <v>82751.0</v>
      </c>
    </row>
    <row r="716">
      <c r="A716" s="1" t="s">
        <v>1634</v>
      </c>
      <c r="B716" s="1" t="s">
        <v>60</v>
      </c>
      <c r="C716" s="1">
        <v>67.75</v>
      </c>
      <c r="D716" s="1" t="s">
        <v>42</v>
      </c>
      <c r="E716" s="1" t="s">
        <v>27</v>
      </c>
      <c r="F716" s="1">
        <v>40.24</v>
      </c>
      <c r="G716" s="1">
        <v>94.45</v>
      </c>
      <c r="H716" s="1">
        <v>9.7156852662E10</v>
      </c>
      <c r="I716" s="1">
        <v>9.8079959949E10</v>
      </c>
      <c r="J716" s="2">
        <v>45329.67083333333</v>
      </c>
      <c r="K716" s="2">
        <v>45419.49375</v>
      </c>
      <c r="L716" s="1">
        <v>4.51</v>
      </c>
      <c r="M716" s="1">
        <v>305.55</v>
      </c>
      <c r="N716" s="1">
        <v>306.0</v>
      </c>
      <c r="O716" s="1">
        <v>25398.0</v>
      </c>
    </row>
    <row r="717">
      <c r="A717" s="1" t="s">
        <v>1635</v>
      </c>
      <c r="B717" s="1" t="s">
        <v>16</v>
      </c>
      <c r="C717" s="1">
        <v>107.2042</v>
      </c>
      <c r="D717" s="1" t="s">
        <v>21</v>
      </c>
      <c r="E717" s="1" t="s">
        <v>74</v>
      </c>
      <c r="F717" s="1">
        <v>23.43</v>
      </c>
      <c r="G717" s="1">
        <v>19.38</v>
      </c>
      <c r="H717" s="1">
        <v>5.9333182051E10</v>
      </c>
      <c r="I717" s="1">
        <v>6.4311680089E10</v>
      </c>
      <c r="J717" s="1" t="s">
        <v>1636</v>
      </c>
      <c r="K717" s="1" t="s">
        <v>1637</v>
      </c>
      <c r="L717" s="1">
        <v>1.9</v>
      </c>
      <c r="M717" s="1">
        <v>203.69</v>
      </c>
      <c r="N717" s="1">
        <v>204.0</v>
      </c>
      <c r="O717" s="1">
        <v>16932.0</v>
      </c>
    </row>
    <row r="718">
      <c r="A718" s="1" t="s">
        <v>1638</v>
      </c>
      <c r="B718" s="1" t="s">
        <v>66</v>
      </c>
      <c r="C718" s="1">
        <v>644.9753</v>
      </c>
      <c r="D718" s="1" t="s">
        <v>21</v>
      </c>
      <c r="E718" s="1" t="s">
        <v>74</v>
      </c>
      <c r="F718" s="1">
        <v>8.12</v>
      </c>
      <c r="G718" s="1">
        <v>42.07</v>
      </c>
      <c r="H718" s="1">
        <v>5.8377579384E10</v>
      </c>
      <c r="I718" s="1">
        <v>6.6988761329E10</v>
      </c>
      <c r="J718" s="2">
        <v>45633.01527777778</v>
      </c>
      <c r="K718" s="1" t="s">
        <v>1639</v>
      </c>
      <c r="L718" s="1">
        <v>6.14</v>
      </c>
      <c r="M718" s="1">
        <v>3960.15</v>
      </c>
      <c r="N718" s="1">
        <v>3960.0</v>
      </c>
      <c r="O718" s="1">
        <v>328680.0</v>
      </c>
    </row>
    <row r="719">
      <c r="A719" s="1" t="s">
        <v>1640</v>
      </c>
      <c r="B719" s="1" t="s">
        <v>139</v>
      </c>
      <c r="C719" s="1">
        <v>128.65</v>
      </c>
      <c r="D719" s="1" t="s">
        <v>42</v>
      </c>
      <c r="E719" s="1" t="s">
        <v>58</v>
      </c>
      <c r="F719" s="1">
        <v>35.24</v>
      </c>
      <c r="G719" s="1">
        <v>50.33</v>
      </c>
      <c r="H719" s="1">
        <v>8.3290683034E10</v>
      </c>
      <c r="I719" s="1">
        <v>9.1928101174E10</v>
      </c>
      <c r="J719" s="2">
        <v>45420.03680555556</v>
      </c>
      <c r="K719" s="2">
        <v>45573.39722222222</v>
      </c>
      <c r="L719" s="1">
        <v>5.13</v>
      </c>
      <c r="M719" s="1">
        <v>659.97</v>
      </c>
      <c r="N719" s="1">
        <v>660.0</v>
      </c>
      <c r="O719" s="1">
        <v>54780.0</v>
      </c>
    </row>
    <row r="720">
      <c r="A720" s="1" t="s">
        <v>1641</v>
      </c>
      <c r="B720" s="1" t="s">
        <v>36</v>
      </c>
      <c r="C720" s="1">
        <v>270.5498</v>
      </c>
      <c r="D720" s="1" t="s">
        <v>21</v>
      </c>
      <c r="E720" s="1" t="s">
        <v>27</v>
      </c>
      <c r="F720" s="1">
        <v>24.7</v>
      </c>
      <c r="G720" s="1">
        <v>82.03</v>
      </c>
      <c r="H720" s="1">
        <v>1.9913289223E10</v>
      </c>
      <c r="I720" s="1">
        <v>2.0800449857E10</v>
      </c>
      <c r="J720" s="1" t="s">
        <v>1642</v>
      </c>
      <c r="K720" s="1" t="s">
        <v>1643</v>
      </c>
      <c r="L720" s="1">
        <v>4.76</v>
      </c>
      <c r="M720" s="1">
        <v>1287.82</v>
      </c>
      <c r="N720" s="1">
        <v>1288.0</v>
      </c>
      <c r="O720" s="1">
        <v>106904.0</v>
      </c>
    </row>
    <row r="721">
      <c r="A721" s="1" t="s">
        <v>1644</v>
      </c>
      <c r="B721" s="1" t="s">
        <v>16</v>
      </c>
      <c r="C721" s="1">
        <v>849.6378</v>
      </c>
      <c r="D721" s="1" t="s">
        <v>21</v>
      </c>
      <c r="E721" s="1" t="s">
        <v>105</v>
      </c>
      <c r="F721" s="1">
        <v>59.54</v>
      </c>
      <c r="G721" s="1">
        <v>17.43</v>
      </c>
      <c r="H721" s="1">
        <v>8.1159809793E10</v>
      </c>
      <c r="I721" s="1">
        <v>8.9779274593E10</v>
      </c>
      <c r="J721" s="1" t="s">
        <v>1645</v>
      </c>
      <c r="K721" s="1" t="s">
        <v>1646</v>
      </c>
      <c r="L721" s="1">
        <v>3.77</v>
      </c>
      <c r="M721" s="1">
        <v>3203.13</v>
      </c>
      <c r="N721" s="1">
        <v>3203.0</v>
      </c>
      <c r="O721" s="1">
        <v>265849.0</v>
      </c>
    </row>
    <row r="722">
      <c r="A722" s="1" t="s">
        <v>1647</v>
      </c>
      <c r="B722" s="1" t="s">
        <v>31</v>
      </c>
      <c r="C722" s="1">
        <v>716.3448</v>
      </c>
      <c r="D722" s="1" t="s">
        <v>21</v>
      </c>
      <c r="E722" s="1" t="s">
        <v>74</v>
      </c>
      <c r="F722" s="1">
        <v>85.67</v>
      </c>
      <c r="G722" s="1">
        <v>57.03</v>
      </c>
      <c r="H722" s="1">
        <v>1.3501372933E10</v>
      </c>
      <c r="I722" s="1">
        <v>2.0403329092E10</v>
      </c>
      <c r="J722" s="2">
        <v>45298.65347222222</v>
      </c>
      <c r="K722" s="2">
        <v>45389.686111111114</v>
      </c>
      <c r="L722" s="1">
        <v>6.11</v>
      </c>
      <c r="M722" s="1">
        <v>4376.87</v>
      </c>
      <c r="N722" s="1">
        <v>4377.0</v>
      </c>
      <c r="O722" s="1">
        <v>363291.0</v>
      </c>
    </row>
    <row r="723">
      <c r="A723" s="1" t="s">
        <v>1648</v>
      </c>
      <c r="B723" s="1" t="s">
        <v>169</v>
      </c>
      <c r="C723" s="1">
        <v>244.6044</v>
      </c>
      <c r="D723" s="1" t="s">
        <v>21</v>
      </c>
      <c r="E723" s="1" t="s">
        <v>22</v>
      </c>
      <c r="F723" s="1">
        <v>90.6</v>
      </c>
      <c r="G723" s="1">
        <v>16.05</v>
      </c>
      <c r="H723" s="1">
        <v>8.8097720514E10</v>
      </c>
      <c r="I723" s="1">
        <v>9.4193794566E10</v>
      </c>
      <c r="J723" s="1" t="s">
        <v>1649</v>
      </c>
      <c r="K723" s="1" t="s">
        <v>1650</v>
      </c>
      <c r="L723" s="1">
        <v>9.4</v>
      </c>
      <c r="M723" s="1">
        <v>2299.28</v>
      </c>
      <c r="N723" s="1">
        <v>2299.0</v>
      </c>
      <c r="O723" s="1">
        <v>190817.0</v>
      </c>
    </row>
    <row r="724">
      <c r="A724" s="1" t="s">
        <v>1651</v>
      </c>
      <c r="B724" s="1" t="s">
        <v>83</v>
      </c>
      <c r="C724" s="1">
        <v>766.1013</v>
      </c>
      <c r="D724" s="1" t="s">
        <v>21</v>
      </c>
      <c r="E724" s="1" t="s">
        <v>32</v>
      </c>
      <c r="F724" s="1">
        <v>59.37</v>
      </c>
      <c r="G724" s="1">
        <v>20.17</v>
      </c>
      <c r="H724" s="1">
        <v>5.3390461988E10</v>
      </c>
      <c r="I724" s="1">
        <v>5.4709974307E10</v>
      </c>
      <c r="J724" s="1" t="s">
        <v>1652</v>
      </c>
      <c r="K724" s="1" t="s">
        <v>1653</v>
      </c>
      <c r="L724" s="1">
        <v>7.74</v>
      </c>
      <c r="M724" s="1">
        <v>5929.62</v>
      </c>
      <c r="N724" s="1">
        <v>5930.0</v>
      </c>
      <c r="O724" s="1">
        <v>492190.0</v>
      </c>
    </row>
    <row r="725">
      <c r="A725" s="1" t="s">
        <v>1654</v>
      </c>
      <c r="B725" s="1" t="s">
        <v>169</v>
      </c>
      <c r="C725" s="1">
        <v>605.434</v>
      </c>
      <c r="D725" s="1" t="s">
        <v>21</v>
      </c>
      <c r="E725" s="1" t="s">
        <v>27</v>
      </c>
      <c r="F725" s="1">
        <v>22.52</v>
      </c>
      <c r="G725" s="1">
        <v>11.7</v>
      </c>
      <c r="H725" s="1">
        <v>6.03617051E9</v>
      </c>
      <c r="I725" s="1">
        <v>1.3165027627E10</v>
      </c>
      <c r="J725" s="2">
        <v>45634.649305555555</v>
      </c>
      <c r="K725" s="1" t="s">
        <v>1655</v>
      </c>
      <c r="L725" s="1">
        <v>5.04</v>
      </c>
      <c r="M725" s="1">
        <v>3051.39</v>
      </c>
      <c r="N725" s="1">
        <v>3051.0</v>
      </c>
      <c r="O725" s="1">
        <v>253233.0</v>
      </c>
    </row>
    <row r="726">
      <c r="A726" s="1" t="s">
        <v>1656</v>
      </c>
      <c r="B726" s="1" t="s">
        <v>169</v>
      </c>
      <c r="C726" s="1">
        <v>314.7352</v>
      </c>
      <c r="D726" s="1" t="s">
        <v>17</v>
      </c>
      <c r="E726" s="1" t="s">
        <v>37</v>
      </c>
      <c r="F726" s="1">
        <v>39.3</v>
      </c>
      <c r="G726" s="1">
        <v>69.62</v>
      </c>
      <c r="H726" s="1">
        <v>2.1937055382E10</v>
      </c>
      <c r="I726" s="1">
        <v>3.1689047998E10</v>
      </c>
      <c r="J726" s="2">
        <v>45419.07638888889</v>
      </c>
      <c r="K726" s="2">
        <v>45572.46388888889</v>
      </c>
      <c r="L726" s="1">
        <v>3.65</v>
      </c>
      <c r="M726" s="1">
        <v>1148.78</v>
      </c>
      <c r="N726" s="1">
        <v>1149.0</v>
      </c>
      <c r="O726" s="1">
        <v>95367.0</v>
      </c>
    </row>
    <row r="727">
      <c r="A727" s="1" t="s">
        <v>1657</v>
      </c>
      <c r="B727" s="1" t="s">
        <v>79</v>
      </c>
      <c r="C727" s="1">
        <v>487.5577</v>
      </c>
      <c r="D727" s="1" t="s">
        <v>21</v>
      </c>
      <c r="E727" s="1" t="s">
        <v>58</v>
      </c>
      <c r="F727" s="1">
        <v>96.89</v>
      </c>
      <c r="G727" s="1">
        <v>87.84</v>
      </c>
      <c r="H727" s="1">
        <v>5.9664182873E10</v>
      </c>
      <c r="I727" s="1">
        <v>6.9600922086E10</v>
      </c>
      <c r="J727" s="1" t="s">
        <v>1658</v>
      </c>
      <c r="K727" s="1" t="s">
        <v>1659</v>
      </c>
      <c r="L727" s="1">
        <v>4.79</v>
      </c>
      <c r="M727" s="1">
        <v>2335.4</v>
      </c>
      <c r="N727" s="1">
        <v>2335.0</v>
      </c>
      <c r="O727" s="1">
        <v>193805.0</v>
      </c>
    </row>
    <row r="728">
      <c r="A728" s="1" t="s">
        <v>1660</v>
      </c>
      <c r="B728" s="1" t="s">
        <v>36</v>
      </c>
      <c r="C728" s="1">
        <v>594.3292</v>
      </c>
      <c r="D728" s="1" t="s">
        <v>17</v>
      </c>
      <c r="E728" s="1" t="s">
        <v>58</v>
      </c>
      <c r="F728" s="1">
        <v>55.72</v>
      </c>
      <c r="G728" s="1">
        <v>40.37</v>
      </c>
      <c r="H728" s="1">
        <v>9.312126094E10</v>
      </c>
      <c r="I728" s="1">
        <v>9.8127926613E10</v>
      </c>
      <c r="J728" s="1" t="s">
        <v>1661</v>
      </c>
      <c r="K728" s="1" t="s">
        <v>1662</v>
      </c>
      <c r="L728" s="1">
        <v>4.18</v>
      </c>
      <c r="M728" s="1">
        <v>2484.3</v>
      </c>
      <c r="N728" s="1">
        <v>2484.0</v>
      </c>
      <c r="O728" s="1">
        <v>206172.0</v>
      </c>
    </row>
    <row r="729">
      <c r="A729" s="1" t="s">
        <v>1663</v>
      </c>
      <c r="B729" s="1" t="s">
        <v>57</v>
      </c>
      <c r="C729" s="1">
        <v>383.5646</v>
      </c>
      <c r="D729" s="1" t="s">
        <v>17</v>
      </c>
      <c r="E729" s="1" t="s">
        <v>58</v>
      </c>
      <c r="F729" s="1">
        <v>5.05</v>
      </c>
      <c r="G729" s="1">
        <v>34.96</v>
      </c>
      <c r="H729" s="1">
        <v>8.8559986595E10</v>
      </c>
      <c r="I729" s="1">
        <v>8.925562128E10</v>
      </c>
      <c r="J729" s="1" t="s">
        <v>1664</v>
      </c>
      <c r="K729" s="1" t="s">
        <v>1665</v>
      </c>
      <c r="L729" s="1">
        <v>8.82</v>
      </c>
      <c r="M729" s="1">
        <v>3383.04</v>
      </c>
      <c r="N729" s="1">
        <v>3383.0</v>
      </c>
      <c r="O729" s="1">
        <v>280789.0</v>
      </c>
    </row>
    <row r="730">
      <c r="A730" s="1" t="s">
        <v>1666</v>
      </c>
      <c r="B730" s="1" t="s">
        <v>139</v>
      </c>
      <c r="C730" s="1">
        <v>105.5833</v>
      </c>
      <c r="D730" s="1" t="s">
        <v>42</v>
      </c>
      <c r="E730" s="1" t="s">
        <v>37</v>
      </c>
      <c r="F730" s="1">
        <v>29.94</v>
      </c>
      <c r="G730" s="1">
        <v>23.61</v>
      </c>
      <c r="H730" s="1">
        <v>8.5636532562E10</v>
      </c>
      <c r="I730" s="1">
        <v>8.6136300829E10</v>
      </c>
      <c r="J730" s="1" t="s">
        <v>1667</v>
      </c>
      <c r="K730" s="1" t="s">
        <v>1668</v>
      </c>
      <c r="L730" s="1">
        <v>4.73</v>
      </c>
      <c r="M730" s="1">
        <v>499.41</v>
      </c>
      <c r="N730" s="1">
        <v>499.0</v>
      </c>
      <c r="O730" s="1">
        <v>41417.0</v>
      </c>
    </row>
    <row r="731">
      <c r="A731" s="1" t="s">
        <v>1669</v>
      </c>
      <c r="B731" s="1" t="s">
        <v>31</v>
      </c>
      <c r="C731" s="1">
        <v>477.7968</v>
      </c>
      <c r="D731" s="1" t="s">
        <v>21</v>
      </c>
      <c r="E731" s="1" t="s">
        <v>70</v>
      </c>
      <c r="F731" s="1">
        <v>43.56</v>
      </c>
      <c r="G731" s="1">
        <v>38.53</v>
      </c>
      <c r="H731" s="1">
        <v>1.6295257581E10</v>
      </c>
      <c r="I731" s="1">
        <v>2.4012462997E10</v>
      </c>
      <c r="J731" s="2">
        <v>45450.10902777778</v>
      </c>
      <c r="K731" s="2">
        <v>45511.027083333334</v>
      </c>
      <c r="L731" s="1">
        <v>9.77</v>
      </c>
      <c r="M731" s="1">
        <v>4668.07</v>
      </c>
      <c r="N731" s="1">
        <v>4668.0</v>
      </c>
      <c r="O731" s="1">
        <v>387444.0</v>
      </c>
    </row>
    <row r="732">
      <c r="A732" s="1" t="s">
        <v>1670</v>
      </c>
      <c r="B732" s="1" t="s">
        <v>36</v>
      </c>
      <c r="C732" s="1">
        <v>479.4566</v>
      </c>
      <c r="D732" s="1" t="s">
        <v>17</v>
      </c>
      <c r="E732" s="1" t="s">
        <v>32</v>
      </c>
      <c r="F732" s="1">
        <v>49.46</v>
      </c>
      <c r="G732" s="1">
        <v>31.14</v>
      </c>
      <c r="H732" s="1">
        <v>2.200590863E9</v>
      </c>
      <c r="I732" s="1">
        <v>5.869948955E9</v>
      </c>
      <c r="J732" s="2">
        <v>45572.74236111111</v>
      </c>
      <c r="K732" s="2">
        <v>45633.316666666666</v>
      </c>
      <c r="L732" s="1">
        <v>5.7</v>
      </c>
      <c r="M732" s="1">
        <v>2732.9</v>
      </c>
      <c r="N732" s="1">
        <v>2733.0</v>
      </c>
      <c r="O732" s="1">
        <v>226839.0</v>
      </c>
    </row>
    <row r="733">
      <c r="A733" s="1" t="s">
        <v>1671</v>
      </c>
      <c r="B733" s="1" t="s">
        <v>26</v>
      </c>
      <c r="C733" s="1">
        <v>44.9267</v>
      </c>
      <c r="D733" s="1" t="s">
        <v>17</v>
      </c>
      <c r="E733" s="1" t="s">
        <v>27</v>
      </c>
      <c r="F733" s="1">
        <v>73.8</v>
      </c>
      <c r="G733" s="1">
        <v>27.76</v>
      </c>
      <c r="H733" s="1">
        <v>1.84067999E9</v>
      </c>
      <c r="I733" s="1">
        <v>5.778710739E9</v>
      </c>
      <c r="J733" s="2">
        <v>45633.82847222222</v>
      </c>
      <c r="K733" s="1" t="s">
        <v>1672</v>
      </c>
      <c r="L733" s="1">
        <v>6.49</v>
      </c>
      <c r="M733" s="1">
        <v>291.57</v>
      </c>
      <c r="N733" s="1">
        <v>292.0</v>
      </c>
      <c r="O733" s="1">
        <v>24236.0</v>
      </c>
    </row>
    <row r="734">
      <c r="A734" s="1" t="s">
        <v>1673</v>
      </c>
      <c r="B734" s="1" t="s">
        <v>53</v>
      </c>
      <c r="C734" s="1">
        <v>766.1311</v>
      </c>
      <c r="D734" s="1" t="s">
        <v>17</v>
      </c>
      <c r="E734" s="1" t="s">
        <v>105</v>
      </c>
      <c r="F734" s="1">
        <v>30.35</v>
      </c>
      <c r="G734" s="1">
        <v>94.56</v>
      </c>
      <c r="H734" s="1">
        <v>3.6366480544E10</v>
      </c>
      <c r="I734" s="1">
        <v>4.0273228745E10</v>
      </c>
      <c r="J734" s="2">
        <v>45543.11597222222</v>
      </c>
      <c r="K734" s="1" t="s">
        <v>1314</v>
      </c>
      <c r="L734" s="1">
        <v>8.48</v>
      </c>
      <c r="M734" s="1">
        <v>6496.79</v>
      </c>
      <c r="N734" s="1">
        <v>6497.0</v>
      </c>
      <c r="O734" s="1">
        <v>539251.0</v>
      </c>
    </row>
    <row r="735">
      <c r="A735" s="1" t="s">
        <v>1674</v>
      </c>
      <c r="B735" s="1" t="s">
        <v>53</v>
      </c>
      <c r="C735" s="1">
        <v>470.6748</v>
      </c>
      <c r="D735" s="1" t="s">
        <v>21</v>
      </c>
      <c r="E735" s="1" t="s">
        <v>54</v>
      </c>
      <c r="F735" s="1">
        <v>0.67</v>
      </c>
      <c r="G735" s="1">
        <v>93.53</v>
      </c>
      <c r="H735" s="1">
        <v>7.5117876119E10</v>
      </c>
      <c r="I735" s="1">
        <v>7.8971281541E10</v>
      </c>
      <c r="J735" s="2">
        <v>45299.205555555556</v>
      </c>
      <c r="K735" s="2">
        <v>45420.15625</v>
      </c>
      <c r="L735" s="1">
        <v>9.45</v>
      </c>
      <c r="M735" s="1">
        <v>4447.88</v>
      </c>
      <c r="N735" s="1">
        <v>4448.0</v>
      </c>
      <c r="O735" s="1">
        <v>369184.0</v>
      </c>
    </row>
    <row r="736">
      <c r="A736" s="1" t="s">
        <v>1675</v>
      </c>
      <c r="B736" s="1" t="s">
        <v>128</v>
      </c>
      <c r="C736" s="1">
        <v>745.3387</v>
      </c>
      <c r="D736" s="1" t="s">
        <v>21</v>
      </c>
      <c r="E736" s="1" t="s">
        <v>105</v>
      </c>
      <c r="F736" s="1">
        <v>11.58</v>
      </c>
      <c r="G736" s="1">
        <v>44.74</v>
      </c>
      <c r="H736" s="1">
        <v>6.524190357E9</v>
      </c>
      <c r="I736" s="1">
        <v>1.4915097594E10</v>
      </c>
      <c r="J736" s="1" t="s">
        <v>1676</v>
      </c>
      <c r="K736" s="1" t="s">
        <v>1677</v>
      </c>
      <c r="L736" s="1">
        <v>9.25</v>
      </c>
      <c r="M736" s="1">
        <v>6894.38</v>
      </c>
      <c r="N736" s="1">
        <v>6894.0</v>
      </c>
      <c r="O736" s="1">
        <v>572202.0</v>
      </c>
    </row>
    <row r="737">
      <c r="A737" s="1" t="s">
        <v>1678</v>
      </c>
      <c r="B737" s="1" t="s">
        <v>169</v>
      </c>
      <c r="C737" s="1">
        <v>377.7123</v>
      </c>
      <c r="D737" s="1" t="s">
        <v>21</v>
      </c>
      <c r="E737" s="1" t="s">
        <v>18</v>
      </c>
      <c r="F737" s="1">
        <v>50.22</v>
      </c>
      <c r="G737" s="1">
        <v>39.91</v>
      </c>
      <c r="H737" s="1">
        <v>2.624008651E10</v>
      </c>
      <c r="I737" s="1">
        <v>3.5351274293E10</v>
      </c>
      <c r="J737" s="1" t="s">
        <v>1102</v>
      </c>
      <c r="K737" s="1" t="s">
        <v>1679</v>
      </c>
      <c r="L737" s="1">
        <v>8.04</v>
      </c>
      <c r="M737" s="1">
        <v>3036.81</v>
      </c>
      <c r="N737" s="1">
        <v>3037.0</v>
      </c>
      <c r="O737" s="1">
        <v>252071.0</v>
      </c>
    </row>
    <row r="738">
      <c r="A738" s="1" t="s">
        <v>1680</v>
      </c>
      <c r="B738" s="1" t="s">
        <v>62</v>
      </c>
      <c r="C738" s="1">
        <v>122.5333</v>
      </c>
      <c r="D738" s="1" t="s">
        <v>42</v>
      </c>
      <c r="E738" s="1" t="s">
        <v>37</v>
      </c>
      <c r="F738" s="1">
        <v>28.98</v>
      </c>
      <c r="G738" s="1">
        <v>27.72</v>
      </c>
      <c r="H738" s="1">
        <v>4.4940959229E10</v>
      </c>
      <c r="I738" s="1">
        <v>5.2781538229E10</v>
      </c>
      <c r="J738" s="1" t="s">
        <v>1681</v>
      </c>
      <c r="K738" s="1" t="s">
        <v>1682</v>
      </c>
      <c r="L738" s="1">
        <v>5.24</v>
      </c>
      <c r="M738" s="1">
        <v>642.07</v>
      </c>
      <c r="N738" s="1">
        <v>642.0</v>
      </c>
      <c r="O738" s="1">
        <v>53286.0</v>
      </c>
    </row>
    <row r="739">
      <c r="A739" s="1" t="s">
        <v>1683</v>
      </c>
      <c r="B739" s="1" t="s">
        <v>36</v>
      </c>
      <c r="C739" s="1">
        <v>864.4102</v>
      </c>
      <c r="D739" s="1" t="s">
        <v>21</v>
      </c>
      <c r="E739" s="1" t="s">
        <v>58</v>
      </c>
      <c r="F739" s="1">
        <v>52.27</v>
      </c>
      <c r="G739" s="1">
        <v>85.56</v>
      </c>
      <c r="H739" s="1">
        <v>8.8170142617E10</v>
      </c>
      <c r="I739" s="1">
        <v>8.9904941045E10</v>
      </c>
      <c r="J739" s="1" t="s">
        <v>1684</v>
      </c>
      <c r="K739" s="2">
        <v>45300.32361111111</v>
      </c>
      <c r="L739" s="1">
        <v>2.05</v>
      </c>
      <c r="M739" s="1">
        <v>1772.04</v>
      </c>
      <c r="N739" s="1">
        <v>1772.0</v>
      </c>
      <c r="O739" s="1">
        <v>147076.0</v>
      </c>
    </row>
    <row r="740">
      <c r="A740" s="1" t="s">
        <v>1685</v>
      </c>
      <c r="B740" s="1" t="s">
        <v>62</v>
      </c>
      <c r="C740" s="1">
        <v>51.5167</v>
      </c>
      <c r="D740" s="1" t="s">
        <v>42</v>
      </c>
      <c r="E740" s="1" t="s">
        <v>18</v>
      </c>
      <c r="F740" s="1">
        <v>5.71</v>
      </c>
      <c r="G740" s="1">
        <v>21.9</v>
      </c>
      <c r="H740" s="1">
        <v>3.2131523802E10</v>
      </c>
      <c r="I740" s="1">
        <v>3.7261477279E10</v>
      </c>
      <c r="J740" s="1" t="s">
        <v>1686</v>
      </c>
      <c r="K740" s="1" t="s">
        <v>1687</v>
      </c>
      <c r="L740" s="1">
        <v>3.3</v>
      </c>
      <c r="M740" s="1">
        <v>170.01</v>
      </c>
      <c r="N740" s="1">
        <v>170.0</v>
      </c>
      <c r="O740" s="1">
        <v>14110.0</v>
      </c>
    </row>
    <row r="741">
      <c r="A741" s="1" t="s">
        <v>1688</v>
      </c>
      <c r="B741" s="1" t="s">
        <v>79</v>
      </c>
      <c r="C741" s="1">
        <v>304.946</v>
      </c>
      <c r="D741" s="1" t="s">
        <v>21</v>
      </c>
      <c r="E741" s="1" t="s">
        <v>22</v>
      </c>
      <c r="F741" s="1">
        <v>53.64</v>
      </c>
      <c r="G741" s="1">
        <v>27.09</v>
      </c>
      <c r="H741" s="1">
        <v>6.3037904388E10</v>
      </c>
      <c r="I741" s="1">
        <v>7.0624945076E10</v>
      </c>
      <c r="J741" s="2">
        <v>45329.33888888889</v>
      </c>
      <c r="K741" s="2">
        <v>45450.498611111114</v>
      </c>
      <c r="L741" s="1">
        <v>5.61</v>
      </c>
      <c r="M741" s="1">
        <v>1710.75</v>
      </c>
      <c r="N741" s="1">
        <v>1711.0</v>
      </c>
      <c r="O741" s="1">
        <v>142013.0</v>
      </c>
    </row>
    <row r="742">
      <c r="A742" s="1" t="s">
        <v>1689</v>
      </c>
      <c r="B742" s="1" t="s">
        <v>128</v>
      </c>
      <c r="C742" s="1">
        <v>996.0188</v>
      </c>
      <c r="D742" s="1" t="s">
        <v>21</v>
      </c>
      <c r="E742" s="1" t="s">
        <v>74</v>
      </c>
      <c r="F742" s="1">
        <v>4.19</v>
      </c>
      <c r="G742" s="1">
        <v>45.77</v>
      </c>
      <c r="H742" s="1">
        <v>8.896119203E9</v>
      </c>
      <c r="I742" s="1">
        <v>1.3158550787E10</v>
      </c>
      <c r="J742" s="1" t="s">
        <v>1690</v>
      </c>
      <c r="K742" s="1" t="s">
        <v>1691</v>
      </c>
      <c r="L742" s="1">
        <v>4.11</v>
      </c>
      <c r="M742" s="1">
        <v>4093.64</v>
      </c>
      <c r="N742" s="1">
        <v>4094.0</v>
      </c>
      <c r="O742" s="1">
        <v>339802.0</v>
      </c>
    </row>
    <row r="743">
      <c r="A743" s="1" t="s">
        <v>1692</v>
      </c>
      <c r="B743" s="1" t="s">
        <v>169</v>
      </c>
      <c r="C743" s="1">
        <v>556.7204</v>
      </c>
      <c r="D743" s="1" t="s">
        <v>17</v>
      </c>
      <c r="E743" s="1" t="s">
        <v>74</v>
      </c>
      <c r="F743" s="1">
        <v>83.25</v>
      </c>
      <c r="G743" s="1">
        <v>23.02</v>
      </c>
      <c r="H743" s="1">
        <v>6.2355715755E10</v>
      </c>
      <c r="I743" s="1">
        <v>6.3884545299E10</v>
      </c>
      <c r="J743" s="1" t="s">
        <v>1693</v>
      </c>
      <c r="K743" s="2">
        <v>45360.01458333333</v>
      </c>
      <c r="L743" s="1">
        <v>6.5</v>
      </c>
      <c r="M743" s="1">
        <v>3618.68</v>
      </c>
      <c r="N743" s="1">
        <v>3619.0</v>
      </c>
      <c r="O743" s="1">
        <v>300377.0</v>
      </c>
    </row>
    <row r="744">
      <c r="A744" s="1" t="s">
        <v>1694</v>
      </c>
      <c r="B744" s="1" t="s">
        <v>83</v>
      </c>
      <c r="C744" s="1">
        <v>496.1508</v>
      </c>
      <c r="D744" s="1" t="s">
        <v>17</v>
      </c>
      <c r="E744" s="1" t="s">
        <v>70</v>
      </c>
      <c r="F744" s="1">
        <v>55.0</v>
      </c>
      <c r="G744" s="1">
        <v>38.71</v>
      </c>
      <c r="H744" s="1">
        <v>4.79931044E9</v>
      </c>
      <c r="I744" s="1">
        <v>9.647490183E9</v>
      </c>
      <c r="J744" s="2">
        <v>45481.84652777778</v>
      </c>
      <c r="K744" s="1" t="s">
        <v>1695</v>
      </c>
      <c r="L744" s="1">
        <v>5.87</v>
      </c>
      <c r="M744" s="1">
        <v>2912.41</v>
      </c>
      <c r="N744" s="1">
        <v>2912.0</v>
      </c>
      <c r="O744" s="1">
        <v>241696.0</v>
      </c>
    </row>
    <row r="745">
      <c r="A745" s="1" t="s">
        <v>1696</v>
      </c>
      <c r="B745" s="1" t="s">
        <v>57</v>
      </c>
      <c r="C745" s="1">
        <v>10.5402</v>
      </c>
      <c r="D745" s="1" t="s">
        <v>17</v>
      </c>
      <c r="E745" s="1" t="s">
        <v>32</v>
      </c>
      <c r="F745" s="1">
        <v>84.79</v>
      </c>
      <c r="G745" s="1">
        <v>69.28</v>
      </c>
      <c r="H745" s="1">
        <v>6.183948417E9</v>
      </c>
      <c r="I745" s="1">
        <v>1.2748356367E10</v>
      </c>
      <c r="J745" s="2">
        <v>45358.32013888889</v>
      </c>
      <c r="K745" s="2">
        <v>45450.25625</v>
      </c>
      <c r="L745" s="1">
        <v>1.32</v>
      </c>
      <c r="M745" s="1">
        <v>13.91</v>
      </c>
      <c r="N745" s="1">
        <v>14.0</v>
      </c>
      <c r="O745" s="1">
        <v>1162.0</v>
      </c>
    </row>
    <row r="746">
      <c r="A746" s="1" t="s">
        <v>1697</v>
      </c>
      <c r="B746" s="1" t="s">
        <v>166</v>
      </c>
      <c r="C746" s="1">
        <v>807.1147</v>
      </c>
      <c r="D746" s="1" t="s">
        <v>17</v>
      </c>
      <c r="E746" s="1" t="s">
        <v>18</v>
      </c>
      <c r="F746" s="1">
        <v>7.5</v>
      </c>
      <c r="G746" s="1">
        <v>81.05</v>
      </c>
      <c r="H746" s="1">
        <v>4.4721659132E10</v>
      </c>
      <c r="I746" s="1">
        <v>4.8929081036E10</v>
      </c>
      <c r="J746" s="2">
        <v>45634.510416666664</v>
      </c>
      <c r="K746" s="1" t="s">
        <v>1698</v>
      </c>
      <c r="L746" s="1">
        <v>8.39</v>
      </c>
      <c r="M746" s="1">
        <v>6771.69</v>
      </c>
      <c r="N746" s="1">
        <v>6772.0</v>
      </c>
      <c r="O746" s="1">
        <v>562076.0</v>
      </c>
    </row>
    <row r="747">
      <c r="A747" s="1" t="s">
        <v>1699</v>
      </c>
      <c r="B747" s="1" t="s">
        <v>66</v>
      </c>
      <c r="C747" s="1">
        <v>421.5073</v>
      </c>
      <c r="D747" s="1" t="s">
        <v>21</v>
      </c>
      <c r="E747" s="1" t="s">
        <v>18</v>
      </c>
      <c r="F747" s="1">
        <v>55.6</v>
      </c>
      <c r="G747" s="1">
        <v>58.23</v>
      </c>
      <c r="H747" s="1">
        <v>7.6446416469E10</v>
      </c>
      <c r="I747" s="1">
        <v>7.9000523255E10</v>
      </c>
      <c r="J747" s="2">
        <v>45634.73263888889</v>
      </c>
      <c r="K747" s="1" t="s">
        <v>1700</v>
      </c>
      <c r="L747" s="1">
        <v>6.55</v>
      </c>
      <c r="M747" s="1">
        <v>2760.87</v>
      </c>
      <c r="N747" s="1">
        <v>2761.0</v>
      </c>
      <c r="O747" s="1">
        <v>229163.0</v>
      </c>
    </row>
    <row r="748">
      <c r="A748" s="1" t="s">
        <v>1701</v>
      </c>
      <c r="B748" s="1" t="s">
        <v>183</v>
      </c>
      <c r="C748" s="1">
        <v>850.1416</v>
      </c>
      <c r="D748" s="1" t="s">
        <v>17</v>
      </c>
      <c r="E748" s="1" t="s">
        <v>18</v>
      </c>
      <c r="F748" s="1">
        <v>69.25</v>
      </c>
      <c r="G748" s="1">
        <v>79.97</v>
      </c>
      <c r="H748" s="1">
        <v>9.9837928325E10</v>
      </c>
      <c r="I748" s="3">
        <v>1.07272E11</v>
      </c>
      <c r="J748" s="2">
        <v>45633.459027777775</v>
      </c>
      <c r="K748" s="1" t="s">
        <v>1702</v>
      </c>
      <c r="L748" s="1">
        <v>8.23</v>
      </c>
      <c r="M748" s="1">
        <v>6996.67</v>
      </c>
      <c r="N748" s="1">
        <v>6997.0</v>
      </c>
      <c r="O748" s="1">
        <v>580751.0</v>
      </c>
    </row>
    <row r="749">
      <c r="A749" s="1" t="s">
        <v>1703</v>
      </c>
      <c r="B749" s="1" t="s">
        <v>122</v>
      </c>
      <c r="C749" s="1">
        <v>169.1456</v>
      </c>
      <c r="D749" s="1" t="s">
        <v>21</v>
      </c>
      <c r="E749" s="1" t="s">
        <v>74</v>
      </c>
      <c r="F749" s="1">
        <v>62.75</v>
      </c>
      <c r="G749" s="1">
        <v>96.88</v>
      </c>
      <c r="H749" s="1">
        <v>5.6748191227E10</v>
      </c>
      <c r="I749" s="1">
        <v>6.2322743245E10</v>
      </c>
      <c r="J749" s="1" t="s">
        <v>1704</v>
      </c>
      <c r="K749" s="1" t="s">
        <v>1705</v>
      </c>
      <c r="L749" s="1">
        <v>1.85</v>
      </c>
      <c r="M749" s="1">
        <v>312.92</v>
      </c>
      <c r="N749" s="1">
        <v>313.0</v>
      </c>
      <c r="O749" s="1">
        <v>25979.0</v>
      </c>
    </row>
    <row r="750">
      <c r="A750" s="1" t="s">
        <v>1706</v>
      </c>
      <c r="B750" s="1" t="s">
        <v>41</v>
      </c>
      <c r="C750" s="1">
        <v>47.05</v>
      </c>
      <c r="D750" s="1" t="s">
        <v>42</v>
      </c>
      <c r="E750" s="1" t="s">
        <v>27</v>
      </c>
      <c r="F750" s="1">
        <v>98.37</v>
      </c>
      <c r="G750" s="1">
        <v>72.23</v>
      </c>
      <c r="H750" s="1">
        <v>4.7622186957E10</v>
      </c>
      <c r="I750" s="1">
        <v>5.1931350562E10</v>
      </c>
      <c r="J750" s="1" t="s">
        <v>1707</v>
      </c>
      <c r="K750" s="1" t="s">
        <v>1708</v>
      </c>
      <c r="L750" s="1">
        <v>1.82</v>
      </c>
      <c r="M750" s="1">
        <v>85.63</v>
      </c>
      <c r="N750" s="1">
        <v>86.0</v>
      </c>
      <c r="O750" s="1">
        <v>7138.0</v>
      </c>
    </row>
    <row r="751">
      <c r="A751" s="1" t="s">
        <v>1709</v>
      </c>
      <c r="B751" s="1" t="s">
        <v>36</v>
      </c>
      <c r="C751" s="1">
        <v>365.9219</v>
      </c>
      <c r="D751" s="1" t="s">
        <v>17</v>
      </c>
      <c r="E751" s="1" t="s">
        <v>27</v>
      </c>
      <c r="F751" s="1">
        <v>95.56</v>
      </c>
      <c r="G751" s="1">
        <v>72.32</v>
      </c>
      <c r="H751" s="1">
        <v>6.526956101E10</v>
      </c>
      <c r="I751" s="1">
        <v>7.306413609E10</v>
      </c>
      <c r="J751" s="2">
        <v>45603.811111111114</v>
      </c>
      <c r="K751" s="1" t="s">
        <v>1710</v>
      </c>
      <c r="L751" s="1">
        <v>7.23</v>
      </c>
      <c r="M751" s="1">
        <v>2645.62</v>
      </c>
      <c r="N751" s="1">
        <v>2646.0</v>
      </c>
      <c r="O751" s="1">
        <v>219618.0</v>
      </c>
    </row>
    <row r="752">
      <c r="A752" s="1" t="s">
        <v>1711</v>
      </c>
      <c r="B752" s="1" t="s">
        <v>16</v>
      </c>
      <c r="C752" s="1">
        <v>249.2844</v>
      </c>
      <c r="D752" s="1" t="s">
        <v>17</v>
      </c>
      <c r="E752" s="1" t="s">
        <v>54</v>
      </c>
      <c r="F752" s="1">
        <v>45.3</v>
      </c>
      <c r="G752" s="1">
        <v>34.28</v>
      </c>
      <c r="H752" s="1">
        <v>1.5861339674E10</v>
      </c>
      <c r="I752" s="1">
        <v>1.979982395E10</v>
      </c>
      <c r="J752" s="2">
        <v>45572.16527777778</v>
      </c>
      <c r="K752" s="2">
        <v>45603.68263888889</v>
      </c>
      <c r="L752" s="1">
        <v>3.53</v>
      </c>
      <c r="M752" s="1">
        <v>879.97</v>
      </c>
      <c r="N752" s="1">
        <v>880.0</v>
      </c>
      <c r="O752" s="1">
        <v>73040.0</v>
      </c>
    </row>
    <row r="753">
      <c r="A753" s="1" t="s">
        <v>1712</v>
      </c>
      <c r="B753" s="1" t="s">
        <v>183</v>
      </c>
      <c r="C753" s="1">
        <v>797.4945</v>
      </c>
      <c r="D753" s="1" t="s">
        <v>17</v>
      </c>
      <c r="E753" s="1" t="s">
        <v>18</v>
      </c>
      <c r="F753" s="1">
        <v>65.91</v>
      </c>
      <c r="G753" s="1">
        <v>16.06</v>
      </c>
      <c r="H753" s="1">
        <v>9.2687205187E10</v>
      </c>
      <c r="I753" s="1">
        <v>9.7209143636E10</v>
      </c>
      <c r="J753" s="2">
        <v>45572.777083333334</v>
      </c>
      <c r="K753" s="1" t="s">
        <v>1713</v>
      </c>
      <c r="L753" s="1">
        <v>7.3</v>
      </c>
      <c r="M753" s="1">
        <v>5821.71</v>
      </c>
      <c r="N753" s="1">
        <v>5822.0</v>
      </c>
      <c r="O753" s="1">
        <v>483226.0</v>
      </c>
    </row>
    <row r="754">
      <c r="A754" s="1" t="s">
        <v>1714</v>
      </c>
      <c r="B754" s="1" t="s">
        <v>46</v>
      </c>
      <c r="C754" s="1">
        <v>226.5132</v>
      </c>
      <c r="D754" s="1" t="s">
        <v>17</v>
      </c>
      <c r="E754" s="1" t="s">
        <v>32</v>
      </c>
      <c r="F754" s="1">
        <v>54.61</v>
      </c>
      <c r="G754" s="1">
        <v>56.86</v>
      </c>
      <c r="H754" s="1">
        <v>6.3126220369E10</v>
      </c>
      <c r="I754" s="1">
        <v>6.7059945319E10</v>
      </c>
      <c r="J754" s="2">
        <v>45573.2</v>
      </c>
      <c r="K754" s="1" t="s">
        <v>1715</v>
      </c>
      <c r="L754" s="1">
        <v>5.25</v>
      </c>
      <c r="M754" s="1">
        <v>1189.19</v>
      </c>
      <c r="N754" s="1">
        <v>1189.0</v>
      </c>
      <c r="O754" s="1">
        <v>98687.0</v>
      </c>
    </row>
    <row r="755">
      <c r="A755" s="1" t="s">
        <v>1716</v>
      </c>
      <c r="B755" s="1" t="s">
        <v>36</v>
      </c>
      <c r="C755" s="1">
        <v>87.8738</v>
      </c>
      <c r="D755" s="1" t="s">
        <v>21</v>
      </c>
      <c r="E755" s="1" t="s">
        <v>22</v>
      </c>
      <c r="F755" s="1">
        <v>97.45</v>
      </c>
      <c r="G755" s="1">
        <v>80.05</v>
      </c>
      <c r="H755" s="1">
        <v>8.9316801399E10</v>
      </c>
      <c r="I755" s="1">
        <v>8.9912632274E10</v>
      </c>
      <c r="J755" s="2">
        <v>45329.4625</v>
      </c>
      <c r="K755" s="2">
        <v>45511.1125</v>
      </c>
      <c r="L755" s="1">
        <v>2.5</v>
      </c>
      <c r="M755" s="1">
        <v>219.68</v>
      </c>
      <c r="N755" s="1">
        <v>220.0</v>
      </c>
      <c r="O755" s="1">
        <v>18260.0</v>
      </c>
    </row>
    <row r="756">
      <c r="A756" s="1" t="s">
        <v>1717</v>
      </c>
      <c r="B756" s="1" t="s">
        <v>112</v>
      </c>
      <c r="C756" s="1">
        <v>143.3</v>
      </c>
      <c r="D756" s="1" t="s">
        <v>42</v>
      </c>
      <c r="E756" s="1" t="s">
        <v>22</v>
      </c>
      <c r="F756" s="1">
        <v>80.47</v>
      </c>
      <c r="G756" s="1">
        <v>96.47</v>
      </c>
      <c r="H756" s="1">
        <v>4.2366270242E10</v>
      </c>
      <c r="I756" s="1">
        <v>4.8866602335E10</v>
      </c>
      <c r="J756" s="1" t="s">
        <v>1718</v>
      </c>
      <c r="K756" s="1" t="s">
        <v>1719</v>
      </c>
      <c r="L756" s="1">
        <v>4.37</v>
      </c>
      <c r="M756" s="1">
        <v>626.22</v>
      </c>
      <c r="N756" s="1">
        <v>626.0</v>
      </c>
      <c r="O756" s="1">
        <v>51958.0</v>
      </c>
    </row>
    <row r="757">
      <c r="A757" s="1" t="s">
        <v>1720</v>
      </c>
      <c r="B757" s="1" t="s">
        <v>139</v>
      </c>
      <c r="C757" s="1">
        <v>25.5</v>
      </c>
      <c r="D757" s="1" t="s">
        <v>42</v>
      </c>
      <c r="E757" s="1" t="s">
        <v>37</v>
      </c>
      <c r="F757" s="1">
        <v>62.01</v>
      </c>
      <c r="G757" s="1">
        <v>87.4</v>
      </c>
      <c r="H757" s="1">
        <v>2.8455636699E10</v>
      </c>
      <c r="I757" s="1">
        <v>3.6029218777E10</v>
      </c>
      <c r="J757" s="2">
        <v>45543.325</v>
      </c>
      <c r="K757" s="2">
        <v>45573.3875</v>
      </c>
      <c r="L757" s="1">
        <v>4.24</v>
      </c>
      <c r="M757" s="1">
        <v>108.12</v>
      </c>
      <c r="N757" s="1">
        <v>108.0</v>
      </c>
      <c r="O757" s="1">
        <v>8964.0</v>
      </c>
    </row>
    <row r="758">
      <c r="A758" s="1" t="s">
        <v>1721</v>
      </c>
      <c r="B758" s="1" t="s">
        <v>41</v>
      </c>
      <c r="C758" s="1">
        <v>80.2667</v>
      </c>
      <c r="D758" s="1" t="s">
        <v>42</v>
      </c>
      <c r="E758" s="1" t="s">
        <v>22</v>
      </c>
      <c r="F758" s="1">
        <v>31.15</v>
      </c>
      <c r="G758" s="1">
        <v>9.74</v>
      </c>
      <c r="H758" s="1">
        <v>9.3211993022E10</v>
      </c>
      <c r="I758" s="3">
        <v>1.01672E11</v>
      </c>
      <c r="J758" s="2">
        <v>45450.15902777778</v>
      </c>
      <c r="K758" s="2">
        <v>45542.50347222222</v>
      </c>
      <c r="L758" s="1">
        <v>7.62</v>
      </c>
      <c r="M758" s="1">
        <v>611.63</v>
      </c>
      <c r="N758" s="1">
        <v>612.0</v>
      </c>
      <c r="O758" s="1">
        <v>50796.0</v>
      </c>
    </row>
    <row r="759">
      <c r="A759" s="1" t="s">
        <v>1722</v>
      </c>
      <c r="B759" s="1" t="s">
        <v>79</v>
      </c>
      <c r="C759" s="1">
        <v>417.9798</v>
      </c>
      <c r="D759" s="1" t="s">
        <v>17</v>
      </c>
      <c r="E759" s="1" t="s">
        <v>27</v>
      </c>
      <c r="F759" s="1">
        <v>14.52</v>
      </c>
      <c r="G759" s="1">
        <v>59.68</v>
      </c>
      <c r="H759" s="1">
        <v>8.6429005279E10</v>
      </c>
      <c r="I759" s="1">
        <v>9.4562441355E10</v>
      </c>
      <c r="J759" s="1" t="s">
        <v>1723</v>
      </c>
      <c r="K759" s="1" t="s">
        <v>1724</v>
      </c>
      <c r="L759" s="1">
        <v>9.82</v>
      </c>
      <c r="M759" s="1">
        <v>4104.56</v>
      </c>
      <c r="N759" s="1">
        <v>4105.0</v>
      </c>
      <c r="O759" s="1">
        <v>340715.0</v>
      </c>
    </row>
    <row r="760">
      <c r="A760" s="1" t="s">
        <v>1725</v>
      </c>
      <c r="B760" s="1" t="s">
        <v>166</v>
      </c>
      <c r="C760" s="1">
        <v>438.1467</v>
      </c>
      <c r="D760" s="1" t="s">
        <v>17</v>
      </c>
      <c r="E760" s="1" t="s">
        <v>74</v>
      </c>
      <c r="F760" s="1">
        <v>80.25</v>
      </c>
      <c r="G760" s="1">
        <v>53.74</v>
      </c>
      <c r="H760" s="1">
        <v>6.6205049163E10</v>
      </c>
      <c r="I760" s="1">
        <v>7.5089217569E10</v>
      </c>
      <c r="J760" s="2">
        <v>45573.009722222225</v>
      </c>
      <c r="K760" s="1" t="s">
        <v>1726</v>
      </c>
      <c r="L760" s="1">
        <v>2.69</v>
      </c>
      <c r="M760" s="1">
        <v>1178.61</v>
      </c>
      <c r="N760" s="1">
        <v>1179.0</v>
      </c>
      <c r="O760" s="1">
        <v>97857.0</v>
      </c>
    </row>
    <row r="761">
      <c r="A761" s="1" t="s">
        <v>1727</v>
      </c>
      <c r="B761" s="1" t="s">
        <v>183</v>
      </c>
      <c r="C761" s="1">
        <v>568.0884</v>
      </c>
      <c r="D761" s="1" t="s">
        <v>21</v>
      </c>
      <c r="E761" s="1" t="s">
        <v>105</v>
      </c>
      <c r="F761" s="1">
        <v>59.15</v>
      </c>
      <c r="G761" s="1">
        <v>20.62</v>
      </c>
      <c r="H761" s="1">
        <v>4.3277879187E10</v>
      </c>
      <c r="I761" s="1">
        <v>5.0138790345E10</v>
      </c>
      <c r="J761" s="1" t="s">
        <v>1728</v>
      </c>
      <c r="K761" s="1" t="s">
        <v>1729</v>
      </c>
      <c r="L761" s="1">
        <v>6.52</v>
      </c>
      <c r="M761" s="1">
        <v>3703.94</v>
      </c>
      <c r="N761" s="1">
        <v>3704.0</v>
      </c>
      <c r="O761" s="1">
        <v>307432.0</v>
      </c>
    </row>
    <row r="762">
      <c r="A762" s="1" t="s">
        <v>1730</v>
      </c>
      <c r="B762" s="1" t="s">
        <v>62</v>
      </c>
      <c r="C762" s="1">
        <v>139.5167</v>
      </c>
      <c r="D762" s="1" t="s">
        <v>42</v>
      </c>
      <c r="E762" s="1" t="s">
        <v>58</v>
      </c>
      <c r="F762" s="1">
        <v>34.64</v>
      </c>
      <c r="G762" s="1">
        <v>35.93</v>
      </c>
      <c r="H762" s="1">
        <v>2.537925189E9</v>
      </c>
      <c r="I762" s="1">
        <v>9.859247924E9</v>
      </c>
      <c r="J762" s="1" t="s">
        <v>1731</v>
      </c>
      <c r="K762" s="1" t="s">
        <v>1732</v>
      </c>
      <c r="L762" s="1">
        <v>2.38</v>
      </c>
      <c r="M762" s="1">
        <v>332.05</v>
      </c>
      <c r="N762" s="1">
        <v>332.0</v>
      </c>
      <c r="O762" s="1">
        <v>27556.0</v>
      </c>
    </row>
    <row r="763">
      <c r="A763" s="1" t="s">
        <v>1733</v>
      </c>
      <c r="B763" s="1" t="s">
        <v>53</v>
      </c>
      <c r="C763" s="1">
        <v>904.0008</v>
      </c>
      <c r="D763" s="1" t="s">
        <v>21</v>
      </c>
      <c r="E763" s="1" t="s">
        <v>27</v>
      </c>
      <c r="F763" s="1">
        <v>90.33</v>
      </c>
      <c r="G763" s="1">
        <v>23.82</v>
      </c>
      <c r="H763" s="1">
        <v>1.2342194435E10</v>
      </c>
      <c r="I763" s="1">
        <v>1.4000778703E10</v>
      </c>
      <c r="J763" s="1" t="s">
        <v>1734</v>
      </c>
      <c r="K763" s="1" t="s">
        <v>1735</v>
      </c>
      <c r="L763" s="1">
        <v>5.12</v>
      </c>
      <c r="M763" s="1">
        <v>4628.48</v>
      </c>
      <c r="N763" s="1">
        <v>4628.0</v>
      </c>
      <c r="O763" s="1">
        <v>384124.0</v>
      </c>
    </row>
    <row r="764">
      <c r="A764" s="1" t="s">
        <v>1736</v>
      </c>
      <c r="B764" s="1" t="s">
        <v>99</v>
      </c>
      <c r="C764" s="1">
        <v>805.2556</v>
      </c>
      <c r="D764" s="1" t="s">
        <v>17</v>
      </c>
      <c r="E764" s="1" t="s">
        <v>54</v>
      </c>
      <c r="F764" s="1">
        <v>1.32</v>
      </c>
      <c r="G764" s="1">
        <v>59.95</v>
      </c>
      <c r="H764" s="1">
        <v>1.000234937E10</v>
      </c>
      <c r="I764" s="1">
        <v>1.8870602491E10</v>
      </c>
      <c r="J764" s="2">
        <v>45572.46041666667</v>
      </c>
      <c r="K764" s="1" t="s">
        <v>1737</v>
      </c>
      <c r="L764" s="1">
        <v>8.36</v>
      </c>
      <c r="M764" s="1">
        <v>6731.94</v>
      </c>
      <c r="N764" s="1">
        <v>6732.0</v>
      </c>
      <c r="O764" s="1">
        <v>558756.0</v>
      </c>
    </row>
    <row r="765">
      <c r="A765" s="1" t="s">
        <v>1738</v>
      </c>
      <c r="B765" s="1" t="s">
        <v>79</v>
      </c>
      <c r="C765" s="1">
        <v>428.4611</v>
      </c>
      <c r="D765" s="1" t="s">
        <v>17</v>
      </c>
      <c r="E765" s="1" t="s">
        <v>22</v>
      </c>
      <c r="F765" s="1">
        <v>21.6</v>
      </c>
      <c r="G765" s="1">
        <v>39.95</v>
      </c>
      <c r="H765" s="1">
        <v>8.0097248991E10</v>
      </c>
      <c r="I765" s="1">
        <v>8.2775898387E10</v>
      </c>
      <c r="J765" s="1" t="s">
        <v>1739</v>
      </c>
      <c r="K765" s="1" t="s">
        <v>1740</v>
      </c>
      <c r="L765" s="1">
        <v>6.4</v>
      </c>
      <c r="M765" s="1">
        <v>2742.15</v>
      </c>
      <c r="N765" s="1">
        <v>2742.0</v>
      </c>
      <c r="O765" s="1">
        <v>227586.0</v>
      </c>
    </row>
    <row r="766">
      <c r="A766" s="1" t="s">
        <v>1741</v>
      </c>
      <c r="B766" s="1" t="s">
        <v>57</v>
      </c>
      <c r="C766" s="1">
        <v>812.9251</v>
      </c>
      <c r="D766" s="1" t="s">
        <v>21</v>
      </c>
      <c r="E766" s="1" t="s">
        <v>22</v>
      </c>
      <c r="F766" s="1">
        <v>54.66</v>
      </c>
      <c r="G766" s="1">
        <v>80.7</v>
      </c>
      <c r="H766" s="1">
        <v>2.8070401971E10</v>
      </c>
      <c r="I766" s="1">
        <v>3.6292263633E10</v>
      </c>
      <c r="J766" s="2">
        <v>45330.97083333333</v>
      </c>
      <c r="K766" s="2">
        <v>45420.17847222222</v>
      </c>
      <c r="L766" s="1">
        <v>8.7</v>
      </c>
      <c r="M766" s="1">
        <v>7072.45</v>
      </c>
      <c r="N766" s="1">
        <v>7072.0</v>
      </c>
      <c r="O766" s="1">
        <v>586976.0</v>
      </c>
    </row>
    <row r="767">
      <c r="A767" s="1" t="s">
        <v>1742</v>
      </c>
      <c r="B767" s="1" t="s">
        <v>169</v>
      </c>
      <c r="C767" s="1">
        <v>780.5168</v>
      </c>
      <c r="D767" s="1" t="s">
        <v>21</v>
      </c>
      <c r="E767" s="1" t="s">
        <v>70</v>
      </c>
      <c r="F767" s="1">
        <v>32.98</v>
      </c>
      <c r="G767" s="1">
        <v>73.1</v>
      </c>
      <c r="H767" s="1">
        <v>9.1751558202E10</v>
      </c>
      <c r="I767" s="1">
        <v>9.566018434E10</v>
      </c>
      <c r="J767" s="1" t="s">
        <v>1743</v>
      </c>
      <c r="K767" s="1" t="s">
        <v>1744</v>
      </c>
      <c r="L767" s="1">
        <v>9.68</v>
      </c>
      <c r="M767" s="1">
        <v>7555.4</v>
      </c>
      <c r="N767" s="1">
        <v>7555.0</v>
      </c>
      <c r="O767" s="1">
        <v>627065.0</v>
      </c>
    </row>
    <row r="768">
      <c r="A768" s="1" t="s">
        <v>1745</v>
      </c>
      <c r="B768" s="1" t="s">
        <v>183</v>
      </c>
      <c r="C768" s="1">
        <v>652.3815</v>
      </c>
      <c r="D768" s="1" t="s">
        <v>17</v>
      </c>
      <c r="E768" s="1" t="s">
        <v>74</v>
      </c>
      <c r="F768" s="1">
        <v>85.02</v>
      </c>
      <c r="G768" s="1">
        <v>46.63</v>
      </c>
      <c r="H768" s="1">
        <v>3.1260176038E10</v>
      </c>
      <c r="I768" s="1">
        <v>4.0765531651E10</v>
      </c>
      <c r="J768" s="1" t="s">
        <v>1746</v>
      </c>
      <c r="K768" s="1" t="s">
        <v>1747</v>
      </c>
      <c r="L768" s="1">
        <v>6.72</v>
      </c>
      <c r="M768" s="1">
        <v>4384.0</v>
      </c>
      <c r="N768" s="1">
        <v>4384.0</v>
      </c>
      <c r="O768" s="1">
        <v>363872.0</v>
      </c>
    </row>
    <row r="769">
      <c r="A769" s="1" t="s">
        <v>1748</v>
      </c>
      <c r="B769" s="1" t="s">
        <v>147</v>
      </c>
      <c r="C769" s="1">
        <v>38.2833</v>
      </c>
      <c r="D769" s="1" t="s">
        <v>42</v>
      </c>
      <c r="E769" s="1" t="s">
        <v>32</v>
      </c>
      <c r="F769" s="1">
        <v>1.31</v>
      </c>
      <c r="G769" s="1">
        <v>91.65</v>
      </c>
      <c r="H769" s="1">
        <v>6.2679280845E10</v>
      </c>
      <c r="I769" s="1">
        <v>6.4790751395E10</v>
      </c>
      <c r="J769" s="2">
        <v>45480.21527777778</v>
      </c>
      <c r="K769" s="2">
        <v>45511.81041666667</v>
      </c>
      <c r="L769" s="1">
        <v>4.98</v>
      </c>
      <c r="M769" s="1">
        <v>190.65</v>
      </c>
      <c r="N769" s="1">
        <v>191.0</v>
      </c>
      <c r="O769" s="1">
        <v>15853.0</v>
      </c>
    </row>
    <row r="770">
      <c r="A770" s="1" t="s">
        <v>1749</v>
      </c>
      <c r="B770" s="1" t="s">
        <v>122</v>
      </c>
      <c r="C770" s="1">
        <v>509.2785</v>
      </c>
      <c r="D770" s="1" t="s">
        <v>21</v>
      </c>
      <c r="E770" s="1" t="s">
        <v>105</v>
      </c>
      <c r="F770" s="1">
        <v>76.47</v>
      </c>
      <c r="G770" s="1">
        <v>34.82</v>
      </c>
      <c r="H770" s="1">
        <v>9.5064475095E10</v>
      </c>
      <c r="I770" s="3">
        <v>1.03174E11</v>
      </c>
      <c r="J770" s="2">
        <v>45358.60833333333</v>
      </c>
      <c r="K770" s="2">
        <v>45511.39097222222</v>
      </c>
      <c r="L770" s="1">
        <v>2.24</v>
      </c>
      <c r="M770" s="1">
        <v>1140.78</v>
      </c>
      <c r="N770" s="1">
        <v>1141.0</v>
      </c>
      <c r="O770" s="1">
        <v>94703.0</v>
      </c>
    </row>
    <row r="771">
      <c r="A771" s="1" t="s">
        <v>1750</v>
      </c>
      <c r="B771" s="1" t="s">
        <v>166</v>
      </c>
      <c r="C771" s="1">
        <v>140.6604</v>
      </c>
      <c r="D771" s="1" t="s">
        <v>17</v>
      </c>
      <c r="E771" s="1" t="s">
        <v>32</v>
      </c>
      <c r="F771" s="1">
        <v>5.09</v>
      </c>
      <c r="G771" s="1">
        <v>86.08</v>
      </c>
      <c r="H771" s="1">
        <v>2.2144116941E10</v>
      </c>
      <c r="I771" s="1">
        <v>2.4072541629E10</v>
      </c>
      <c r="J771" s="2">
        <v>45451.319444444445</v>
      </c>
      <c r="K771" s="2">
        <v>45604.149305555555</v>
      </c>
      <c r="L771" s="1">
        <v>7.48</v>
      </c>
      <c r="M771" s="1">
        <v>1052.14</v>
      </c>
      <c r="N771" s="1">
        <v>1052.0</v>
      </c>
      <c r="O771" s="1">
        <v>87316.0</v>
      </c>
    </row>
    <row r="772">
      <c r="A772" s="1" t="s">
        <v>1751</v>
      </c>
      <c r="B772" s="1" t="s">
        <v>147</v>
      </c>
      <c r="C772" s="1">
        <v>28.6167</v>
      </c>
      <c r="D772" s="1" t="s">
        <v>42</v>
      </c>
      <c r="E772" s="1" t="s">
        <v>70</v>
      </c>
      <c r="F772" s="1">
        <v>88.9</v>
      </c>
      <c r="G772" s="1">
        <v>43.58</v>
      </c>
      <c r="H772" s="1">
        <v>5.1467578269E10</v>
      </c>
      <c r="I772" s="1">
        <v>5.4120045491E10</v>
      </c>
      <c r="J772" s="2">
        <v>45330.65138888889</v>
      </c>
      <c r="K772" s="2">
        <v>45359.84375</v>
      </c>
      <c r="L772" s="1">
        <v>4.45</v>
      </c>
      <c r="M772" s="1">
        <v>127.34</v>
      </c>
      <c r="N772" s="1">
        <v>127.0</v>
      </c>
      <c r="O772" s="1">
        <v>10541.0</v>
      </c>
    </row>
    <row r="773">
      <c r="A773" s="1" t="s">
        <v>1752</v>
      </c>
      <c r="B773" s="1" t="s">
        <v>147</v>
      </c>
      <c r="C773" s="1">
        <v>50.3167</v>
      </c>
      <c r="D773" s="1" t="s">
        <v>42</v>
      </c>
      <c r="E773" s="1" t="s">
        <v>105</v>
      </c>
      <c r="F773" s="1">
        <v>19.67</v>
      </c>
      <c r="G773" s="1">
        <v>91.21</v>
      </c>
      <c r="H773" s="1">
        <v>6.5677197554E10</v>
      </c>
      <c r="I773" s="1">
        <v>7.0195330812E10</v>
      </c>
      <c r="J773" s="1" t="s">
        <v>1753</v>
      </c>
      <c r="K773" s="1" t="s">
        <v>1754</v>
      </c>
      <c r="L773" s="1">
        <v>8.08</v>
      </c>
      <c r="M773" s="1">
        <v>406.56</v>
      </c>
      <c r="N773" s="1">
        <v>407.0</v>
      </c>
      <c r="O773" s="1">
        <v>33781.0</v>
      </c>
    </row>
    <row r="774">
      <c r="A774" s="1" t="s">
        <v>1755</v>
      </c>
      <c r="B774" s="1" t="s">
        <v>36</v>
      </c>
      <c r="C774" s="1">
        <v>305.5855</v>
      </c>
      <c r="D774" s="1" t="s">
        <v>21</v>
      </c>
      <c r="E774" s="1" t="s">
        <v>37</v>
      </c>
      <c r="F774" s="1">
        <v>24.27</v>
      </c>
      <c r="G774" s="1">
        <v>80.79</v>
      </c>
      <c r="H774" s="1">
        <v>7.9774742812E10</v>
      </c>
      <c r="I774" s="1">
        <v>8.9116433619E10</v>
      </c>
      <c r="J774" s="1" t="s">
        <v>1756</v>
      </c>
      <c r="K774" s="1" t="s">
        <v>1757</v>
      </c>
      <c r="L774" s="1">
        <v>6.57</v>
      </c>
      <c r="M774" s="1">
        <v>2007.7</v>
      </c>
      <c r="N774" s="1">
        <v>2008.0</v>
      </c>
      <c r="O774" s="1">
        <v>166664.0</v>
      </c>
    </row>
    <row r="775">
      <c r="A775" s="1" t="s">
        <v>1758</v>
      </c>
      <c r="B775" s="1" t="s">
        <v>53</v>
      </c>
      <c r="C775" s="1">
        <v>676.7908</v>
      </c>
      <c r="D775" s="1" t="s">
        <v>17</v>
      </c>
      <c r="E775" s="1" t="s">
        <v>18</v>
      </c>
      <c r="F775" s="1">
        <v>79.25</v>
      </c>
      <c r="G775" s="1">
        <v>88.04</v>
      </c>
      <c r="H775" s="1">
        <v>1.1948780908E10</v>
      </c>
      <c r="I775" s="1">
        <v>2.0615994972E10</v>
      </c>
      <c r="J775" s="1" t="s">
        <v>1759</v>
      </c>
      <c r="K775" s="1" t="s">
        <v>1760</v>
      </c>
      <c r="L775" s="1">
        <v>6.11</v>
      </c>
      <c r="M775" s="1">
        <v>4135.19</v>
      </c>
      <c r="N775" s="1">
        <v>4135.0</v>
      </c>
      <c r="O775" s="1">
        <v>343205.0</v>
      </c>
    </row>
    <row r="776">
      <c r="A776" s="1" t="s">
        <v>1761</v>
      </c>
      <c r="B776" s="1" t="s">
        <v>20</v>
      </c>
      <c r="C776" s="1">
        <v>495.8071</v>
      </c>
      <c r="D776" s="1" t="s">
        <v>17</v>
      </c>
      <c r="E776" s="1" t="s">
        <v>22</v>
      </c>
      <c r="F776" s="1">
        <v>59.62</v>
      </c>
      <c r="G776" s="1">
        <v>83.14</v>
      </c>
      <c r="H776" s="1">
        <v>4.84838864E10</v>
      </c>
      <c r="I776" s="1">
        <v>5.0532876187E10</v>
      </c>
      <c r="J776" s="2">
        <v>45511.02222222222</v>
      </c>
      <c r="K776" s="1" t="s">
        <v>1762</v>
      </c>
      <c r="L776" s="1">
        <v>2.51</v>
      </c>
      <c r="M776" s="1">
        <v>1244.48</v>
      </c>
      <c r="N776" s="1">
        <v>1244.0</v>
      </c>
      <c r="O776" s="1">
        <v>103252.0</v>
      </c>
    </row>
    <row r="777">
      <c r="A777" s="1" t="s">
        <v>1763</v>
      </c>
      <c r="B777" s="1" t="s">
        <v>53</v>
      </c>
      <c r="C777" s="1">
        <v>510.126</v>
      </c>
      <c r="D777" s="1" t="s">
        <v>21</v>
      </c>
      <c r="E777" s="1" t="s">
        <v>70</v>
      </c>
      <c r="F777" s="1">
        <v>47.74</v>
      </c>
      <c r="G777" s="1">
        <v>44.67</v>
      </c>
      <c r="H777" s="1">
        <v>3.0086018529E10</v>
      </c>
      <c r="I777" s="1">
        <v>3.9239617577E10</v>
      </c>
      <c r="J777" s="2">
        <v>45451.26875</v>
      </c>
      <c r="K777" s="2">
        <v>45573.05902777778</v>
      </c>
      <c r="L777" s="1">
        <v>5.27</v>
      </c>
      <c r="M777" s="1">
        <v>2688.36</v>
      </c>
      <c r="N777" s="1">
        <v>2688.0</v>
      </c>
      <c r="O777" s="1">
        <v>223104.0</v>
      </c>
    </row>
    <row r="778">
      <c r="A778" s="1" t="s">
        <v>1764</v>
      </c>
      <c r="B778" s="1" t="s">
        <v>183</v>
      </c>
      <c r="C778" s="1">
        <v>195.2324</v>
      </c>
      <c r="D778" s="1" t="s">
        <v>17</v>
      </c>
      <c r="E778" s="1" t="s">
        <v>74</v>
      </c>
      <c r="F778" s="1">
        <v>44.2</v>
      </c>
      <c r="G778" s="1">
        <v>31.66</v>
      </c>
      <c r="H778" s="1">
        <v>1.9782768099E10</v>
      </c>
      <c r="I778" s="1">
        <v>2.8473435562E10</v>
      </c>
      <c r="J778" s="1" t="s">
        <v>1765</v>
      </c>
      <c r="K778" s="1" t="s">
        <v>1766</v>
      </c>
      <c r="L778" s="1">
        <v>9.03</v>
      </c>
      <c r="M778" s="1">
        <v>1762.95</v>
      </c>
      <c r="N778" s="1">
        <v>1763.0</v>
      </c>
      <c r="O778" s="1">
        <v>146329.0</v>
      </c>
    </row>
    <row r="779">
      <c r="A779" s="1" t="s">
        <v>1767</v>
      </c>
      <c r="B779" s="1" t="s">
        <v>350</v>
      </c>
      <c r="C779" s="1">
        <v>20.3487</v>
      </c>
      <c r="D779" s="1" t="s">
        <v>21</v>
      </c>
      <c r="E779" s="1" t="s">
        <v>123</v>
      </c>
      <c r="F779" s="1">
        <v>51.86</v>
      </c>
      <c r="G779" s="1">
        <v>87.87</v>
      </c>
      <c r="H779" s="1">
        <v>4.7040973113E10</v>
      </c>
      <c r="I779" s="1">
        <v>5.3821970678E10</v>
      </c>
      <c r="J779" s="1" t="s">
        <v>1768</v>
      </c>
      <c r="K779" s="1" t="s">
        <v>1769</v>
      </c>
      <c r="L779" s="1">
        <v>7.71</v>
      </c>
      <c r="M779" s="1">
        <v>156.89</v>
      </c>
      <c r="N779" s="1">
        <v>157.0</v>
      </c>
      <c r="O779" s="1">
        <v>13031.0</v>
      </c>
    </row>
    <row r="780">
      <c r="A780" s="1" t="s">
        <v>1770</v>
      </c>
      <c r="B780" s="1" t="s">
        <v>139</v>
      </c>
      <c r="C780" s="1">
        <v>135.5667</v>
      </c>
      <c r="D780" s="1" t="s">
        <v>42</v>
      </c>
      <c r="E780" s="1" t="s">
        <v>58</v>
      </c>
      <c r="F780" s="1">
        <v>70.13</v>
      </c>
      <c r="G780" s="1">
        <v>59.73</v>
      </c>
      <c r="H780" s="1">
        <v>5.6740180306E10</v>
      </c>
      <c r="I780" s="1">
        <v>6.3344615356E10</v>
      </c>
      <c r="J780" s="2">
        <v>45511.48055555556</v>
      </c>
      <c r="K780" s="1" t="s">
        <v>1771</v>
      </c>
      <c r="L780" s="1">
        <v>6.03</v>
      </c>
      <c r="M780" s="1">
        <v>817.47</v>
      </c>
      <c r="N780" s="1">
        <v>817.0</v>
      </c>
      <c r="O780" s="1">
        <v>67811.0</v>
      </c>
    </row>
    <row r="781">
      <c r="A781" s="1" t="s">
        <v>1772</v>
      </c>
      <c r="B781" s="1" t="s">
        <v>112</v>
      </c>
      <c r="C781" s="1">
        <v>42.6833</v>
      </c>
      <c r="D781" s="1" t="s">
        <v>42</v>
      </c>
      <c r="E781" s="1" t="s">
        <v>22</v>
      </c>
      <c r="F781" s="1">
        <v>71.61</v>
      </c>
      <c r="G781" s="1">
        <v>91.37</v>
      </c>
      <c r="H781" s="1">
        <v>9.441641312E10</v>
      </c>
      <c r="I781" s="1">
        <v>9.9109623578E10</v>
      </c>
      <c r="J781" s="1" t="s">
        <v>1773</v>
      </c>
      <c r="K781" s="1" t="s">
        <v>1774</v>
      </c>
      <c r="L781" s="1">
        <v>3.08</v>
      </c>
      <c r="M781" s="1">
        <v>131.46</v>
      </c>
      <c r="N781" s="1">
        <v>131.0</v>
      </c>
      <c r="O781" s="1">
        <v>10873.0</v>
      </c>
    </row>
    <row r="782">
      <c r="A782" s="1" t="s">
        <v>1775</v>
      </c>
      <c r="B782" s="1" t="s">
        <v>122</v>
      </c>
      <c r="C782" s="1">
        <v>402.5675</v>
      </c>
      <c r="D782" s="1" t="s">
        <v>17</v>
      </c>
      <c r="E782" s="1" t="s">
        <v>22</v>
      </c>
      <c r="F782" s="1">
        <v>74.65</v>
      </c>
      <c r="G782" s="1">
        <v>31.91</v>
      </c>
      <c r="H782" s="1">
        <v>8.2571392245E10</v>
      </c>
      <c r="I782" s="1">
        <v>8.5057712051E10</v>
      </c>
      <c r="J782" s="1" t="s">
        <v>1776</v>
      </c>
      <c r="K782" s="1" t="s">
        <v>1777</v>
      </c>
      <c r="L782" s="1">
        <v>7.38</v>
      </c>
      <c r="M782" s="1">
        <v>2970.95</v>
      </c>
      <c r="N782" s="1">
        <v>2971.0</v>
      </c>
      <c r="O782" s="1">
        <v>246593.0</v>
      </c>
    </row>
    <row r="783">
      <c r="A783" s="1" t="s">
        <v>1778</v>
      </c>
      <c r="B783" s="1" t="s">
        <v>166</v>
      </c>
      <c r="C783" s="1">
        <v>493.3255</v>
      </c>
      <c r="D783" s="1" t="s">
        <v>21</v>
      </c>
      <c r="E783" s="1" t="s">
        <v>22</v>
      </c>
      <c r="F783" s="1">
        <v>92.08</v>
      </c>
      <c r="G783" s="1">
        <v>70.7</v>
      </c>
      <c r="H783" s="1">
        <v>2.0635699503E10</v>
      </c>
      <c r="I783" s="1">
        <v>2.073580511E10</v>
      </c>
      <c r="J783" s="1" t="s">
        <v>1779</v>
      </c>
      <c r="K783" s="1" t="s">
        <v>1780</v>
      </c>
      <c r="L783" s="1">
        <v>7.35</v>
      </c>
      <c r="M783" s="1">
        <v>3625.94</v>
      </c>
      <c r="N783" s="1">
        <v>3626.0</v>
      </c>
      <c r="O783" s="1">
        <v>300958.0</v>
      </c>
    </row>
    <row r="784">
      <c r="A784" s="1" t="s">
        <v>1781</v>
      </c>
      <c r="B784" s="1" t="s">
        <v>139</v>
      </c>
      <c r="C784" s="1">
        <v>112.4333</v>
      </c>
      <c r="D784" s="1" t="s">
        <v>42</v>
      </c>
      <c r="E784" s="1" t="s">
        <v>32</v>
      </c>
      <c r="F784" s="1">
        <v>52.52</v>
      </c>
      <c r="G784" s="1">
        <v>97.7</v>
      </c>
      <c r="H784" s="1">
        <v>3.5401774619E10</v>
      </c>
      <c r="I784" s="1">
        <v>4.4386018898E10</v>
      </c>
      <c r="J784" s="2">
        <v>45358.38125</v>
      </c>
      <c r="K784" s="2">
        <v>45511.06597222222</v>
      </c>
      <c r="L784" s="1">
        <v>4.63</v>
      </c>
      <c r="M784" s="1">
        <v>520.57</v>
      </c>
      <c r="N784" s="1">
        <v>521.0</v>
      </c>
      <c r="O784" s="1">
        <v>43243.0</v>
      </c>
    </row>
    <row r="785">
      <c r="A785" s="1" t="s">
        <v>1782</v>
      </c>
      <c r="B785" s="1" t="s">
        <v>128</v>
      </c>
      <c r="C785" s="1">
        <v>685.6808</v>
      </c>
      <c r="D785" s="1" t="s">
        <v>17</v>
      </c>
      <c r="E785" s="1" t="s">
        <v>123</v>
      </c>
      <c r="F785" s="1">
        <v>6.07</v>
      </c>
      <c r="G785" s="1">
        <v>48.18</v>
      </c>
      <c r="H785" s="1">
        <v>8.6499354372E10</v>
      </c>
      <c r="I785" s="1">
        <v>9.1996827106E10</v>
      </c>
      <c r="J785" s="1" t="s">
        <v>1783</v>
      </c>
      <c r="K785" s="1" t="s">
        <v>1784</v>
      </c>
      <c r="L785" s="1">
        <v>4.9</v>
      </c>
      <c r="M785" s="1">
        <v>3359.84</v>
      </c>
      <c r="N785" s="1">
        <v>3360.0</v>
      </c>
      <c r="O785" s="1">
        <v>278880.0</v>
      </c>
    </row>
    <row r="786">
      <c r="A786" s="1" t="s">
        <v>1785</v>
      </c>
      <c r="B786" s="1" t="s">
        <v>350</v>
      </c>
      <c r="C786" s="1">
        <v>11.9494</v>
      </c>
      <c r="D786" s="1" t="s">
        <v>17</v>
      </c>
      <c r="E786" s="1" t="s">
        <v>27</v>
      </c>
      <c r="F786" s="1">
        <v>94.02</v>
      </c>
      <c r="G786" s="1">
        <v>16.06</v>
      </c>
      <c r="H786" s="1">
        <v>7.6472318775E10</v>
      </c>
      <c r="I786" s="1">
        <v>8.1965940657E10</v>
      </c>
      <c r="J786" s="2">
        <v>45543.42986111111</v>
      </c>
      <c r="K786" s="1" t="s">
        <v>1786</v>
      </c>
      <c r="L786" s="1">
        <v>7.2</v>
      </c>
      <c r="M786" s="1">
        <v>86.04</v>
      </c>
      <c r="N786" s="1">
        <v>86.0</v>
      </c>
      <c r="O786" s="1">
        <v>7138.0</v>
      </c>
    </row>
    <row r="787">
      <c r="A787" s="1" t="s">
        <v>1787</v>
      </c>
      <c r="B787" s="1" t="s">
        <v>122</v>
      </c>
      <c r="C787" s="1">
        <v>763.7549</v>
      </c>
      <c r="D787" s="1" t="s">
        <v>17</v>
      </c>
      <c r="E787" s="1" t="s">
        <v>18</v>
      </c>
      <c r="F787" s="1">
        <v>23.07</v>
      </c>
      <c r="G787" s="1">
        <v>31.52</v>
      </c>
      <c r="H787" s="1">
        <v>7.5882534919E10</v>
      </c>
      <c r="I787" s="1">
        <v>8.4257405517E10</v>
      </c>
      <c r="J787" s="1" t="s">
        <v>1788</v>
      </c>
      <c r="K787" s="1" t="s">
        <v>1789</v>
      </c>
      <c r="L787" s="1">
        <v>1.38</v>
      </c>
      <c r="M787" s="1">
        <v>1053.98</v>
      </c>
      <c r="N787" s="1">
        <v>1054.0</v>
      </c>
      <c r="O787" s="1">
        <v>87482.0</v>
      </c>
    </row>
    <row r="788">
      <c r="A788" s="1" t="s">
        <v>1790</v>
      </c>
      <c r="B788" s="1" t="s">
        <v>273</v>
      </c>
      <c r="C788" s="1">
        <v>217.4256</v>
      </c>
      <c r="D788" s="1" t="s">
        <v>21</v>
      </c>
      <c r="E788" s="1" t="s">
        <v>155</v>
      </c>
      <c r="F788" s="1">
        <v>18.53</v>
      </c>
      <c r="G788" s="1">
        <v>30.3</v>
      </c>
      <c r="H788" s="1">
        <v>2.042767077E10</v>
      </c>
      <c r="I788" s="1">
        <v>2.203389886E10</v>
      </c>
      <c r="J788" s="2">
        <v>45480.57847222222</v>
      </c>
      <c r="K788" s="2">
        <v>45603.30694444444</v>
      </c>
      <c r="L788" s="1">
        <v>9.19</v>
      </c>
      <c r="M788" s="1">
        <v>1998.14</v>
      </c>
      <c r="N788" s="1">
        <v>1998.0</v>
      </c>
      <c r="O788" s="1">
        <v>165834.0</v>
      </c>
    </row>
    <row r="789">
      <c r="A789" s="1" t="s">
        <v>1791</v>
      </c>
      <c r="B789" s="1" t="s">
        <v>46</v>
      </c>
      <c r="C789" s="1">
        <v>833.7372</v>
      </c>
      <c r="D789" s="1" t="s">
        <v>17</v>
      </c>
      <c r="E789" s="1" t="s">
        <v>105</v>
      </c>
      <c r="F789" s="1">
        <v>74.93</v>
      </c>
      <c r="G789" s="1">
        <v>39.42</v>
      </c>
      <c r="H789" s="1">
        <v>7.3106122811E10</v>
      </c>
      <c r="I789" s="1">
        <v>7.8832078777E10</v>
      </c>
      <c r="J789" s="1" t="s">
        <v>1792</v>
      </c>
      <c r="K789" s="1" t="s">
        <v>1793</v>
      </c>
      <c r="L789" s="1">
        <v>8.79</v>
      </c>
      <c r="M789" s="1">
        <v>7328.55</v>
      </c>
      <c r="N789" s="1">
        <v>7329.0</v>
      </c>
      <c r="O789" s="1">
        <v>608307.0</v>
      </c>
    </row>
    <row r="790">
      <c r="A790" s="1" t="s">
        <v>1794</v>
      </c>
      <c r="B790" s="1" t="s">
        <v>273</v>
      </c>
      <c r="C790" s="1">
        <v>56.2214</v>
      </c>
      <c r="D790" s="1" t="s">
        <v>21</v>
      </c>
      <c r="E790" s="1" t="s">
        <v>105</v>
      </c>
      <c r="F790" s="1">
        <v>94.49</v>
      </c>
      <c r="G790" s="1">
        <v>62.81</v>
      </c>
      <c r="H790" s="1">
        <v>2.2376598442E10</v>
      </c>
      <c r="I790" s="1">
        <v>2.738175272E10</v>
      </c>
      <c r="J790" s="1" t="s">
        <v>1795</v>
      </c>
      <c r="K790" s="1" t="s">
        <v>1796</v>
      </c>
      <c r="L790" s="1">
        <v>3.78</v>
      </c>
      <c r="M790" s="1">
        <v>212.52</v>
      </c>
      <c r="N790" s="1">
        <v>213.0</v>
      </c>
      <c r="O790" s="1">
        <v>17679.0</v>
      </c>
    </row>
    <row r="791">
      <c r="A791" s="1" t="s">
        <v>1797</v>
      </c>
      <c r="B791" s="1" t="s">
        <v>83</v>
      </c>
      <c r="C791" s="1">
        <v>910.6406</v>
      </c>
      <c r="D791" s="1" t="s">
        <v>21</v>
      </c>
      <c r="E791" s="1" t="s">
        <v>105</v>
      </c>
      <c r="F791" s="1">
        <v>39.04</v>
      </c>
      <c r="G791" s="1">
        <v>90.32</v>
      </c>
      <c r="H791" s="1">
        <v>7.0554590057E10</v>
      </c>
      <c r="I791" s="1">
        <v>7.5016268178E10</v>
      </c>
      <c r="J791" s="2">
        <v>45604.205555555556</v>
      </c>
      <c r="K791" s="1" t="s">
        <v>1798</v>
      </c>
      <c r="L791" s="1">
        <v>1.31</v>
      </c>
      <c r="M791" s="1">
        <v>1192.94</v>
      </c>
      <c r="N791" s="1">
        <v>1193.0</v>
      </c>
      <c r="O791" s="1">
        <v>99019.0</v>
      </c>
    </row>
    <row r="792">
      <c r="A792" s="1" t="s">
        <v>1799</v>
      </c>
      <c r="B792" s="1" t="s">
        <v>20</v>
      </c>
      <c r="C792" s="1">
        <v>566.6421</v>
      </c>
      <c r="D792" s="1" t="s">
        <v>17</v>
      </c>
      <c r="E792" s="1" t="s">
        <v>27</v>
      </c>
      <c r="F792" s="1">
        <v>77.41</v>
      </c>
      <c r="G792" s="1">
        <v>56.61</v>
      </c>
      <c r="H792" s="1">
        <v>7.2133762805E10</v>
      </c>
      <c r="I792" s="1">
        <v>8.0350643973E10</v>
      </c>
      <c r="J792" s="2">
        <v>45603.58819444444</v>
      </c>
      <c r="K792" s="1" t="s">
        <v>1800</v>
      </c>
      <c r="L792" s="1">
        <v>2.17</v>
      </c>
      <c r="M792" s="1">
        <v>1229.61</v>
      </c>
      <c r="N792" s="1">
        <v>1230.0</v>
      </c>
      <c r="O792" s="1">
        <v>102090.0</v>
      </c>
    </row>
    <row r="793">
      <c r="A793" s="1" t="s">
        <v>1801</v>
      </c>
      <c r="B793" s="1" t="s">
        <v>83</v>
      </c>
      <c r="C793" s="1">
        <v>809.6094</v>
      </c>
      <c r="D793" s="1" t="s">
        <v>17</v>
      </c>
      <c r="E793" s="1" t="s">
        <v>32</v>
      </c>
      <c r="F793" s="1">
        <v>87.85</v>
      </c>
      <c r="G793" s="1">
        <v>37.18</v>
      </c>
      <c r="H793" s="1">
        <v>8.3122842259E10</v>
      </c>
      <c r="I793" s="1">
        <v>9.2891585359E10</v>
      </c>
      <c r="J793" s="2">
        <v>45358.54236111111</v>
      </c>
      <c r="K793" s="2">
        <v>45450.94861111111</v>
      </c>
      <c r="L793" s="1">
        <v>5.54</v>
      </c>
      <c r="M793" s="1">
        <v>4485.24</v>
      </c>
      <c r="N793" s="1">
        <v>4485.0</v>
      </c>
      <c r="O793" s="1">
        <v>372255.0</v>
      </c>
    </row>
    <row r="794">
      <c r="A794" s="1" t="s">
        <v>1802</v>
      </c>
      <c r="B794" s="1" t="s">
        <v>122</v>
      </c>
      <c r="C794" s="1">
        <v>453.4353</v>
      </c>
      <c r="D794" s="1" t="s">
        <v>21</v>
      </c>
      <c r="E794" s="1" t="s">
        <v>105</v>
      </c>
      <c r="F794" s="1">
        <v>9.78</v>
      </c>
      <c r="G794" s="1">
        <v>85.01</v>
      </c>
      <c r="H794" s="1">
        <v>3.7576289546E10</v>
      </c>
      <c r="I794" s="1">
        <v>4.5693849488E10</v>
      </c>
      <c r="J794" s="2">
        <v>45419.62291666667</v>
      </c>
      <c r="K794" s="2">
        <v>45603.09027777778</v>
      </c>
      <c r="L794" s="1">
        <v>6.45</v>
      </c>
      <c r="M794" s="1">
        <v>2924.66</v>
      </c>
      <c r="N794" s="1">
        <v>2925.0</v>
      </c>
      <c r="O794" s="1">
        <v>242775.0</v>
      </c>
    </row>
    <row r="795">
      <c r="A795" s="1" t="s">
        <v>1803</v>
      </c>
      <c r="B795" s="1" t="s">
        <v>350</v>
      </c>
      <c r="C795" s="1">
        <v>328.3641</v>
      </c>
      <c r="D795" s="1" t="s">
        <v>17</v>
      </c>
      <c r="E795" s="1" t="s">
        <v>37</v>
      </c>
      <c r="F795" s="1">
        <v>21.95</v>
      </c>
      <c r="G795" s="1">
        <v>3.74</v>
      </c>
      <c r="H795" s="1">
        <v>3.30203501E10</v>
      </c>
      <c r="I795" s="1">
        <v>4.172572813E10</v>
      </c>
      <c r="J795" s="2">
        <v>45511.72361111111</v>
      </c>
      <c r="K795" s="1" t="s">
        <v>1804</v>
      </c>
      <c r="L795" s="1">
        <v>6.78</v>
      </c>
      <c r="M795" s="1">
        <v>2226.31</v>
      </c>
      <c r="N795" s="1">
        <v>2226.0</v>
      </c>
      <c r="O795" s="1">
        <v>184758.0</v>
      </c>
    </row>
    <row r="796">
      <c r="A796" s="1" t="s">
        <v>1805</v>
      </c>
      <c r="B796" s="1" t="s">
        <v>273</v>
      </c>
      <c r="C796" s="1">
        <v>659.5464</v>
      </c>
      <c r="D796" s="1" t="s">
        <v>21</v>
      </c>
      <c r="E796" s="1" t="s">
        <v>54</v>
      </c>
      <c r="F796" s="1">
        <v>37.34</v>
      </c>
      <c r="G796" s="1">
        <v>87.67</v>
      </c>
      <c r="H796" s="1">
        <v>1.1065384355E10</v>
      </c>
      <c r="I796" s="1">
        <v>1.3147665462E10</v>
      </c>
      <c r="J796" s="1" t="s">
        <v>1806</v>
      </c>
      <c r="K796" s="1" t="s">
        <v>1807</v>
      </c>
      <c r="L796" s="1">
        <v>7.19</v>
      </c>
      <c r="M796" s="1">
        <v>4742.14</v>
      </c>
      <c r="N796" s="1">
        <v>4742.0</v>
      </c>
      <c r="O796" s="1">
        <v>393586.0</v>
      </c>
    </row>
    <row r="797">
      <c r="A797" s="1" t="s">
        <v>1808</v>
      </c>
      <c r="B797" s="1" t="s">
        <v>20</v>
      </c>
      <c r="C797" s="1">
        <v>793.7649</v>
      </c>
      <c r="D797" s="1" t="s">
        <v>21</v>
      </c>
      <c r="E797" s="1" t="s">
        <v>70</v>
      </c>
      <c r="F797" s="1">
        <v>27.33</v>
      </c>
      <c r="G797" s="1">
        <v>95.49</v>
      </c>
      <c r="H797" s="1">
        <v>8.4458700721E10</v>
      </c>
      <c r="I797" s="1">
        <v>8.7023569683E10</v>
      </c>
      <c r="J797" s="2">
        <v>45480.205555555556</v>
      </c>
      <c r="K797" s="2">
        <v>45633.21875</v>
      </c>
      <c r="L797" s="1">
        <v>2.2</v>
      </c>
      <c r="M797" s="1">
        <v>1746.28</v>
      </c>
      <c r="N797" s="1">
        <v>1746.0</v>
      </c>
      <c r="O797" s="1">
        <v>144918.0</v>
      </c>
    </row>
    <row r="798">
      <c r="A798" s="1" t="s">
        <v>1809</v>
      </c>
      <c r="B798" s="1" t="s">
        <v>79</v>
      </c>
      <c r="C798" s="1">
        <v>194.0681</v>
      </c>
      <c r="D798" s="1" t="s">
        <v>17</v>
      </c>
      <c r="E798" s="1" t="s">
        <v>27</v>
      </c>
      <c r="F798" s="1">
        <v>90.24</v>
      </c>
      <c r="G798" s="1">
        <v>74.11</v>
      </c>
      <c r="H798" s="1">
        <v>9.0235122681E10</v>
      </c>
      <c r="I798" s="1">
        <v>9.4996618262E10</v>
      </c>
      <c r="J798" s="1" t="s">
        <v>1810</v>
      </c>
      <c r="K798" s="1" t="s">
        <v>1811</v>
      </c>
      <c r="L798" s="1">
        <v>3.97</v>
      </c>
      <c r="M798" s="1">
        <v>770.45</v>
      </c>
      <c r="N798" s="1">
        <v>770.0</v>
      </c>
      <c r="O798" s="1">
        <v>63910.0</v>
      </c>
    </row>
    <row r="799">
      <c r="A799" s="1" t="s">
        <v>1812</v>
      </c>
      <c r="B799" s="1" t="s">
        <v>79</v>
      </c>
      <c r="C799" s="1">
        <v>630.455</v>
      </c>
      <c r="D799" s="1" t="s">
        <v>21</v>
      </c>
      <c r="E799" s="1" t="s">
        <v>105</v>
      </c>
      <c r="F799" s="1">
        <v>79.56</v>
      </c>
      <c r="G799" s="1">
        <v>21.86</v>
      </c>
      <c r="H799" s="1">
        <v>2.6681757591E10</v>
      </c>
      <c r="I799" s="1">
        <v>3.5780472522E10</v>
      </c>
      <c r="J799" s="1" t="s">
        <v>1813</v>
      </c>
      <c r="K799" s="2">
        <v>45419.21319444444</v>
      </c>
      <c r="L799" s="1">
        <v>8.17</v>
      </c>
      <c r="M799" s="1">
        <v>5150.82</v>
      </c>
      <c r="N799" s="1">
        <v>5151.0</v>
      </c>
      <c r="O799" s="1">
        <v>427533.0</v>
      </c>
    </row>
    <row r="800">
      <c r="A800" s="1" t="s">
        <v>1814</v>
      </c>
      <c r="B800" s="1" t="s">
        <v>273</v>
      </c>
      <c r="C800" s="1">
        <v>340.1787</v>
      </c>
      <c r="D800" s="1" t="s">
        <v>21</v>
      </c>
      <c r="E800" s="1" t="s">
        <v>123</v>
      </c>
      <c r="F800" s="1">
        <v>13.58</v>
      </c>
      <c r="G800" s="1">
        <v>33.18</v>
      </c>
      <c r="H800" s="1">
        <v>5.0524366416E10</v>
      </c>
      <c r="I800" s="1">
        <v>5.9630573021E10</v>
      </c>
      <c r="J800" s="2">
        <v>45329.38611111111</v>
      </c>
      <c r="K800" s="2">
        <v>45480.39236111111</v>
      </c>
      <c r="L800" s="1">
        <v>5.29</v>
      </c>
      <c r="M800" s="1">
        <v>1799.55</v>
      </c>
      <c r="N800" s="1">
        <v>1800.0</v>
      </c>
      <c r="O800" s="1">
        <v>149400.0</v>
      </c>
    </row>
    <row r="801">
      <c r="A801" s="1" t="s">
        <v>1815</v>
      </c>
      <c r="B801" s="1" t="s">
        <v>128</v>
      </c>
      <c r="C801" s="1">
        <v>517.1946</v>
      </c>
      <c r="D801" s="1" t="s">
        <v>21</v>
      </c>
      <c r="E801" s="1" t="s">
        <v>54</v>
      </c>
      <c r="F801" s="1">
        <v>99.97</v>
      </c>
      <c r="G801" s="1">
        <v>28.88</v>
      </c>
      <c r="H801" s="1">
        <v>1.2227499618E10</v>
      </c>
      <c r="I801" s="1">
        <v>1.3094464652E10</v>
      </c>
      <c r="J801" s="2">
        <v>45480.438888888886</v>
      </c>
      <c r="K801" s="1" t="s">
        <v>1816</v>
      </c>
      <c r="L801" s="1">
        <v>4.25</v>
      </c>
      <c r="M801" s="1">
        <v>2198.08</v>
      </c>
      <c r="N801" s="1">
        <v>2198.0</v>
      </c>
      <c r="O801" s="1">
        <v>182434.0</v>
      </c>
    </row>
    <row r="802">
      <c r="A802" s="1" t="s">
        <v>1817</v>
      </c>
      <c r="B802" s="1" t="s">
        <v>53</v>
      </c>
      <c r="C802" s="1">
        <v>665.624</v>
      </c>
      <c r="D802" s="1" t="s">
        <v>17</v>
      </c>
      <c r="E802" s="1" t="s">
        <v>27</v>
      </c>
      <c r="F802" s="1">
        <v>97.85</v>
      </c>
      <c r="G802" s="1">
        <v>91.44</v>
      </c>
      <c r="H802" s="1">
        <v>4.3211531039E10</v>
      </c>
      <c r="I802" s="1">
        <v>5.2236057299E10</v>
      </c>
      <c r="J802" s="1" t="s">
        <v>1406</v>
      </c>
      <c r="K802" s="1" t="s">
        <v>1818</v>
      </c>
      <c r="L802" s="1">
        <v>8.17</v>
      </c>
      <c r="M802" s="1">
        <v>5438.15</v>
      </c>
      <c r="N802" s="1">
        <v>5438.0</v>
      </c>
      <c r="O802" s="1">
        <v>451354.0</v>
      </c>
    </row>
    <row r="803">
      <c r="A803" s="1" t="s">
        <v>1819</v>
      </c>
      <c r="B803" s="1" t="s">
        <v>79</v>
      </c>
      <c r="C803" s="1">
        <v>432.7213</v>
      </c>
      <c r="D803" s="1" t="s">
        <v>17</v>
      </c>
      <c r="E803" s="1" t="s">
        <v>105</v>
      </c>
      <c r="F803" s="1">
        <v>40.56</v>
      </c>
      <c r="G803" s="1">
        <v>5.12</v>
      </c>
      <c r="H803" s="1">
        <v>1.1776359265E10</v>
      </c>
      <c r="I803" s="1">
        <v>2.1696342956E10</v>
      </c>
      <c r="J803" s="1" t="s">
        <v>1820</v>
      </c>
      <c r="K803" s="1" t="s">
        <v>1821</v>
      </c>
      <c r="L803" s="1">
        <v>9.06</v>
      </c>
      <c r="M803" s="1">
        <v>3920.45</v>
      </c>
      <c r="N803" s="1">
        <v>3920.0</v>
      </c>
      <c r="O803" s="1">
        <v>325360.0</v>
      </c>
    </row>
    <row r="804">
      <c r="A804" s="1" t="s">
        <v>1822</v>
      </c>
      <c r="B804" s="1" t="s">
        <v>31</v>
      </c>
      <c r="C804" s="1">
        <v>25.3189</v>
      </c>
      <c r="D804" s="1" t="s">
        <v>17</v>
      </c>
      <c r="E804" s="1" t="s">
        <v>18</v>
      </c>
      <c r="F804" s="1">
        <v>84.51</v>
      </c>
      <c r="G804" s="1">
        <v>45.14</v>
      </c>
      <c r="H804" s="1">
        <v>8.0810027545E10</v>
      </c>
      <c r="I804" s="1">
        <v>8.3529651563E10</v>
      </c>
      <c r="J804" s="2">
        <v>45604.77847222222</v>
      </c>
      <c r="K804" s="1" t="s">
        <v>1823</v>
      </c>
      <c r="L804" s="1">
        <v>8.64</v>
      </c>
      <c r="M804" s="1">
        <v>218.76</v>
      </c>
      <c r="N804" s="1">
        <v>219.0</v>
      </c>
      <c r="O804" s="1">
        <v>18177.0</v>
      </c>
    </row>
    <row r="805">
      <c r="A805" s="1" t="s">
        <v>1824</v>
      </c>
      <c r="B805" s="1" t="s">
        <v>20</v>
      </c>
      <c r="C805" s="1">
        <v>776.2808</v>
      </c>
      <c r="D805" s="1" t="s">
        <v>17</v>
      </c>
      <c r="E805" s="1" t="s">
        <v>37</v>
      </c>
      <c r="F805" s="1">
        <v>20.99</v>
      </c>
      <c r="G805" s="1">
        <v>98.45</v>
      </c>
      <c r="H805" s="1">
        <v>3.0387152004E10</v>
      </c>
      <c r="I805" s="1">
        <v>3.323331056E10</v>
      </c>
      <c r="J805" s="1" t="s">
        <v>1825</v>
      </c>
      <c r="K805" s="1" t="s">
        <v>1826</v>
      </c>
      <c r="L805" s="1">
        <v>7.81</v>
      </c>
      <c r="M805" s="1">
        <v>6062.75</v>
      </c>
      <c r="N805" s="1">
        <v>6063.0</v>
      </c>
      <c r="O805" s="1">
        <v>503229.0</v>
      </c>
    </row>
    <row r="806">
      <c r="A806" s="1" t="s">
        <v>1827</v>
      </c>
      <c r="B806" s="1" t="s">
        <v>41</v>
      </c>
      <c r="C806" s="1">
        <v>90.9833</v>
      </c>
      <c r="D806" s="1" t="s">
        <v>42</v>
      </c>
      <c r="E806" s="1" t="s">
        <v>70</v>
      </c>
      <c r="F806" s="1">
        <v>97.4</v>
      </c>
      <c r="G806" s="1">
        <v>56.97</v>
      </c>
      <c r="H806" s="1">
        <v>2.957530557E9</v>
      </c>
      <c r="I806" s="1">
        <v>5.843104167E9</v>
      </c>
      <c r="J806" s="1" t="s">
        <v>1828</v>
      </c>
      <c r="K806" s="1" t="s">
        <v>1829</v>
      </c>
      <c r="L806" s="1">
        <v>3.48</v>
      </c>
      <c r="M806" s="1">
        <v>316.62</v>
      </c>
      <c r="N806" s="1">
        <v>317.0</v>
      </c>
      <c r="O806" s="1">
        <v>26311.0</v>
      </c>
    </row>
    <row r="807">
      <c r="A807" s="1" t="s">
        <v>1830</v>
      </c>
      <c r="B807" s="1" t="s">
        <v>57</v>
      </c>
      <c r="C807" s="1">
        <v>357.5233</v>
      </c>
      <c r="D807" s="1" t="s">
        <v>21</v>
      </c>
      <c r="E807" s="1" t="s">
        <v>37</v>
      </c>
      <c r="F807" s="1">
        <v>58.89</v>
      </c>
      <c r="G807" s="1">
        <v>97.27</v>
      </c>
      <c r="H807" s="1">
        <v>4.7423037699E10</v>
      </c>
      <c r="I807" s="1">
        <v>5.0284914701E10</v>
      </c>
      <c r="J807" s="1" t="s">
        <v>1831</v>
      </c>
      <c r="K807" s="1" t="s">
        <v>1832</v>
      </c>
      <c r="L807" s="1">
        <v>5.99</v>
      </c>
      <c r="M807" s="1">
        <v>2141.56</v>
      </c>
      <c r="N807" s="1">
        <v>2142.0</v>
      </c>
      <c r="O807" s="1">
        <v>177786.0</v>
      </c>
    </row>
    <row r="808">
      <c r="A808" s="1" t="s">
        <v>1833</v>
      </c>
      <c r="B808" s="1" t="s">
        <v>31</v>
      </c>
      <c r="C808" s="1">
        <v>601.8144</v>
      </c>
      <c r="D808" s="1" t="s">
        <v>21</v>
      </c>
      <c r="E808" s="1" t="s">
        <v>54</v>
      </c>
      <c r="F808" s="1">
        <v>59.89</v>
      </c>
      <c r="G808" s="1">
        <v>18.97</v>
      </c>
      <c r="H808" s="1">
        <v>4.4727126673E10</v>
      </c>
      <c r="I808" s="1">
        <v>4.5239018284E10</v>
      </c>
      <c r="J808" s="2">
        <v>45481.4</v>
      </c>
      <c r="K808" s="2">
        <v>45634.26944444444</v>
      </c>
      <c r="L808" s="1">
        <v>7.81</v>
      </c>
      <c r="M808" s="1">
        <v>4700.17</v>
      </c>
      <c r="N808" s="1">
        <v>4700.0</v>
      </c>
      <c r="O808" s="1">
        <v>390100.0</v>
      </c>
    </row>
    <row r="809">
      <c r="A809" s="1" t="s">
        <v>1834</v>
      </c>
      <c r="B809" s="1" t="s">
        <v>350</v>
      </c>
      <c r="C809" s="1">
        <v>153.8323</v>
      </c>
      <c r="D809" s="1" t="s">
        <v>21</v>
      </c>
      <c r="E809" s="1" t="s">
        <v>27</v>
      </c>
      <c r="F809" s="1">
        <v>34.89</v>
      </c>
      <c r="G809" s="1">
        <v>39.97</v>
      </c>
      <c r="H809" s="1">
        <v>8.822992539E10</v>
      </c>
      <c r="I809" s="1">
        <v>9.3405272504E10</v>
      </c>
      <c r="J809" s="2">
        <v>45573.22430555556</v>
      </c>
      <c r="K809" s="1" t="s">
        <v>1835</v>
      </c>
      <c r="L809" s="1">
        <v>7.86</v>
      </c>
      <c r="M809" s="1">
        <v>1209.12</v>
      </c>
      <c r="N809" s="1">
        <v>1209.0</v>
      </c>
      <c r="O809" s="1">
        <v>100347.0</v>
      </c>
    </row>
    <row r="810">
      <c r="A810" s="1" t="s">
        <v>1836</v>
      </c>
      <c r="B810" s="1" t="s">
        <v>41</v>
      </c>
      <c r="C810" s="1">
        <v>46.6833</v>
      </c>
      <c r="D810" s="1" t="s">
        <v>42</v>
      </c>
      <c r="E810" s="1" t="s">
        <v>32</v>
      </c>
      <c r="F810" s="1">
        <v>65.91</v>
      </c>
      <c r="G810" s="1">
        <v>24.26</v>
      </c>
      <c r="H810" s="1">
        <v>1.038679308E9</v>
      </c>
      <c r="I810" s="1">
        <v>1.207921154E9</v>
      </c>
      <c r="J810" s="2">
        <v>45511.39027777778</v>
      </c>
      <c r="K810" s="2">
        <v>45572.33541666667</v>
      </c>
      <c r="L810" s="1">
        <v>7.28</v>
      </c>
      <c r="M810" s="1">
        <v>339.85</v>
      </c>
      <c r="N810" s="1">
        <v>340.0</v>
      </c>
      <c r="O810" s="1">
        <v>28220.0</v>
      </c>
    </row>
    <row r="811">
      <c r="A811" s="1" t="s">
        <v>1837</v>
      </c>
      <c r="B811" s="1" t="s">
        <v>139</v>
      </c>
      <c r="C811" s="1">
        <v>33.5167</v>
      </c>
      <c r="D811" s="1" t="s">
        <v>42</v>
      </c>
      <c r="E811" s="1" t="s">
        <v>70</v>
      </c>
      <c r="F811" s="1">
        <v>76.81</v>
      </c>
      <c r="G811" s="1">
        <v>64.04</v>
      </c>
      <c r="H811" s="1">
        <v>4.359372161E10</v>
      </c>
      <c r="I811" s="1">
        <v>5.2263568746E10</v>
      </c>
      <c r="J811" s="2">
        <v>45450.12152777778</v>
      </c>
      <c r="K811" s="2">
        <v>45480.518055555556</v>
      </c>
      <c r="L811" s="1">
        <v>8.29</v>
      </c>
      <c r="M811" s="1">
        <v>277.85</v>
      </c>
      <c r="N811" s="1">
        <v>278.0</v>
      </c>
      <c r="O811" s="1">
        <v>23074.0</v>
      </c>
    </row>
    <row r="812">
      <c r="A812" s="1" t="s">
        <v>1838</v>
      </c>
      <c r="B812" s="1" t="s">
        <v>79</v>
      </c>
      <c r="C812" s="1">
        <v>754.9827</v>
      </c>
      <c r="D812" s="1" t="s">
        <v>17</v>
      </c>
      <c r="E812" s="1" t="s">
        <v>27</v>
      </c>
      <c r="F812" s="1">
        <v>26.95</v>
      </c>
      <c r="G812" s="1">
        <v>25.64</v>
      </c>
      <c r="H812" s="1">
        <v>1.1301198401E10</v>
      </c>
      <c r="I812" s="1">
        <v>1.7506915601E10</v>
      </c>
      <c r="J812" s="2">
        <v>45603.157638888886</v>
      </c>
      <c r="K812" s="1" t="s">
        <v>1839</v>
      </c>
      <c r="L812" s="1">
        <v>8.18</v>
      </c>
      <c r="M812" s="1">
        <v>6175.76</v>
      </c>
      <c r="N812" s="1">
        <v>6176.0</v>
      </c>
      <c r="O812" s="1">
        <v>512608.0</v>
      </c>
    </row>
    <row r="813">
      <c r="A813" s="1" t="s">
        <v>1840</v>
      </c>
      <c r="B813" s="1" t="s">
        <v>41</v>
      </c>
      <c r="C813" s="1">
        <v>132.15</v>
      </c>
      <c r="D813" s="1" t="s">
        <v>42</v>
      </c>
      <c r="E813" s="1" t="s">
        <v>70</v>
      </c>
      <c r="F813" s="1">
        <v>78.93</v>
      </c>
      <c r="G813" s="1">
        <v>63.69</v>
      </c>
      <c r="H813" s="1">
        <v>4.8523174581E10</v>
      </c>
      <c r="I813" s="1">
        <v>5.0673476199E10</v>
      </c>
      <c r="J813" s="1" t="s">
        <v>1841</v>
      </c>
      <c r="K813" s="2">
        <v>45420.04305555556</v>
      </c>
      <c r="L813" s="1">
        <v>1.86</v>
      </c>
      <c r="M813" s="1">
        <v>245.8</v>
      </c>
      <c r="N813" s="1">
        <v>246.0</v>
      </c>
      <c r="O813" s="1">
        <v>20418.0</v>
      </c>
    </row>
    <row r="814">
      <c r="A814" s="1" t="s">
        <v>1842</v>
      </c>
      <c r="B814" s="1" t="s">
        <v>139</v>
      </c>
      <c r="C814" s="1">
        <v>57.15</v>
      </c>
      <c r="D814" s="1" t="s">
        <v>42</v>
      </c>
      <c r="E814" s="1" t="s">
        <v>58</v>
      </c>
      <c r="F814" s="1">
        <v>83.95</v>
      </c>
      <c r="G814" s="1">
        <v>39.68</v>
      </c>
      <c r="H814" s="1">
        <v>3.9095990149E10</v>
      </c>
      <c r="I814" s="1">
        <v>4.4866998326E10</v>
      </c>
      <c r="J814" s="1" t="s">
        <v>1843</v>
      </c>
      <c r="K814" s="1" t="s">
        <v>1844</v>
      </c>
      <c r="L814" s="1">
        <v>6.76</v>
      </c>
      <c r="M814" s="1">
        <v>386.33</v>
      </c>
      <c r="N814" s="1">
        <v>386.0</v>
      </c>
      <c r="O814" s="1">
        <v>32038.0</v>
      </c>
    </row>
    <row r="815">
      <c r="A815" s="1" t="s">
        <v>1845</v>
      </c>
      <c r="B815" s="1" t="s">
        <v>31</v>
      </c>
      <c r="C815" s="1">
        <v>388.7474</v>
      </c>
      <c r="D815" s="1" t="s">
        <v>21</v>
      </c>
      <c r="E815" s="1" t="s">
        <v>18</v>
      </c>
      <c r="F815" s="1">
        <v>72.75</v>
      </c>
      <c r="G815" s="1">
        <v>57.96</v>
      </c>
      <c r="H815" s="1">
        <v>9.3325878549E10</v>
      </c>
      <c r="I815" s="3">
        <v>1.00975E11</v>
      </c>
      <c r="J815" s="2">
        <v>45543.1625</v>
      </c>
      <c r="K815" s="1" t="s">
        <v>1846</v>
      </c>
      <c r="L815" s="1">
        <v>2.03</v>
      </c>
      <c r="M815" s="1">
        <v>789.16</v>
      </c>
      <c r="N815" s="1">
        <v>789.0</v>
      </c>
      <c r="O815" s="1">
        <v>65487.0</v>
      </c>
    </row>
    <row r="816">
      <c r="A816" s="1" t="s">
        <v>1847</v>
      </c>
      <c r="B816" s="1" t="s">
        <v>62</v>
      </c>
      <c r="C816" s="1">
        <v>32.3167</v>
      </c>
      <c r="D816" s="1" t="s">
        <v>42</v>
      </c>
      <c r="E816" s="1" t="s">
        <v>32</v>
      </c>
      <c r="F816" s="1">
        <v>76.49</v>
      </c>
      <c r="G816" s="1">
        <v>69.71</v>
      </c>
      <c r="H816" s="1">
        <v>3.3326456106E10</v>
      </c>
      <c r="I816" s="1">
        <v>3.8389861466E10</v>
      </c>
      <c r="J816" s="2">
        <v>45572.066666666666</v>
      </c>
      <c r="K816" s="2">
        <v>45603.413194444445</v>
      </c>
      <c r="L816" s="1">
        <v>1.71</v>
      </c>
      <c r="M816" s="1">
        <v>55.26</v>
      </c>
      <c r="N816" s="1">
        <v>55.0</v>
      </c>
      <c r="O816" s="1">
        <v>4565.0</v>
      </c>
    </row>
    <row r="817">
      <c r="A817" s="1" t="s">
        <v>1848</v>
      </c>
      <c r="B817" s="1" t="s">
        <v>83</v>
      </c>
      <c r="C817" s="1">
        <v>704.9892</v>
      </c>
      <c r="D817" s="1" t="s">
        <v>21</v>
      </c>
      <c r="E817" s="1" t="s">
        <v>22</v>
      </c>
      <c r="F817" s="1">
        <v>28.27</v>
      </c>
      <c r="G817" s="1">
        <v>51.95</v>
      </c>
      <c r="H817" s="1">
        <v>5.5442069999E10</v>
      </c>
      <c r="I817" s="1">
        <v>6.3087373471E10</v>
      </c>
      <c r="J817" s="1" t="s">
        <v>1849</v>
      </c>
      <c r="K817" s="1" t="s">
        <v>1850</v>
      </c>
      <c r="L817" s="1">
        <v>3.03</v>
      </c>
      <c r="M817" s="1">
        <v>2136.12</v>
      </c>
      <c r="N817" s="1">
        <v>2136.0</v>
      </c>
      <c r="O817" s="1">
        <v>177288.0</v>
      </c>
    </row>
    <row r="818">
      <c r="A818" s="1" t="s">
        <v>1851</v>
      </c>
      <c r="B818" s="1" t="s">
        <v>41</v>
      </c>
      <c r="C818" s="1">
        <v>96.5333</v>
      </c>
      <c r="D818" s="1" t="s">
        <v>42</v>
      </c>
      <c r="E818" s="1" t="s">
        <v>105</v>
      </c>
      <c r="F818" s="1">
        <v>49.33</v>
      </c>
      <c r="G818" s="1">
        <v>45.03</v>
      </c>
      <c r="H818" s="1">
        <v>7.4025589911E10</v>
      </c>
      <c r="I818" s="1">
        <v>7.5570232081E10</v>
      </c>
      <c r="J818" s="2">
        <v>45634.46388888889</v>
      </c>
      <c r="K818" s="1" t="s">
        <v>1852</v>
      </c>
      <c r="L818" s="1">
        <v>3.15</v>
      </c>
      <c r="M818" s="1">
        <v>304.08</v>
      </c>
      <c r="N818" s="1">
        <v>304.0</v>
      </c>
      <c r="O818" s="1">
        <v>25232.0</v>
      </c>
    </row>
    <row r="819">
      <c r="A819" s="1" t="s">
        <v>1853</v>
      </c>
      <c r="B819" s="1" t="s">
        <v>169</v>
      </c>
      <c r="C819" s="1">
        <v>224.6634</v>
      </c>
      <c r="D819" s="1" t="s">
        <v>17</v>
      </c>
      <c r="E819" s="1" t="s">
        <v>32</v>
      </c>
      <c r="F819" s="1">
        <v>96.43</v>
      </c>
      <c r="G819" s="1">
        <v>51.92</v>
      </c>
      <c r="H819" s="1">
        <v>7.8234763502E10</v>
      </c>
      <c r="I819" s="1">
        <v>7.8418921626E10</v>
      </c>
      <c r="J819" s="1" t="s">
        <v>1854</v>
      </c>
      <c r="K819" s="2">
        <v>45299.51597222222</v>
      </c>
      <c r="L819" s="1">
        <v>3.07</v>
      </c>
      <c r="M819" s="1">
        <v>689.72</v>
      </c>
      <c r="N819" s="1">
        <v>690.0</v>
      </c>
      <c r="O819" s="1">
        <v>57270.0</v>
      </c>
    </row>
    <row r="820">
      <c r="A820" s="1" t="s">
        <v>1855</v>
      </c>
      <c r="B820" s="1" t="s">
        <v>79</v>
      </c>
      <c r="C820" s="1">
        <v>549.3916</v>
      </c>
      <c r="D820" s="1" t="s">
        <v>21</v>
      </c>
      <c r="E820" s="1" t="s">
        <v>54</v>
      </c>
      <c r="F820" s="1">
        <v>12.45</v>
      </c>
      <c r="G820" s="1">
        <v>61.62</v>
      </c>
      <c r="H820" s="1">
        <v>2.022728754E10</v>
      </c>
      <c r="I820" s="1">
        <v>2.714721784E10</v>
      </c>
      <c r="J820" s="2">
        <v>45572.427083333336</v>
      </c>
      <c r="K820" s="1" t="s">
        <v>1856</v>
      </c>
      <c r="L820" s="1">
        <v>6.11</v>
      </c>
      <c r="M820" s="1">
        <v>3356.78</v>
      </c>
      <c r="N820" s="1">
        <v>3357.0</v>
      </c>
      <c r="O820" s="1">
        <v>278631.0</v>
      </c>
    </row>
    <row r="821">
      <c r="A821" s="1" t="s">
        <v>1857</v>
      </c>
      <c r="B821" s="1" t="s">
        <v>273</v>
      </c>
      <c r="C821" s="1">
        <v>791.6701</v>
      </c>
      <c r="D821" s="1" t="s">
        <v>21</v>
      </c>
      <c r="E821" s="1" t="s">
        <v>105</v>
      </c>
      <c r="F821" s="1">
        <v>56.26</v>
      </c>
      <c r="G821" s="1">
        <v>62.14</v>
      </c>
      <c r="H821" s="1">
        <v>3.7369937349E10</v>
      </c>
      <c r="I821" s="1">
        <v>3.8028739139E10</v>
      </c>
      <c r="J821" s="1" t="s">
        <v>1858</v>
      </c>
      <c r="K821" s="1" t="s">
        <v>1859</v>
      </c>
      <c r="L821" s="1">
        <v>9.15</v>
      </c>
      <c r="M821" s="1">
        <v>7243.78</v>
      </c>
      <c r="N821" s="1">
        <v>7244.0</v>
      </c>
      <c r="O821" s="1">
        <v>601252.0</v>
      </c>
    </row>
    <row r="822">
      <c r="A822" s="1" t="s">
        <v>1860</v>
      </c>
      <c r="B822" s="1" t="s">
        <v>139</v>
      </c>
      <c r="C822" s="1">
        <v>113.35</v>
      </c>
      <c r="D822" s="1" t="s">
        <v>42</v>
      </c>
      <c r="E822" s="1" t="s">
        <v>70</v>
      </c>
      <c r="F822" s="1">
        <v>91.64</v>
      </c>
      <c r="G822" s="1">
        <v>12.52</v>
      </c>
      <c r="H822" s="1">
        <v>1.9503952454E10</v>
      </c>
      <c r="I822" s="1">
        <v>2.6720821217E10</v>
      </c>
      <c r="J822" s="1" t="s">
        <v>1861</v>
      </c>
      <c r="K822" s="1" t="s">
        <v>1862</v>
      </c>
      <c r="L822" s="1">
        <v>3.1</v>
      </c>
      <c r="M822" s="1">
        <v>351.38</v>
      </c>
      <c r="N822" s="1">
        <v>351.0</v>
      </c>
      <c r="O822" s="1">
        <v>29133.0</v>
      </c>
    </row>
    <row r="823">
      <c r="A823" s="1" t="s">
        <v>1863</v>
      </c>
      <c r="B823" s="1" t="s">
        <v>66</v>
      </c>
      <c r="C823" s="1">
        <v>341.9698</v>
      </c>
      <c r="D823" s="1" t="s">
        <v>17</v>
      </c>
      <c r="E823" s="1" t="s">
        <v>74</v>
      </c>
      <c r="F823" s="1">
        <v>73.3</v>
      </c>
      <c r="G823" s="1">
        <v>96.95</v>
      </c>
      <c r="H823" s="1">
        <v>7.2892190659E10</v>
      </c>
      <c r="I823" s="1">
        <v>7.9569564021E10</v>
      </c>
      <c r="J823" s="1" t="s">
        <v>1864</v>
      </c>
      <c r="K823" s="1" t="s">
        <v>1865</v>
      </c>
      <c r="L823" s="1">
        <v>5.27</v>
      </c>
      <c r="M823" s="1">
        <v>1802.18</v>
      </c>
      <c r="N823" s="1">
        <v>1802.0</v>
      </c>
      <c r="O823" s="1">
        <v>149566.0</v>
      </c>
    </row>
    <row r="824">
      <c r="A824" s="1" t="s">
        <v>1866</v>
      </c>
      <c r="B824" s="1" t="s">
        <v>31</v>
      </c>
      <c r="C824" s="1">
        <v>209.4004</v>
      </c>
      <c r="D824" s="1" t="s">
        <v>21</v>
      </c>
      <c r="E824" s="1" t="s">
        <v>105</v>
      </c>
      <c r="F824" s="1">
        <v>44.05</v>
      </c>
      <c r="G824" s="1">
        <v>1.48</v>
      </c>
      <c r="H824" s="1">
        <v>1.815786124E10</v>
      </c>
      <c r="I824" s="1">
        <v>2.1352123635E10</v>
      </c>
      <c r="J824" s="1" t="s">
        <v>1867</v>
      </c>
      <c r="K824" s="1" t="s">
        <v>1868</v>
      </c>
      <c r="L824" s="1">
        <v>8.98</v>
      </c>
      <c r="M824" s="1">
        <v>1880.42</v>
      </c>
      <c r="N824" s="1">
        <v>1880.0</v>
      </c>
      <c r="O824" s="1">
        <v>156040.0</v>
      </c>
    </row>
    <row r="825">
      <c r="A825" s="1" t="s">
        <v>1869</v>
      </c>
      <c r="B825" s="1" t="s">
        <v>57</v>
      </c>
      <c r="C825" s="1">
        <v>587.6768</v>
      </c>
      <c r="D825" s="1" t="s">
        <v>17</v>
      </c>
      <c r="E825" s="1" t="s">
        <v>123</v>
      </c>
      <c r="F825" s="1">
        <v>81.61</v>
      </c>
      <c r="G825" s="1">
        <v>50.26</v>
      </c>
      <c r="H825" s="1">
        <v>3.668732404E10</v>
      </c>
      <c r="I825" s="1">
        <v>3.9159602354E10</v>
      </c>
      <c r="J825" s="1" t="s">
        <v>1870</v>
      </c>
      <c r="K825" s="1" t="s">
        <v>1871</v>
      </c>
      <c r="L825" s="1">
        <v>3.16</v>
      </c>
      <c r="M825" s="1">
        <v>1857.06</v>
      </c>
      <c r="N825" s="1">
        <v>1857.0</v>
      </c>
      <c r="O825" s="1">
        <v>154131.0</v>
      </c>
    </row>
    <row r="826">
      <c r="A826" s="1" t="s">
        <v>1872</v>
      </c>
      <c r="B826" s="1" t="s">
        <v>20</v>
      </c>
      <c r="C826" s="1">
        <v>517.2012</v>
      </c>
      <c r="D826" s="1" t="s">
        <v>21</v>
      </c>
      <c r="E826" s="1" t="s">
        <v>58</v>
      </c>
      <c r="F826" s="1">
        <v>51.35</v>
      </c>
      <c r="G826" s="1">
        <v>48.91</v>
      </c>
      <c r="H826" s="1">
        <v>8.8995413371E10</v>
      </c>
      <c r="I826" s="1">
        <v>9.413873521E10</v>
      </c>
      <c r="J826" s="2">
        <v>45572.4</v>
      </c>
      <c r="K826" s="2">
        <v>45603.56875</v>
      </c>
      <c r="L826" s="1">
        <v>7.47</v>
      </c>
      <c r="M826" s="1">
        <v>3863.49</v>
      </c>
      <c r="N826" s="1">
        <v>3863.0</v>
      </c>
      <c r="O826" s="1">
        <v>320629.0</v>
      </c>
    </row>
    <row r="827">
      <c r="A827" s="1" t="s">
        <v>1873</v>
      </c>
      <c r="B827" s="1" t="s">
        <v>183</v>
      </c>
      <c r="C827" s="1">
        <v>302.3678</v>
      </c>
      <c r="D827" s="1" t="s">
        <v>21</v>
      </c>
      <c r="E827" s="1" t="s">
        <v>70</v>
      </c>
      <c r="F827" s="1">
        <v>90.78</v>
      </c>
      <c r="G827" s="1">
        <v>86.3</v>
      </c>
      <c r="H827" s="1">
        <v>1.7717813072E10</v>
      </c>
      <c r="I827" s="1">
        <v>1.8693727301E10</v>
      </c>
      <c r="J827" s="2">
        <v>45359.5875</v>
      </c>
      <c r="K827" s="2">
        <v>45420.17638888889</v>
      </c>
      <c r="L827" s="1">
        <v>9.77</v>
      </c>
      <c r="M827" s="1">
        <v>2954.13</v>
      </c>
      <c r="N827" s="1">
        <v>2954.0</v>
      </c>
      <c r="O827" s="1">
        <v>245182.0</v>
      </c>
    </row>
    <row r="828">
      <c r="A828" s="1" t="s">
        <v>1874</v>
      </c>
      <c r="B828" s="1" t="s">
        <v>31</v>
      </c>
      <c r="C828" s="1">
        <v>727.624</v>
      </c>
      <c r="D828" s="1" t="s">
        <v>17</v>
      </c>
      <c r="E828" s="1" t="s">
        <v>58</v>
      </c>
      <c r="F828" s="1">
        <v>75.76</v>
      </c>
      <c r="G828" s="1">
        <v>98.84</v>
      </c>
      <c r="H828" s="1">
        <v>2.8995209715E10</v>
      </c>
      <c r="I828" s="1">
        <v>3.47246044E10</v>
      </c>
      <c r="J828" s="2">
        <v>45389.808333333334</v>
      </c>
      <c r="K828" s="2">
        <v>45450.902083333334</v>
      </c>
      <c r="L828" s="1">
        <v>6.77</v>
      </c>
      <c r="M828" s="1">
        <v>4926.01</v>
      </c>
      <c r="N828" s="1">
        <v>4926.0</v>
      </c>
      <c r="O828" s="1">
        <v>408858.0</v>
      </c>
    </row>
    <row r="829">
      <c r="A829" s="1" t="s">
        <v>1875</v>
      </c>
      <c r="B829" s="1" t="s">
        <v>112</v>
      </c>
      <c r="C829" s="1">
        <v>58.8667</v>
      </c>
      <c r="D829" s="1" t="s">
        <v>42</v>
      </c>
      <c r="E829" s="1" t="s">
        <v>105</v>
      </c>
      <c r="F829" s="1">
        <v>9.57</v>
      </c>
      <c r="G829" s="1">
        <v>50.39</v>
      </c>
      <c r="H829" s="1">
        <v>1.7964013909E10</v>
      </c>
      <c r="I829" s="1">
        <v>2.5344471081E10</v>
      </c>
      <c r="J829" s="1" t="s">
        <v>1876</v>
      </c>
      <c r="K829" s="1" t="s">
        <v>1877</v>
      </c>
      <c r="L829" s="1">
        <v>4.79</v>
      </c>
      <c r="M829" s="1">
        <v>281.97</v>
      </c>
      <c r="N829" s="1">
        <v>282.0</v>
      </c>
      <c r="O829" s="1">
        <v>23406.0</v>
      </c>
    </row>
    <row r="830">
      <c r="A830" s="1" t="s">
        <v>1878</v>
      </c>
      <c r="B830" s="1" t="s">
        <v>273</v>
      </c>
      <c r="C830" s="1">
        <v>396.9256</v>
      </c>
      <c r="D830" s="1" t="s">
        <v>21</v>
      </c>
      <c r="E830" s="1" t="s">
        <v>74</v>
      </c>
      <c r="F830" s="1">
        <v>57.06</v>
      </c>
      <c r="G830" s="1">
        <v>22.3</v>
      </c>
      <c r="H830" s="1">
        <v>1.0093349684E10</v>
      </c>
      <c r="I830" s="1">
        <v>1.4110520431E10</v>
      </c>
      <c r="J830" s="1" t="s">
        <v>1879</v>
      </c>
      <c r="K830" s="1" t="s">
        <v>1880</v>
      </c>
      <c r="L830" s="1">
        <v>9.33</v>
      </c>
      <c r="M830" s="1">
        <v>3703.32</v>
      </c>
      <c r="N830" s="1">
        <v>3703.0</v>
      </c>
      <c r="O830" s="1">
        <v>307349.0</v>
      </c>
    </row>
    <row r="831">
      <c r="A831" s="1" t="s">
        <v>1881</v>
      </c>
      <c r="B831" s="1" t="s">
        <v>62</v>
      </c>
      <c r="C831" s="1">
        <v>64.0</v>
      </c>
      <c r="D831" s="1" t="s">
        <v>42</v>
      </c>
      <c r="E831" s="1" t="s">
        <v>74</v>
      </c>
      <c r="F831" s="1">
        <v>9.87</v>
      </c>
      <c r="G831" s="1">
        <v>99.57</v>
      </c>
      <c r="H831" s="1">
        <v>5.9168350548E10</v>
      </c>
      <c r="I831" s="1">
        <v>6.4369054308E10</v>
      </c>
      <c r="J831" s="1" t="s">
        <v>1882</v>
      </c>
      <c r="K831" s="1" t="s">
        <v>1883</v>
      </c>
      <c r="L831" s="1">
        <v>1.83</v>
      </c>
      <c r="M831" s="1">
        <v>117.12</v>
      </c>
      <c r="N831" s="1">
        <v>117.0</v>
      </c>
      <c r="O831" s="1">
        <v>9711.0</v>
      </c>
    </row>
    <row r="832">
      <c r="A832" s="1" t="s">
        <v>1884</v>
      </c>
      <c r="B832" s="1" t="s">
        <v>53</v>
      </c>
      <c r="C832" s="1">
        <v>969.402</v>
      </c>
      <c r="D832" s="1" t="s">
        <v>17</v>
      </c>
      <c r="E832" s="1" t="s">
        <v>74</v>
      </c>
      <c r="F832" s="1">
        <v>44.87</v>
      </c>
      <c r="G832" s="1">
        <v>61.09</v>
      </c>
      <c r="H832" s="1">
        <v>3.9961530048E10</v>
      </c>
      <c r="I832" s="1">
        <v>4.6907092891E10</v>
      </c>
      <c r="J832" s="1" t="s">
        <v>1885</v>
      </c>
      <c r="K832" s="1" t="s">
        <v>1886</v>
      </c>
      <c r="L832" s="1">
        <v>6.34</v>
      </c>
      <c r="M832" s="1">
        <v>6146.01</v>
      </c>
      <c r="N832" s="1">
        <v>6146.0</v>
      </c>
      <c r="O832" s="1">
        <v>510118.0</v>
      </c>
    </row>
    <row r="833">
      <c r="A833" s="1" t="s">
        <v>1887</v>
      </c>
      <c r="B833" s="1" t="s">
        <v>112</v>
      </c>
      <c r="C833" s="1">
        <v>43.2167</v>
      </c>
      <c r="D833" s="1" t="s">
        <v>42</v>
      </c>
      <c r="E833" s="1" t="s">
        <v>54</v>
      </c>
      <c r="F833" s="1">
        <v>72.52</v>
      </c>
      <c r="G833" s="1">
        <v>1.51</v>
      </c>
      <c r="H833" s="1">
        <v>4.5131283127E10</v>
      </c>
      <c r="I833" s="1">
        <v>4.631674835E10</v>
      </c>
      <c r="J833" s="1" t="s">
        <v>1888</v>
      </c>
      <c r="K833" s="2">
        <v>45330.10277777778</v>
      </c>
      <c r="L833" s="1">
        <v>8.39</v>
      </c>
      <c r="M833" s="1">
        <v>362.59</v>
      </c>
      <c r="N833" s="1">
        <v>363.0</v>
      </c>
      <c r="O833" s="1">
        <v>30129.0</v>
      </c>
    </row>
    <row r="834">
      <c r="A834" s="1" t="s">
        <v>1889</v>
      </c>
      <c r="B834" s="1" t="s">
        <v>46</v>
      </c>
      <c r="C834" s="1">
        <v>429.6128</v>
      </c>
      <c r="D834" s="1" t="s">
        <v>21</v>
      </c>
      <c r="E834" s="1" t="s">
        <v>22</v>
      </c>
      <c r="F834" s="1">
        <v>7.57</v>
      </c>
      <c r="G834" s="1">
        <v>82.52</v>
      </c>
      <c r="H834" s="1">
        <v>1.7780576274E10</v>
      </c>
      <c r="I834" s="1">
        <v>2.4026754063E10</v>
      </c>
      <c r="J834" s="1" t="s">
        <v>170</v>
      </c>
      <c r="K834" s="1" t="s">
        <v>1890</v>
      </c>
      <c r="L834" s="1">
        <v>9.89</v>
      </c>
      <c r="M834" s="1">
        <v>4248.87</v>
      </c>
      <c r="N834" s="1">
        <v>4249.0</v>
      </c>
      <c r="O834" s="1">
        <v>352667.0</v>
      </c>
    </row>
    <row r="835">
      <c r="A835" s="1" t="s">
        <v>1891</v>
      </c>
      <c r="B835" s="1" t="s">
        <v>66</v>
      </c>
      <c r="C835" s="1">
        <v>553.815</v>
      </c>
      <c r="D835" s="1" t="s">
        <v>21</v>
      </c>
      <c r="E835" s="1" t="s">
        <v>32</v>
      </c>
      <c r="F835" s="1">
        <v>81.55</v>
      </c>
      <c r="G835" s="1">
        <v>79.67</v>
      </c>
      <c r="H835" s="1">
        <v>8.7699225085E10</v>
      </c>
      <c r="I835" s="1">
        <v>9.5956905153E10</v>
      </c>
      <c r="J835" s="1" t="s">
        <v>1892</v>
      </c>
      <c r="K835" s="1" t="s">
        <v>1893</v>
      </c>
      <c r="L835" s="1">
        <v>6.04</v>
      </c>
      <c r="M835" s="1">
        <v>3345.04</v>
      </c>
      <c r="N835" s="1">
        <v>3345.0</v>
      </c>
      <c r="O835" s="1">
        <v>277635.0</v>
      </c>
    </row>
    <row r="836">
      <c r="A836" s="1" t="s">
        <v>1894</v>
      </c>
      <c r="B836" s="1" t="s">
        <v>273</v>
      </c>
      <c r="C836" s="1">
        <v>129.8672</v>
      </c>
      <c r="D836" s="1" t="s">
        <v>21</v>
      </c>
      <c r="E836" s="1" t="s">
        <v>105</v>
      </c>
      <c r="F836" s="1">
        <v>5.83</v>
      </c>
      <c r="G836" s="1">
        <v>72.51</v>
      </c>
      <c r="H836" s="1">
        <v>9.7271842205E10</v>
      </c>
      <c r="I836" s="3">
        <v>1.04917E11</v>
      </c>
      <c r="J836" s="2">
        <v>45481.561111111114</v>
      </c>
      <c r="K836" s="2">
        <v>45512.90347222222</v>
      </c>
      <c r="L836" s="1">
        <v>3.89</v>
      </c>
      <c r="M836" s="1">
        <v>505.18</v>
      </c>
      <c r="N836" s="1">
        <v>505.0</v>
      </c>
      <c r="O836" s="1">
        <v>41915.0</v>
      </c>
    </row>
    <row r="837">
      <c r="A837" s="1" t="s">
        <v>1895</v>
      </c>
      <c r="B837" s="1" t="s">
        <v>57</v>
      </c>
      <c r="C837" s="1">
        <v>883.9655</v>
      </c>
      <c r="D837" s="1" t="s">
        <v>21</v>
      </c>
      <c r="E837" s="1" t="s">
        <v>18</v>
      </c>
      <c r="F837" s="1">
        <v>81.56</v>
      </c>
      <c r="G837" s="1">
        <v>41.86</v>
      </c>
      <c r="H837" s="1">
        <v>7.1993398692E10</v>
      </c>
      <c r="I837" s="1">
        <v>7.9432069155E10</v>
      </c>
      <c r="J837" s="1" t="s">
        <v>1143</v>
      </c>
      <c r="K837" s="1" t="s">
        <v>1896</v>
      </c>
      <c r="L837" s="1">
        <v>7.57</v>
      </c>
      <c r="M837" s="1">
        <v>6691.62</v>
      </c>
      <c r="N837" s="1">
        <v>6692.0</v>
      </c>
      <c r="O837" s="1">
        <v>555436.0</v>
      </c>
    </row>
    <row r="838">
      <c r="A838" s="1" t="s">
        <v>1897</v>
      </c>
      <c r="B838" s="1" t="s">
        <v>20</v>
      </c>
      <c r="C838" s="1">
        <v>650.1731</v>
      </c>
      <c r="D838" s="1" t="s">
        <v>21</v>
      </c>
      <c r="E838" s="1" t="s">
        <v>18</v>
      </c>
      <c r="F838" s="1">
        <v>97.68</v>
      </c>
      <c r="G838" s="1">
        <v>14.98</v>
      </c>
      <c r="H838" s="1">
        <v>5.1083335309E10</v>
      </c>
      <c r="I838" s="1">
        <v>5.9942102426E10</v>
      </c>
      <c r="J838" s="1" t="s">
        <v>1898</v>
      </c>
      <c r="K838" s="1" t="s">
        <v>1899</v>
      </c>
      <c r="L838" s="1">
        <v>2.64</v>
      </c>
      <c r="M838" s="1">
        <v>1716.46</v>
      </c>
      <c r="N838" s="1">
        <v>1716.0</v>
      </c>
      <c r="O838" s="1">
        <v>142428.0</v>
      </c>
    </row>
    <row r="839">
      <c r="A839" s="1" t="s">
        <v>1900</v>
      </c>
      <c r="B839" s="1" t="s">
        <v>41</v>
      </c>
      <c r="C839" s="1">
        <v>113.8</v>
      </c>
      <c r="D839" s="1" t="s">
        <v>42</v>
      </c>
      <c r="E839" s="1" t="s">
        <v>18</v>
      </c>
      <c r="F839" s="1">
        <v>58.0</v>
      </c>
      <c r="G839" s="1">
        <v>73.66</v>
      </c>
      <c r="H839" s="1">
        <v>5.4886361862E10</v>
      </c>
      <c r="I839" s="1">
        <v>6.1508082818E10</v>
      </c>
      <c r="J839" s="2">
        <v>45603.754166666666</v>
      </c>
      <c r="K839" s="1" t="s">
        <v>1901</v>
      </c>
      <c r="L839" s="1">
        <v>9.93</v>
      </c>
      <c r="M839" s="1">
        <v>1130.03</v>
      </c>
      <c r="N839" s="1">
        <v>1130.0</v>
      </c>
      <c r="O839" s="1">
        <v>93790.0</v>
      </c>
    </row>
    <row r="840">
      <c r="A840" s="1" t="s">
        <v>1902</v>
      </c>
      <c r="B840" s="1" t="s">
        <v>79</v>
      </c>
      <c r="C840" s="1">
        <v>825.9177</v>
      </c>
      <c r="D840" s="1" t="s">
        <v>21</v>
      </c>
      <c r="E840" s="1" t="s">
        <v>74</v>
      </c>
      <c r="F840" s="1">
        <v>95.54</v>
      </c>
      <c r="G840" s="1">
        <v>1.83</v>
      </c>
      <c r="H840" s="1">
        <v>9.7624944269E10</v>
      </c>
      <c r="I840" s="3">
        <v>1.01582E11</v>
      </c>
      <c r="J840" s="2">
        <v>45330.025</v>
      </c>
      <c r="K840" s="2">
        <v>45481.69861111111</v>
      </c>
      <c r="L840" s="1">
        <v>5.26</v>
      </c>
      <c r="M840" s="1">
        <v>4344.33</v>
      </c>
      <c r="N840" s="1">
        <v>4344.0</v>
      </c>
      <c r="O840" s="1">
        <v>360552.0</v>
      </c>
    </row>
    <row r="841">
      <c r="A841" s="1" t="s">
        <v>1903</v>
      </c>
      <c r="B841" s="1" t="s">
        <v>273</v>
      </c>
      <c r="C841" s="1">
        <v>302.0</v>
      </c>
      <c r="D841" s="1" t="s">
        <v>17</v>
      </c>
      <c r="E841" s="1" t="s">
        <v>58</v>
      </c>
      <c r="F841" s="1">
        <v>36.32</v>
      </c>
      <c r="G841" s="1">
        <v>44.99</v>
      </c>
      <c r="H841" s="1">
        <v>5.6062052295E10</v>
      </c>
      <c r="I841" s="1">
        <v>5.7962755958E10</v>
      </c>
      <c r="J841" s="1" t="s">
        <v>1904</v>
      </c>
      <c r="K841" s="1" t="s">
        <v>1905</v>
      </c>
      <c r="L841" s="1">
        <v>2.49</v>
      </c>
      <c r="M841" s="1">
        <v>751.98</v>
      </c>
      <c r="N841" s="1">
        <v>752.0</v>
      </c>
      <c r="O841" s="1">
        <v>62416.0</v>
      </c>
    </row>
    <row r="842">
      <c r="A842" s="1" t="s">
        <v>1906</v>
      </c>
      <c r="B842" s="1" t="s">
        <v>350</v>
      </c>
      <c r="C842" s="1">
        <v>369.457</v>
      </c>
      <c r="D842" s="1" t="s">
        <v>21</v>
      </c>
      <c r="E842" s="1" t="s">
        <v>22</v>
      </c>
      <c r="F842" s="1">
        <v>67.88</v>
      </c>
      <c r="G842" s="1">
        <v>52.34</v>
      </c>
      <c r="H842" s="1">
        <v>7.0482607937E10</v>
      </c>
      <c r="I842" s="1">
        <v>7.1066862636E10</v>
      </c>
      <c r="J842" s="1" t="s">
        <v>1907</v>
      </c>
      <c r="K842" s="1" t="s">
        <v>1908</v>
      </c>
      <c r="L842" s="1">
        <v>2.96</v>
      </c>
      <c r="M842" s="1">
        <v>1093.59</v>
      </c>
      <c r="N842" s="1">
        <v>1094.0</v>
      </c>
      <c r="O842" s="1">
        <v>90802.0</v>
      </c>
    </row>
    <row r="843">
      <c r="A843" s="1" t="s">
        <v>1909</v>
      </c>
      <c r="B843" s="1" t="s">
        <v>273</v>
      </c>
      <c r="C843" s="1">
        <v>988.4076</v>
      </c>
      <c r="D843" s="1" t="s">
        <v>21</v>
      </c>
      <c r="E843" s="1" t="s">
        <v>105</v>
      </c>
      <c r="F843" s="1">
        <v>15.15</v>
      </c>
      <c r="G843" s="1">
        <v>0.46</v>
      </c>
      <c r="H843" s="1">
        <v>2.7269706614E10</v>
      </c>
      <c r="I843" s="1">
        <v>3.1125899311E10</v>
      </c>
      <c r="J843" s="2">
        <v>45573.99513888889</v>
      </c>
      <c r="K843" s="1" t="s">
        <v>1910</v>
      </c>
      <c r="L843" s="1">
        <v>1.98</v>
      </c>
      <c r="M843" s="1">
        <v>1957.05</v>
      </c>
      <c r="N843" s="1">
        <v>1957.0</v>
      </c>
      <c r="O843" s="1">
        <v>162431.0</v>
      </c>
    </row>
    <row r="844">
      <c r="A844" s="1" t="s">
        <v>1911</v>
      </c>
      <c r="B844" s="1" t="s">
        <v>350</v>
      </c>
      <c r="C844" s="1">
        <v>635.6509</v>
      </c>
      <c r="D844" s="1" t="s">
        <v>21</v>
      </c>
      <c r="E844" s="1" t="s">
        <v>27</v>
      </c>
      <c r="F844" s="1">
        <v>57.93</v>
      </c>
      <c r="G844" s="1">
        <v>37.46</v>
      </c>
      <c r="H844" s="1">
        <v>5.4773978257E10</v>
      </c>
      <c r="I844" s="1">
        <v>6.1950291164E10</v>
      </c>
      <c r="J844" s="2">
        <v>45604.53194444445</v>
      </c>
      <c r="K844" s="1" t="s">
        <v>1912</v>
      </c>
      <c r="L844" s="1">
        <v>8.88</v>
      </c>
      <c r="M844" s="1">
        <v>5644.58</v>
      </c>
      <c r="N844" s="1">
        <v>5645.0</v>
      </c>
      <c r="O844" s="1">
        <v>468535.0</v>
      </c>
    </row>
    <row r="845">
      <c r="A845" s="1" t="s">
        <v>1913</v>
      </c>
      <c r="B845" s="1" t="s">
        <v>166</v>
      </c>
      <c r="C845" s="1">
        <v>575.5324</v>
      </c>
      <c r="D845" s="1" t="s">
        <v>21</v>
      </c>
      <c r="E845" s="1" t="s">
        <v>74</v>
      </c>
      <c r="F845" s="1">
        <v>45.97</v>
      </c>
      <c r="G845" s="1">
        <v>23.87</v>
      </c>
      <c r="H845" s="1">
        <v>1.791250551E9</v>
      </c>
      <c r="I845" s="1">
        <v>5.271422916E9</v>
      </c>
      <c r="J845" s="2">
        <v>45330.04652777778</v>
      </c>
      <c r="K845" s="2">
        <v>45451.104166666664</v>
      </c>
      <c r="L845" s="1">
        <v>6.94</v>
      </c>
      <c r="M845" s="1">
        <v>3994.19</v>
      </c>
      <c r="N845" s="1">
        <v>3994.0</v>
      </c>
      <c r="O845" s="1">
        <v>331502.0</v>
      </c>
    </row>
    <row r="846">
      <c r="A846" s="1" t="s">
        <v>1914</v>
      </c>
      <c r="B846" s="1" t="s">
        <v>273</v>
      </c>
      <c r="C846" s="1">
        <v>145.9373</v>
      </c>
      <c r="D846" s="1" t="s">
        <v>17</v>
      </c>
      <c r="E846" s="1" t="s">
        <v>54</v>
      </c>
      <c r="F846" s="1">
        <v>9.59</v>
      </c>
      <c r="G846" s="1">
        <v>28.75</v>
      </c>
      <c r="H846" s="1">
        <v>8.1987854667E10</v>
      </c>
      <c r="I846" s="1">
        <v>8.3659890497E10</v>
      </c>
      <c r="J846" s="2">
        <v>45329.711805555555</v>
      </c>
      <c r="K846" s="2">
        <v>45389.580555555556</v>
      </c>
      <c r="L846" s="1">
        <v>6.25</v>
      </c>
      <c r="M846" s="1">
        <v>912.11</v>
      </c>
      <c r="N846" s="1">
        <v>912.0</v>
      </c>
      <c r="O846" s="1">
        <v>75696.0</v>
      </c>
    </row>
    <row r="847">
      <c r="A847" s="1" t="s">
        <v>1915</v>
      </c>
      <c r="B847" s="1" t="s">
        <v>139</v>
      </c>
      <c r="C847" s="1">
        <v>70.8167</v>
      </c>
      <c r="D847" s="1" t="s">
        <v>42</v>
      </c>
      <c r="E847" s="1" t="s">
        <v>54</v>
      </c>
      <c r="F847" s="1">
        <v>25.47</v>
      </c>
      <c r="G847" s="1">
        <v>23.54</v>
      </c>
      <c r="H847" s="1">
        <v>9.1627430806E10</v>
      </c>
      <c r="I847" s="1">
        <v>9.5331713711E10</v>
      </c>
      <c r="J847" s="1" t="s">
        <v>1916</v>
      </c>
      <c r="K847" s="1" t="s">
        <v>1917</v>
      </c>
      <c r="L847" s="1">
        <v>9.72</v>
      </c>
      <c r="M847" s="1">
        <v>688.34</v>
      </c>
      <c r="N847" s="1">
        <v>688.0</v>
      </c>
      <c r="O847" s="1">
        <v>57104.0</v>
      </c>
    </row>
    <row r="848">
      <c r="A848" s="1" t="s">
        <v>1918</v>
      </c>
      <c r="B848" s="1" t="s">
        <v>166</v>
      </c>
      <c r="C848" s="1">
        <v>147.5414</v>
      </c>
      <c r="D848" s="1" t="s">
        <v>17</v>
      </c>
      <c r="E848" s="1" t="s">
        <v>74</v>
      </c>
      <c r="F848" s="1">
        <v>83.68</v>
      </c>
      <c r="G848" s="1">
        <v>54.06</v>
      </c>
      <c r="H848" s="1">
        <v>5.3965957218E10</v>
      </c>
      <c r="I848" s="1">
        <v>5.9474416324E10</v>
      </c>
      <c r="J848" s="2">
        <v>45512.81527777778</v>
      </c>
      <c r="K848" s="2">
        <v>45604.11736111111</v>
      </c>
      <c r="L848" s="1">
        <v>2.2</v>
      </c>
      <c r="M848" s="1">
        <v>324.59</v>
      </c>
      <c r="N848" s="1">
        <v>325.0</v>
      </c>
      <c r="O848" s="1">
        <v>26975.0</v>
      </c>
    </row>
    <row r="849">
      <c r="A849" s="1" t="s">
        <v>1919</v>
      </c>
      <c r="B849" s="1" t="s">
        <v>62</v>
      </c>
      <c r="C849" s="1">
        <v>82.8167</v>
      </c>
      <c r="D849" s="1" t="s">
        <v>42</v>
      </c>
      <c r="E849" s="1" t="s">
        <v>18</v>
      </c>
      <c r="F849" s="1">
        <v>44.99</v>
      </c>
      <c r="G849" s="1">
        <v>73.76</v>
      </c>
      <c r="H849" s="1">
        <v>4.2348481451E10</v>
      </c>
      <c r="I849" s="1">
        <v>4.9709897119E10</v>
      </c>
      <c r="J849" s="1" t="s">
        <v>1920</v>
      </c>
      <c r="K849" s="1" t="s">
        <v>1921</v>
      </c>
      <c r="L849" s="1">
        <v>2.98</v>
      </c>
      <c r="M849" s="1">
        <v>246.79</v>
      </c>
      <c r="N849" s="1">
        <v>247.0</v>
      </c>
      <c r="O849" s="1">
        <v>20501.0</v>
      </c>
    </row>
    <row r="850">
      <c r="A850" s="1" t="s">
        <v>1922</v>
      </c>
      <c r="B850" s="1" t="s">
        <v>57</v>
      </c>
      <c r="C850" s="1">
        <v>411.7334</v>
      </c>
      <c r="D850" s="1" t="s">
        <v>17</v>
      </c>
      <c r="E850" s="1" t="s">
        <v>58</v>
      </c>
      <c r="F850" s="1">
        <v>95.1</v>
      </c>
      <c r="G850" s="1">
        <v>76.72</v>
      </c>
      <c r="H850" s="1">
        <v>2.3086198528E10</v>
      </c>
      <c r="I850" s="1">
        <v>3.282581185E10</v>
      </c>
      <c r="J850" s="1" t="s">
        <v>1923</v>
      </c>
      <c r="K850" s="1" t="s">
        <v>1924</v>
      </c>
      <c r="L850" s="1">
        <v>9.47</v>
      </c>
      <c r="M850" s="1">
        <v>3899.12</v>
      </c>
      <c r="N850" s="1">
        <v>3899.0</v>
      </c>
      <c r="O850" s="1">
        <v>323617.0</v>
      </c>
    </row>
    <row r="851">
      <c r="A851" s="1" t="s">
        <v>1925</v>
      </c>
      <c r="B851" s="1" t="s">
        <v>41</v>
      </c>
      <c r="C851" s="1">
        <v>57.3667</v>
      </c>
      <c r="D851" s="1" t="s">
        <v>42</v>
      </c>
      <c r="E851" s="1" t="s">
        <v>37</v>
      </c>
      <c r="F851" s="1">
        <v>5.5</v>
      </c>
      <c r="G851" s="1">
        <v>55.66</v>
      </c>
      <c r="H851" s="1">
        <v>2.0230884904E10</v>
      </c>
      <c r="I851" s="1">
        <v>2.1234631544E10</v>
      </c>
      <c r="J851" s="1" t="s">
        <v>1926</v>
      </c>
      <c r="K851" s="1" t="s">
        <v>315</v>
      </c>
      <c r="L851" s="1">
        <v>7.87</v>
      </c>
      <c r="M851" s="1">
        <v>451.48</v>
      </c>
      <c r="N851" s="1">
        <v>451.0</v>
      </c>
      <c r="O851" s="1">
        <v>37433.0</v>
      </c>
    </row>
    <row r="852">
      <c r="A852" s="1" t="s">
        <v>1927</v>
      </c>
      <c r="B852" s="1" t="s">
        <v>122</v>
      </c>
      <c r="C852" s="1">
        <v>416.7408</v>
      </c>
      <c r="D852" s="1" t="s">
        <v>21</v>
      </c>
      <c r="E852" s="1" t="s">
        <v>155</v>
      </c>
      <c r="F852" s="1">
        <v>15.52</v>
      </c>
      <c r="G852" s="1">
        <v>37.1</v>
      </c>
      <c r="H852" s="1">
        <v>6.1889461542E10</v>
      </c>
      <c r="I852" s="1">
        <v>6.5781073688E10</v>
      </c>
      <c r="J852" s="2">
        <v>45573.26180555556</v>
      </c>
      <c r="K852" s="1" t="s">
        <v>1928</v>
      </c>
      <c r="L852" s="1">
        <v>6.63</v>
      </c>
      <c r="M852" s="1">
        <v>2762.99</v>
      </c>
      <c r="N852" s="1">
        <v>2763.0</v>
      </c>
      <c r="O852" s="1">
        <v>229329.0</v>
      </c>
    </row>
    <row r="853">
      <c r="A853" s="1" t="s">
        <v>1929</v>
      </c>
      <c r="B853" s="1" t="s">
        <v>83</v>
      </c>
      <c r="C853" s="1">
        <v>109.3975</v>
      </c>
      <c r="D853" s="1" t="s">
        <v>17</v>
      </c>
      <c r="E853" s="1" t="s">
        <v>54</v>
      </c>
      <c r="F853" s="1">
        <v>61.56</v>
      </c>
      <c r="G853" s="1">
        <v>0.16</v>
      </c>
      <c r="H853" s="1">
        <v>9.5837221898E10</v>
      </c>
      <c r="I853" s="3">
        <v>1.00732E11</v>
      </c>
      <c r="J853" s="1" t="s">
        <v>1930</v>
      </c>
      <c r="K853" s="2">
        <v>45359.50555555556</v>
      </c>
      <c r="L853" s="1">
        <v>3.99</v>
      </c>
      <c r="M853" s="1">
        <v>436.5</v>
      </c>
      <c r="N853" s="1">
        <v>436.0</v>
      </c>
      <c r="O853" s="1">
        <v>36188.0</v>
      </c>
    </row>
    <row r="854">
      <c r="A854" s="1" t="s">
        <v>1931</v>
      </c>
      <c r="B854" s="1" t="s">
        <v>169</v>
      </c>
      <c r="C854" s="1">
        <v>116.0494</v>
      </c>
      <c r="D854" s="1" t="s">
        <v>17</v>
      </c>
      <c r="E854" s="1" t="s">
        <v>27</v>
      </c>
      <c r="F854" s="1">
        <v>66.47</v>
      </c>
      <c r="G854" s="1">
        <v>81.04</v>
      </c>
      <c r="H854" s="1">
        <v>3.3771852558E10</v>
      </c>
      <c r="I854" s="1">
        <v>3.736921359E10</v>
      </c>
      <c r="J854" s="2">
        <v>45358.118055555555</v>
      </c>
      <c r="K854" s="2">
        <v>45480.20486111111</v>
      </c>
      <c r="L854" s="1">
        <v>8.94</v>
      </c>
      <c r="M854" s="1">
        <v>1037.48</v>
      </c>
      <c r="N854" s="1">
        <v>1037.0</v>
      </c>
      <c r="O854" s="1">
        <v>86071.0</v>
      </c>
    </row>
    <row r="855">
      <c r="A855" s="1" t="s">
        <v>1932</v>
      </c>
      <c r="B855" s="1" t="s">
        <v>166</v>
      </c>
      <c r="C855" s="1">
        <v>742.8148</v>
      </c>
      <c r="D855" s="1" t="s">
        <v>17</v>
      </c>
      <c r="E855" s="1" t="s">
        <v>105</v>
      </c>
      <c r="F855" s="1">
        <v>56.03</v>
      </c>
      <c r="G855" s="1">
        <v>6.02</v>
      </c>
      <c r="H855" s="1">
        <v>3.4351732282E10</v>
      </c>
      <c r="I855" s="1">
        <v>3.4678750344E10</v>
      </c>
      <c r="J855" s="1" t="s">
        <v>1933</v>
      </c>
      <c r="K855" s="1" t="s">
        <v>1934</v>
      </c>
      <c r="L855" s="1">
        <v>4.87</v>
      </c>
      <c r="M855" s="1">
        <v>3617.51</v>
      </c>
      <c r="N855" s="1">
        <v>3618.0</v>
      </c>
      <c r="O855" s="1">
        <v>300294.0</v>
      </c>
    </row>
    <row r="856">
      <c r="A856" s="1" t="s">
        <v>1935</v>
      </c>
      <c r="B856" s="1" t="s">
        <v>66</v>
      </c>
      <c r="C856" s="1">
        <v>375.4176</v>
      </c>
      <c r="D856" s="1" t="s">
        <v>17</v>
      </c>
      <c r="E856" s="1" t="s">
        <v>70</v>
      </c>
      <c r="F856" s="1">
        <v>65.57</v>
      </c>
      <c r="G856" s="1">
        <v>87.62</v>
      </c>
      <c r="H856" s="1">
        <v>9.560016786E10</v>
      </c>
      <c r="I856" s="1">
        <v>9.8586324009E10</v>
      </c>
      <c r="J856" s="1" t="s">
        <v>1936</v>
      </c>
      <c r="K856" s="2">
        <v>45358.09375</v>
      </c>
      <c r="L856" s="1">
        <v>3.08</v>
      </c>
      <c r="M856" s="1">
        <v>1156.29</v>
      </c>
      <c r="N856" s="1">
        <v>1156.0</v>
      </c>
      <c r="O856" s="1">
        <v>95948.0</v>
      </c>
    </row>
    <row r="857">
      <c r="A857" s="1" t="s">
        <v>1937</v>
      </c>
      <c r="B857" s="1" t="s">
        <v>79</v>
      </c>
      <c r="C857" s="1">
        <v>31.2755</v>
      </c>
      <c r="D857" s="1" t="s">
        <v>17</v>
      </c>
      <c r="E857" s="1" t="s">
        <v>18</v>
      </c>
      <c r="F857" s="1">
        <v>22.99</v>
      </c>
      <c r="G857" s="1">
        <v>75.22</v>
      </c>
      <c r="H857" s="1">
        <v>6.5622960511E10</v>
      </c>
      <c r="I857" s="1">
        <v>6.6341293879E10</v>
      </c>
      <c r="J857" s="2">
        <v>45572.37152777778</v>
      </c>
      <c r="K857" s="1" t="s">
        <v>1938</v>
      </c>
      <c r="L857" s="1">
        <v>3.65</v>
      </c>
      <c r="M857" s="1">
        <v>114.16</v>
      </c>
      <c r="N857" s="1">
        <v>114.0</v>
      </c>
      <c r="O857" s="1">
        <v>9462.0</v>
      </c>
    </row>
    <row r="858">
      <c r="A858" s="1" t="s">
        <v>1939</v>
      </c>
      <c r="B858" s="1" t="s">
        <v>41</v>
      </c>
      <c r="C858" s="1">
        <v>35.4333</v>
      </c>
      <c r="D858" s="1" t="s">
        <v>42</v>
      </c>
      <c r="E858" s="1" t="s">
        <v>54</v>
      </c>
      <c r="F858" s="1">
        <v>25.89</v>
      </c>
      <c r="G858" s="1">
        <v>96.14</v>
      </c>
      <c r="H858" s="1">
        <v>6.8898788478E10</v>
      </c>
      <c r="I858" s="1">
        <v>7.4470389472E10</v>
      </c>
      <c r="J858" s="1" t="s">
        <v>1940</v>
      </c>
      <c r="K858" s="2">
        <v>45329.15694444445</v>
      </c>
      <c r="L858" s="1">
        <v>4.02</v>
      </c>
      <c r="M858" s="1">
        <v>142.44</v>
      </c>
      <c r="N858" s="1">
        <v>142.0</v>
      </c>
      <c r="O858" s="1">
        <v>11786.0</v>
      </c>
    </row>
    <row r="859">
      <c r="A859" s="1" t="s">
        <v>1941</v>
      </c>
      <c r="B859" s="1" t="s">
        <v>122</v>
      </c>
      <c r="C859" s="1">
        <v>777.8178</v>
      </c>
      <c r="D859" s="1" t="s">
        <v>17</v>
      </c>
      <c r="E859" s="1" t="s">
        <v>54</v>
      </c>
      <c r="F859" s="1">
        <v>35.39</v>
      </c>
      <c r="G859" s="1">
        <v>32.36</v>
      </c>
      <c r="H859" s="1">
        <v>6.3884403409E10</v>
      </c>
      <c r="I859" s="1">
        <v>6.5177513275E10</v>
      </c>
      <c r="J859" s="2">
        <v>45634.30416666667</v>
      </c>
      <c r="K859" s="1" t="s">
        <v>1942</v>
      </c>
      <c r="L859" s="1">
        <v>5.76</v>
      </c>
      <c r="M859" s="1">
        <v>4480.23</v>
      </c>
      <c r="N859" s="1">
        <v>4480.0</v>
      </c>
      <c r="O859" s="1">
        <v>371840.0</v>
      </c>
    </row>
    <row r="860">
      <c r="A860" s="1" t="s">
        <v>1943</v>
      </c>
      <c r="B860" s="1" t="s">
        <v>350</v>
      </c>
      <c r="C860" s="1">
        <v>216.1677</v>
      </c>
      <c r="D860" s="1" t="s">
        <v>17</v>
      </c>
      <c r="E860" s="1" t="s">
        <v>18</v>
      </c>
      <c r="F860" s="1">
        <v>53.52</v>
      </c>
      <c r="G860" s="1">
        <v>54.18</v>
      </c>
      <c r="H860" s="1">
        <v>6.8550645302E10</v>
      </c>
      <c r="I860" s="1">
        <v>7.6772333973E10</v>
      </c>
      <c r="J860" s="2">
        <v>45389.71388888889</v>
      </c>
      <c r="K860" s="2">
        <v>45542.572916666664</v>
      </c>
      <c r="L860" s="1">
        <v>9.74</v>
      </c>
      <c r="M860" s="1">
        <v>2105.47</v>
      </c>
      <c r="N860" s="1">
        <v>2105.0</v>
      </c>
      <c r="O860" s="1">
        <v>174715.0</v>
      </c>
    </row>
    <row r="861">
      <c r="A861" s="1" t="s">
        <v>1944</v>
      </c>
      <c r="B861" s="1" t="s">
        <v>350</v>
      </c>
      <c r="C861" s="1">
        <v>967.0035</v>
      </c>
      <c r="D861" s="1" t="s">
        <v>17</v>
      </c>
      <c r="E861" s="1" t="s">
        <v>155</v>
      </c>
      <c r="F861" s="1">
        <v>7.96</v>
      </c>
      <c r="G861" s="1">
        <v>10.82</v>
      </c>
      <c r="H861" s="1">
        <v>6.5566056958E10</v>
      </c>
      <c r="I861" s="1">
        <v>6.9139290269E10</v>
      </c>
      <c r="J861" s="2">
        <v>45390.28194444445</v>
      </c>
      <c r="K861" s="2">
        <v>45512.23541666667</v>
      </c>
      <c r="L861" s="1">
        <v>8.99</v>
      </c>
      <c r="M861" s="1">
        <v>8693.36</v>
      </c>
      <c r="N861" s="1">
        <v>8693.0</v>
      </c>
      <c r="O861" s="1">
        <v>721519.0</v>
      </c>
    </row>
    <row r="862">
      <c r="A862" s="1" t="s">
        <v>1945</v>
      </c>
      <c r="B862" s="1" t="s">
        <v>53</v>
      </c>
      <c r="C862" s="1">
        <v>614.1449</v>
      </c>
      <c r="D862" s="1" t="s">
        <v>17</v>
      </c>
      <c r="E862" s="1" t="s">
        <v>74</v>
      </c>
      <c r="F862" s="1">
        <v>49.41</v>
      </c>
      <c r="G862" s="1">
        <v>60.54</v>
      </c>
      <c r="H862" s="1">
        <v>7.1938574379E10</v>
      </c>
      <c r="I862" s="1">
        <v>7.4911332182E10</v>
      </c>
      <c r="J862" s="2">
        <v>45604.73055555556</v>
      </c>
      <c r="K862" s="1" t="s">
        <v>1946</v>
      </c>
      <c r="L862" s="1">
        <v>3.05</v>
      </c>
      <c r="M862" s="1">
        <v>1873.14</v>
      </c>
      <c r="N862" s="1">
        <v>1873.0</v>
      </c>
      <c r="O862" s="1">
        <v>155459.0</v>
      </c>
    </row>
    <row r="863">
      <c r="A863" s="1" t="s">
        <v>1947</v>
      </c>
      <c r="B863" s="1" t="s">
        <v>273</v>
      </c>
      <c r="C863" s="1">
        <v>700.1031</v>
      </c>
      <c r="D863" s="1" t="s">
        <v>17</v>
      </c>
      <c r="E863" s="1" t="s">
        <v>27</v>
      </c>
      <c r="F863" s="1">
        <v>37.22</v>
      </c>
      <c r="G863" s="1">
        <v>58.66</v>
      </c>
      <c r="H863" s="1">
        <v>8.887048064E10</v>
      </c>
      <c r="I863" s="1">
        <v>9.0559922778E10</v>
      </c>
      <c r="J863" s="2">
        <v>45603.46111111111</v>
      </c>
      <c r="K863" s="1" t="s">
        <v>1948</v>
      </c>
      <c r="L863" s="1">
        <v>9.16</v>
      </c>
      <c r="M863" s="1">
        <v>6412.94</v>
      </c>
      <c r="N863" s="1">
        <v>6413.0</v>
      </c>
      <c r="O863" s="1">
        <v>532279.0</v>
      </c>
    </row>
    <row r="864">
      <c r="A864" s="1" t="s">
        <v>1949</v>
      </c>
      <c r="B864" s="1" t="s">
        <v>99</v>
      </c>
      <c r="C864" s="1">
        <v>749.4753</v>
      </c>
      <c r="D864" s="1" t="s">
        <v>17</v>
      </c>
      <c r="E864" s="1" t="s">
        <v>105</v>
      </c>
      <c r="F864" s="1">
        <v>85.61</v>
      </c>
      <c r="G864" s="1">
        <v>27.21</v>
      </c>
      <c r="H864" s="1">
        <v>3.4512266113E10</v>
      </c>
      <c r="I864" s="1">
        <v>4.2396858117E10</v>
      </c>
      <c r="J864" s="2">
        <v>45298.84097222222</v>
      </c>
      <c r="K864" s="2">
        <v>45480.152083333334</v>
      </c>
      <c r="L864" s="1">
        <v>6.92</v>
      </c>
      <c r="M864" s="1">
        <v>5186.37</v>
      </c>
      <c r="N864" s="1">
        <v>5186.0</v>
      </c>
      <c r="O864" s="1">
        <v>430438.0</v>
      </c>
    </row>
    <row r="865">
      <c r="A865" s="1" t="s">
        <v>1950</v>
      </c>
      <c r="B865" s="1" t="s">
        <v>36</v>
      </c>
      <c r="C865" s="1">
        <v>647.1712</v>
      </c>
      <c r="D865" s="1" t="s">
        <v>21</v>
      </c>
      <c r="E865" s="1" t="s">
        <v>58</v>
      </c>
      <c r="F865" s="1">
        <v>12.38</v>
      </c>
      <c r="G865" s="1">
        <v>39.08</v>
      </c>
      <c r="H865" s="1">
        <v>1.0175153127E10</v>
      </c>
      <c r="I865" s="1">
        <v>1.7016011208E10</v>
      </c>
      <c r="J865" s="1" t="s">
        <v>1951</v>
      </c>
      <c r="K865" s="1" t="s">
        <v>1952</v>
      </c>
      <c r="L865" s="1">
        <v>9.65</v>
      </c>
      <c r="M865" s="1">
        <v>6245.2</v>
      </c>
      <c r="N865" s="1">
        <v>6245.0</v>
      </c>
      <c r="O865" s="1">
        <v>518335.0</v>
      </c>
    </row>
    <row r="866">
      <c r="A866" s="1" t="s">
        <v>1953</v>
      </c>
      <c r="B866" s="1" t="s">
        <v>31</v>
      </c>
      <c r="C866" s="1">
        <v>609.1025</v>
      </c>
      <c r="D866" s="1" t="s">
        <v>17</v>
      </c>
      <c r="E866" s="1" t="s">
        <v>123</v>
      </c>
      <c r="F866" s="1">
        <v>62.06</v>
      </c>
      <c r="G866" s="1">
        <v>35.75</v>
      </c>
      <c r="H866" s="1">
        <v>7.8808451311E10</v>
      </c>
      <c r="I866" s="1">
        <v>7.9516684243E10</v>
      </c>
      <c r="J866" s="1" t="s">
        <v>1954</v>
      </c>
      <c r="K866" s="1" t="s">
        <v>1955</v>
      </c>
      <c r="L866" s="1">
        <v>6.62</v>
      </c>
      <c r="M866" s="1">
        <v>4032.26</v>
      </c>
      <c r="N866" s="1">
        <v>4032.0</v>
      </c>
      <c r="O866" s="1">
        <v>334656.0</v>
      </c>
    </row>
    <row r="867">
      <c r="A867" s="1" t="s">
        <v>1956</v>
      </c>
      <c r="B867" s="1" t="s">
        <v>53</v>
      </c>
      <c r="C867" s="1">
        <v>804.0664</v>
      </c>
      <c r="D867" s="1" t="s">
        <v>21</v>
      </c>
      <c r="E867" s="1" t="s">
        <v>54</v>
      </c>
      <c r="F867" s="1">
        <v>75.7</v>
      </c>
      <c r="G867" s="1">
        <v>97.66</v>
      </c>
      <c r="H867" s="1">
        <v>7.7064605414E10</v>
      </c>
      <c r="I867" s="1">
        <v>8.1678867817E10</v>
      </c>
      <c r="J867" s="2">
        <v>45572.316666666666</v>
      </c>
      <c r="K867" s="1" t="s">
        <v>1957</v>
      </c>
      <c r="L867" s="1">
        <v>4.28</v>
      </c>
      <c r="M867" s="1">
        <v>3441.4</v>
      </c>
      <c r="N867" s="1">
        <v>3441.0</v>
      </c>
      <c r="O867" s="1">
        <v>285603.0</v>
      </c>
    </row>
    <row r="868">
      <c r="A868" s="1" t="s">
        <v>1958</v>
      </c>
      <c r="B868" s="1" t="s">
        <v>46</v>
      </c>
      <c r="C868" s="1">
        <v>187.2887</v>
      </c>
      <c r="D868" s="1" t="s">
        <v>17</v>
      </c>
      <c r="E868" s="1" t="s">
        <v>18</v>
      </c>
      <c r="F868" s="1">
        <v>81.86</v>
      </c>
      <c r="G868" s="1">
        <v>14.13</v>
      </c>
      <c r="H868" s="1">
        <v>3.2806148614E10</v>
      </c>
      <c r="I868" s="1">
        <v>4.0584125808E10</v>
      </c>
      <c r="J868" s="2">
        <v>45419.811111111114</v>
      </c>
      <c r="K868" s="2">
        <v>45480.1125</v>
      </c>
      <c r="L868" s="1">
        <v>8.83</v>
      </c>
      <c r="M868" s="1">
        <v>1653.76</v>
      </c>
      <c r="N868" s="1">
        <v>1654.0</v>
      </c>
      <c r="O868" s="1">
        <v>137282.0</v>
      </c>
    </row>
    <row r="869">
      <c r="A869" s="1" t="s">
        <v>1959</v>
      </c>
      <c r="B869" s="1" t="s">
        <v>66</v>
      </c>
      <c r="C869" s="1">
        <v>377.6054</v>
      </c>
      <c r="D869" s="1" t="s">
        <v>21</v>
      </c>
      <c r="E869" s="1" t="s">
        <v>22</v>
      </c>
      <c r="F869" s="1">
        <v>31.21</v>
      </c>
      <c r="G869" s="1">
        <v>54.64</v>
      </c>
      <c r="H869" s="1">
        <v>2.5009594193E10</v>
      </c>
      <c r="I869" s="1">
        <v>3.4804350306E10</v>
      </c>
      <c r="J869" s="2">
        <v>45358.839583333334</v>
      </c>
      <c r="K869" s="2">
        <v>45450.54236111111</v>
      </c>
      <c r="L869" s="1">
        <v>5.68</v>
      </c>
      <c r="M869" s="1">
        <v>2144.8</v>
      </c>
      <c r="N869" s="1">
        <v>2145.0</v>
      </c>
      <c r="O869" s="1">
        <v>178035.0</v>
      </c>
    </row>
    <row r="870">
      <c r="A870" s="1" t="s">
        <v>1960</v>
      </c>
      <c r="B870" s="1" t="s">
        <v>147</v>
      </c>
      <c r="C870" s="1">
        <v>67.7333</v>
      </c>
      <c r="D870" s="1" t="s">
        <v>42</v>
      </c>
      <c r="E870" s="1" t="s">
        <v>155</v>
      </c>
      <c r="F870" s="1">
        <v>95.83</v>
      </c>
      <c r="G870" s="1">
        <v>41.85</v>
      </c>
      <c r="H870" s="1">
        <v>7.8440748612E10</v>
      </c>
      <c r="I870" s="1">
        <v>8.5486927373E10</v>
      </c>
      <c r="J870" s="2">
        <v>45633.680555555555</v>
      </c>
      <c r="K870" s="1" t="s">
        <v>1961</v>
      </c>
      <c r="L870" s="1">
        <v>8.84</v>
      </c>
      <c r="M870" s="1">
        <v>598.76</v>
      </c>
      <c r="N870" s="1">
        <v>599.0</v>
      </c>
      <c r="O870" s="1">
        <v>49717.0</v>
      </c>
    </row>
    <row r="871">
      <c r="A871" s="1" t="s">
        <v>1962</v>
      </c>
      <c r="B871" s="1" t="s">
        <v>147</v>
      </c>
      <c r="C871" s="1">
        <v>73.95</v>
      </c>
      <c r="D871" s="1" t="s">
        <v>42</v>
      </c>
      <c r="E871" s="1" t="s">
        <v>70</v>
      </c>
      <c r="F871" s="1">
        <v>93.44</v>
      </c>
      <c r="G871" s="1">
        <v>68.76</v>
      </c>
      <c r="H871" s="1">
        <v>1.2456947603E10</v>
      </c>
      <c r="I871" s="1">
        <v>1.6300754614E10</v>
      </c>
      <c r="J871" s="2">
        <v>45481.22777777778</v>
      </c>
      <c r="K871" s="2">
        <v>45573.30902777778</v>
      </c>
      <c r="L871" s="1">
        <v>5.24</v>
      </c>
      <c r="M871" s="1">
        <v>387.5</v>
      </c>
      <c r="N871" s="1">
        <v>388.0</v>
      </c>
      <c r="O871" s="1">
        <v>32204.0</v>
      </c>
    </row>
    <row r="872">
      <c r="A872" s="1" t="s">
        <v>1963</v>
      </c>
      <c r="B872" s="1" t="s">
        <v>46</v>
      </c>
      <c r="C872" s="1">
        <v>568.7916</v>
      </c>
      <c r="D872" s="1" t="s">
        <v>21</v>
      </c>
      <c r="E872" s="1" t="s">
        <v>32</v>
      </c>
      <c r="F872" s="1">
        <v>70.05</v>
      </c>
      <c r="G872" s="1">
        <v>67.12</v>
      </c>
      <c r="H872" s="1">
        <v>6.1148063721E10</v>
      </c>
      <c r="I872" s="1">
        <v>7.0111111358E10</v>
      </c>
      <c r="J872" s="1" t="s">
        <v>1964</v>
      </c>
      <c r="K872" s="1" t="s">
        <v>1965</v>
      </c>
      <c r="L872" s="1">
        <v>2.61</v>
      </c>
      <c r="M872" s="1">
        <v>1484.55</v>
      </c>
      <c r="N872" s="1">
        <v>1485.0</v>
      </c>
      <c r="O872" s="1">
        <v>123255.0</v>
      </c>
    </row>
    <row r="873">
      <c r="A873" s="1" t="s">
        <v>1966</v>
      </c>
      <c r="B873" s="1" t="s">
        <v>112</v>
      </c>
      <c r="C873" s="1">
        <v>36.25</v>
      </c>
      <c r="D873" s="1" t="s">
        <v>42</v>
      </c>
      <c r="E873" s="1" t="s">
        <v>18</v>
      </c>
      <c r="F873" s="1">
        <v>57.77</v>
      </c>
      <c r="G873" s="1">
        <v>5.48</v>
      </c>
      <c r="H873" s="1">
        <v>8.0117113469E10</v>
      </c>
      <c r="I873" s="1">
        <v>8.015357633E10</v>
      </c>
      <c r="J873" s="1" t="s">
        <v>1967</v>
      </c>
      <c r="K873" s="1" t="s">
        <v>1968</v>
      </c>
      <c r="L873" s="1">
        <v>4.19</v>
      </c>
      <c r="M873" s="1">
        <v>151.89</v>
      </c>
      <c r="N873" s="1">
        <v>152.0</v>
      </c>
      <c r="O873" s="1">
        <v>12616.0</v>
      </c>
    </row>
    <row r="874">
      <c r="A874" s="1" t="s">
        <v>1969</v>
      </c>
      <c r="B874" s="1" t="s">
        <v>57</v>
      </c>
      <c r="C874" s="1">
        <v>288.1675</v>
      </c>
      <c r="D874" s="1" t="s">
        <v>21</v>
      </c>
      <c r="E874" s="1" t="s">
        <v>155</v>
      </c>
      <c r="F874" s="1">
        <v>38.26</v>
      </c>
      <c r="G874" s="1">
        <v>33.25</v>
      </c>
      <c r="H874" s="1">
        <v>8.501476936E9</v>
      </c>
      <c r="I874" s="1">
        <v>1.5392500201E10</v>
      </c>
      <c r="J874" s="1" t="s">
        <v>1970</v>
      </c>
      <c r="K874" s="1" t="s">
        <v>1971</v>
      </c>
      <c r="L874" s="1">
        <v>4.1</v>
      </c>
      <c r="M874" s="1">
        <v>1181.49</v>
      </c>
      <c r="N874" s="1">
        <v>1181.0</v>
      </c>
      <c r="O874" s="1">
        <v>98023.0</v>
      </c>
    </row>
    <row r="875">
      <c r="A875" s="1" t="s">
        <v>1972</v>
      </c>
      <c r="B875" s="1" t="s">
        <v>60</v>
      </c>
      <c r="C875" s="1">
        <v>48.75</v>
      </c>
      <c r="D875" s="1" t="s">
        <v>42</v>
      </c>
      <c r="E875" s="1" t="s">
        <v>70</v>
      </c>
      <c r="F875" s="1">
        <v>10.17</v>
      </c>
      <c r="G875" s="1">
        <v>93.94</v>
      </c>
      <c r="H875" s="1">
        <v>2.4435018446E10</v>
      </c>
      <c r="I875" s="1">
        <v>2.471043483E10</v>
      </c>
      <c r="J875" s="2">
        <v>45604.92569444444</v>
      </c>
      <c r="K875" s="1" t="s">
        <v>1973</v>
      </c>
      <c r="L875" s="1">
        <v>5.42</v>
      </c>
      <c r="M875" s="1">
        <v>264.23</v>
      </c>
      <c r="N875" s="1">
        <v>264.0</v>
      </c>
      <c r="O875" s="1">
        <v>21912.0</v>
      </c>
    </row>
    <row r="876">
      <c r="A876" s="1" t="s">
        <v>1974</v>
      </c>
      <c r="B876" s="1" t="s">
        <v>112</v>
      </c>
      <c r="C876" s="1">
        <v>123.5333</v>
      </c>
      <c r="D876" s="1" t="s">
        <v>42</v>
      </c>
      <c r="E876" s="1" t="s">
        <v>22</v>
      </c>
      <c r="F876" s="1">
        <v>56.0</v>
      </c>
      <c r="G876" s="1">
        <v>45.03</v>
      </c>
      <c r="H876" s="1">
        <v>1.6460186813E10</v>
      </c>
      <c r="I876" s="1">
        <v>1.7852026452E10</v>
      </c>
      <c r="J876" s="1" t="s">
        <v>1975</v>
      </c>
      <c r="K876" s="1" t="s">
        <v>1976</v>
      </c>
      <c r="L876" s="1">
        <v>2.01</v>
      </c>
      <c r="M876" s="1">
        <v>248.3</v>
      </c>
      <c r="N876" s="1">
        <v>248.0</v>
      </c>
      <c r="O876" s="1">
        <v>20584.0</v>
      </c>
    </row>
    <row r="877">
      <c r="A877" s="1" t="s">
        <v>1977</v>
      </c>
      <c r="B877" s="1" t="s">
        <v>66</v>
      </c>
      <c r="C877" s="1">
        <v>603.5435</v>
      </c>
      <c r="D877" s="1" t="s">
        <v>17</v>
      </c>
      <c r="E877" s="1" t="s">
        <v>105</v>
      </c>
      <c r="F877" s="1">
        <v>5.96</v>
      </c>
      <c r="G877" s="1">
        <v>31.13</v>
      </c>
      <c r="H877" s="1">
        <v>3.8527162678E10</v>
      </c>
      <c r="I877" s="1">
        <v>3.9635005557E10</v>
      </c>
      <c r="J877" s="1" t="s">
        <v>1978</v>
      </c>
      <c r="K877" s="1" t="s">
        <v>1979</v>
      </c>
      <c r="L877" s="1">
        <v>3.7</v>
      </c>
      <c r="M877" s="1">
        <v>2233.11</v>
      </c>
      <c r="N877" s="1">
        <v>2233.0</v>
      </c>
      <c r="O877" s="1">
        <v>185339.0</v>
      </c>
    </row>
    <row r="878">
      <c r="A878" s="1" t="s">
        <v>1980</v>
      </c>
      <c r="B878" s="1" t="s">
        <v>20</v>
      </c>
      <c r="C878" s="1">
        <v>673.8625</v>
      </c>
      <c r="D878" s="1" t="s">
        <v>21</v>
      </c>
      <c r="E878" s="1" t="s">
        <v>70</v>
      </c>
      <c r="F878" s="1">
        <v>46.98</v>
      </c>
      <c r="G878" s="1">
        <v>68.94</v>
      </c>
      <c r="H878" s="1">
        <v>2.3560942202E10</v>
      </c>
      <c r="I878" s="1">
        <v>2.5252564605E10</v>
      </c>
      <c r="J878" s="1" t="s">
        <v>1981</v>
      </c>
      <c r="K878" s="1" t="s">
        <v>1982</v>
      </c>
      <c r="L878" s="1">
        <v>2.69</v>
      </c>
      <c r="M878" s="1">
        <v>1812.69</v>
      </c>
      <c r="N878" s="1">
        <v>1813.0</v>
      </c>
      <c r="O878" s="1">
        <v>150479.0</v>
      </c>
    </row>
    <row r="879">
      <c r="A879" s="1" t="s">
        <v>1983</v>
      </c>
      <c r="B879" s="1" t="s">
        <v>57</v>
      </c>
      <c r="C879" s="1">
        <v>142.6776</v>
      </c>
      <c r="D879" s="1" t="s">
        <v>21</v>
      </c>
      <c r="E879" s="1" t="s">
        <v>32</v>
      </c>
      <c r="F879" s="1">
        <v>72.5</v>
      </c>
      <c r="G879" s="1">
        <v>75.43</v>
      </c>
      <c r="H879" s="1">
        <v>9.3728555055E10</v>
      </c>
      <c r="I879" s="1">
        <v>9.5810901292E10</v>
      </c>
      <c r="J879" s="1" t="s">
        <v>1984</v>
      </c>
      <c r="K879" s="1" t="s">
        <v>1985</v>
      </c>
      <c r="L879" s="1">
        <v>3.43</v>
      </c>
      <c r="M879" s="1">
        <v>489.38</v>
      </c>
      <c r="N879" s="1">
        <v>489.0</v>
      </c>
      <c r="O879" s="1">
        <v>40587.0</v>
      </c>
    </row>
    <row r="880">
      <c r="A880" s="1" t="s">
        <v>1986</v>
      </c>
      <c r="B880" s="1" t="s">
        <v>66</v>
      </c>
      <c r="C880" s="1">
        <v>30.7914</v>
      </c>
      <c r="D880" s="1" t="s">
        <v>21</v>
      </c>
      <c r="E880" s="1" t="s">
        <v>70</v>
      </c>
      <c r="F880" s="1">
        <v>99.67</v>
      </c>
      <c r="G880" s="1">
        <v>25.22</v>
      </c>
      <c r="H880" s="1">
        <v>3.1693150202E10</v>
      </c>
      <c r="I880" s="1">
        <v>3.5848821301E10</v>
      </c>
      <c r="J880" s="2">
        <v>45420.52013888889</v>
      </c>
      <c r="K880" s="2">
        <v>45451.83472222222</v>
      </c>
      <c r="L880" s="1">
        <v>3.39</v>
      </c>
      <c r="M880" s="1">
        <v>104.38</v>
      </c>
      <c r="N880" s="1">
        <v>104.0</v>
      </c>
      <c r="O880" s="1">
        <v>8632.0</v>
      </c>
    </row>
    <row r="881">
      <c r="A881" s="1" t="s">
        <v>1987</v>
      </c>
      <c r="B881" s="1" t="s">
        <v>60</v>
      </c>
      <c r="C881" s="1">
        <v>61.75</v>
      </c>
      <c r="D881" s="1" t="s">
        <v>42</v>
      </c>
      <c r="E881" s="1" t="s">
        <v>27</v>
      </c>
      <c r="F881" s="1">
        <v>21.01</v>
      </c>
      <c r="G881" s="1">
        <v>90.87</v>
      </c>
      <c r="H881" s="1">
        <v>2.2465469172E10</v>
      </c>
      <c r="I881" s="1">
        <v>3.1008980415E10</v>
      </c>
      <c r="J881" s="1" t="s">
        <v>1988</v>
      </c>
      <c r="K881" s="1" t="s">
        <v>1989</v>
      </c>
      <c r="L881" s="1">
        <v>8.82</v>
      </c>
      <c r="M881" s="1">
        <v>544.63</v>
      </c>
      <c r="N881" s="1">
        <v>545.0</v>
      </c>
      <c r="O881" s="1">
        <v>45235.0</v>
      </c>
    </row>
    <row r="882">
      <c r="A882" s="1" t="s">
        <v>1990</v>
      </c>
      <c r="B882" s="1" t="s">
        <v>31</v>
      </c>
      <c r="C882" s="1">
        <v>98.7196</v>
      </c>
      <c r="D882" s="1" t="s">
        <v>17</v>
      </c>
      <c r="E882" s="1" t="s">
        <v>54</v>
      </c>
      <c r="F882" s="1">
        <v>81.91</v>
      </c>
      <c r="G882" s="1">
        <v>97.66</v>
      </c>
      <c r="H882" s="1">
        <v>6.9176118241E10</v>
      </c>
      <c r="I882" s="1">
        <v>7.0353669674E10</v>
      </c>
      <c r="J882" s="1" t="s">
        <v>1991</v>
      </c>
      <c r="K882" s="1" t="s">
        <v>1992</v>
      </c>
      <c r="L882" s="1">
        <v>9.02</v>
      </c>
      <c r="M882" s="1">
        <v>890.45</v>
      </c>
      <c r="N882" s="1">
        <v>890.0</v>
      </c>
      <c r="O882" s="1">
        <v>73870.0</v>
      </c>
    </row>
    <row r="883">
      <c r="A883" s="1" t="s">
        <v>1993</v>
      </c>
      <c r="B883" s="1" t="s">
        <v>46</v>
      </c>
      <c r="C883" s="1">
        <v>598.3014</v>
      </c>
      <c r="D883" s="1" t="s">
        <v>17</v>
      </c>
      <c r="E883" s="1" t="s">
        <v>105</v>
      </c>
      <c r="F883" s="1">
        <v>43.99</v>
      </c>
      <c r="G883" s="1">
        <v>26.46</v>
      </c>
      <c r="H883" s="1">
        <v>8.4689113235E10</v>
      </c>
      <c r="I883" s="1">
        <v>9.102919115E10</v>
      </c>
      <c r="J883" s="2">
        <v>45419.316666666666</v>
      </c>
      <c r="K883" s="2">
        <v>45542.76875</v>
      </c>
      <c r="L883" s="1">
        <v>6.56</v>
      </c>
      <c r="M883" s="1">
        <v>3924.86</v>
      </c>
      <c r="N883" s="1">
        <v>3925.0</v>
      </c>
      <c r="O883" s="1">
        <v>325775.0</v>
      </c>
    </row>
    <row r="884">
      <c r="A884" s="1" t="s">
        <v>1994</v>
      </c>
      <c r="B884" s="1" t="s">
        <v>31</v>
      </c>
      <c r="C884" s="1">
        <v>305.88</v>
      </c>
      <c r="D884" s="1" t="s">
        <v>17</v>
      </c>
      <c r="E884" s="1" t="s">
        <v>155</v>
      </c>
      <c r="F884" s="1">
        <v>62.24</v>
      </c>
      <c r="G884" s="1">
        <v>16.55</v>
      </c>
      <c r="H884" s="1">
        <v>7.7219204958E10</v>
      </c>
      <c r="I884" s="1">
        <v>8.2187842771E10</v>
      </c>
      <c r="J884" s="1" t="s">
        <v>1995</v>
      </c>
      <c r="K884" s="1" t="s">
        <v>305</v>
      </c>
      <c r="L884" s="1">
        <v>4.18</v>
      </c>
      <c r="M884" s="1">
        <v>1278.58</v>
      </c>
      <c r="N884" s="1">
        <v>1279.0</v>
      </c>
      <c r="O884" s="1">
        <v>106157.0</v>
      </c>
    </row>
    <row r="885">
      <c r="A885" s="1" t="s">
        <v>1996</v>
      </c>
      <c r="B885" s="1" t="s">
        <v>112</v>
      </c>
      <c r="C885" s="1">
        <v>32.7667</v>
      </c>
      <c r="D885" s="1" t="s">
        <v>42</v>
      </c>
      <c r="E885" s="1" t="s">
        <v>37</v>
      </c>
      <c r="F885" s="1">
        <v>84.53</v>
      </c>
      <c r="G885" s="1">
        <v>65.92</v>
      </c>
      <c r="H885" s="1">
        <v>2.6796831999E10</v>
      </c>
      <c r="I885" s="1">
        <v>2.9749158947E10</v>
      </c>
      <c r="J885" s="1" t="s">
        <v>1997</v>
      </c>
      <c r="K885" s="1" t="s">
        <v>1998</v>
      </c>
      <c r="L885" s="1">
        <v>8.94</v>
      </c>
      <c r="M885" s="1">
        <v>292.93</v>
      </c>
      <c r="N885" s="1">
        <v>293.0</v>
      </c>
      <c r="O885" s="1">
        <v>24319.0</v>
      </c>
    </row>
    <row r="886">
      <c r="A886" s="1" t="s">
        <v>1999</v>
      </c>
      <c r="B886" s="1" t="s">
        <v>83</v>
      </c>
      <c r="C886" s="1">
        <v>275.9775</v>
      </c>
      <c r="D886" s="1" t="s">
        <v>21</v>
      </c>
      <c r="E886" s="1" t="s">
        <v>32</v>
      </c>
      <c r="F886" s="1">
        <v>49.86</v>
      </c>
      <c r="G886" s="1">
        <v>71.17</v>
      </c>
      <c r="H886" s="1">
        <v>4.6776167891E10</v>
      </c>
      <c r="I886" s="1">
        <v>5.0808021282E10</v>
      </c>
      <c r="J886" s="1" t="s">
        <v>2000</v>
      </c>
      <c r="K886" s="1" t="s">
        <v>2001</v>
      </c>
      <c r="L886" s="1">
        <v>4.15</v>
      </c>
      <c r="M886" s="1">
        <v>1145.31</v>
      </c>
      <c r="N886" s="1">
        <v>1145.0</v>
      </c>
      <c r="O886" s="1">
        <v>95035.0</v>
      </c>
    </row>
    <row r="887">
      <c r="A887" s="1" t="s">
        <v>2002</v>
      </c>
      <c r="B887" s="1" t="s">
        <v>20</v>
      </c>
      <c r="C887" s="1">
        <v>601.8522</v>
      </c>
      <c r="D887" s="1" t="s">
        <v>17</v>
      </c>
      <c r="E887" s="1" t="s">
        <v>70</v>
      </c>
      <c r="F887" s="1">
        <v>31.71</v>
      </c>
      <c r="G887" s="1">
        <v>70.24</v>
      </c>
      <c r="H887" s="1">
        <v>2.8038913731E10</v>
      </c>
      <c r="I887" s="1">
        <v>3.7441336007E10</v>
      </c>
      <c r="J887" s="2">
        <v>45299.21319444444</v>
      </c>
      <c r="K887" s="2">
        <v>45420.20347222222</v>
      </c>
      <c r="L887" s="1">
        <v>3.76</v>
      </c>
      <c r="M887" s="1">
        <v>2262.96</v>
      </c>
      <c r="N887" s="1">
        <v>2263.0</v>
      </c>
      <c r="O887" s="1">
        <v>187829.0</v>
      </c>
    </row>
    <row r="888">
      <c r="A888" s="1" t="s">
        <v>2003</v>
      </c>
      <c r="B888" s="1" t="s">
        <v>147</v>
      </c>
      <c r="C888" s="1">
        <v>93.35</v>
      </c>
      <c r="D888" s="1" t="s">
        <v>42</v>
      </c>
      <c r="E888" s="1" t="s">
        <v>123</v>
      </c>
      <c r="F888" s="1">
        <v>39.94</v>
      </c>
      <c r="G888" s="1">
        <v>64.89</v>
      </c>
      <c r="H888" s="1">
        <v>4.4483443936E10</v>
      </c>
      <c r="I888" s="1">
        <v>5.2798878897E10</v>
      </c>
      <c r="J888" s="2">
        <v>45419.99791666667</v>
      </c>
      <c r="K888" s="2">
        <v>45542.8875</v>
      </c>
      <c r="L888" s="1">
        <v>6.69</v>
      </c>
      <c r="M888" s="1">
        <v>624.51</v>
      </c>
      <c r="N888" s="1">
        <v>625.0</v>
      </c>
      <c r="O888" s="1">
        <v>51875.0</v>
      </c>
    </row>
    <row r="889">
      <c r="A889" s="1" t="s">
        <v>2004</v>
      </c>
      <c r="B889" s="1" t="s">
        <v>36</v>
      </c>
      <c r="C889" s="1">
        <v>746.6981</v>
      </c>
      <c r="D889" s="1" t="s">
        <v>17</v>
      </c>
      <c r="E889" s="1" t="s">
        <v>18</v>
      </c>
      <c r="F889" s="1">
        <v>7.34</v>
      </c>
      <c r="G889" s="1">
        <v>6.22</v>
      </c>
      <c r="H889" s="1">
        <v>6.6838551161E10</v>
      </c>
      <c r="I889" s="1">
        <v>7.542114392E10</v>
      </c>
      <c r="J889" s="1" t="s">
        <v>2005</v>
      </c>
      <c r="K889" s="1" t="s">
        <v>2006</v>
      </c>
      <c r="L889" s="1">
        <v>9.14</v>
      </c>
      <c r="M889" s="1">
        <v>6824.82</v>
      </c>
      <c r="N889" s="1">
        <v>6825.0</v>
      </c>
      <c r="O889" s="1">
        <v>566475.0</v>
      </c>
    </row>
    <row r="890">
      <c r="A890" s="1" t="s">
        <v>2007</v>
      </c>
      <c r="B890" s="1" t="s">
        <v>36</v>
      </c>
      <c r="C890" s="1">
        <v>843.7141</v>
      </c>
      <c r="D890" s="1" t="s">
        <v>21</v>
      </c>
      <c r="E890" s="1" t="s">
        <v>18</v>
      </c>
      <c r="F890" s="1">
        <v>48.44</v>
      </c>
      <c r="G890" s="1">
        <v>33.53</v>
      </c>
      <c r="H890" s="1">
        <v>6.921910832E10</v>
      </c>
      <c r="I890" s="1">
        <v>7.5026706515E10</v>
      </c>
      <c r="J890" s="2">
        <v>45633.768055555556</v>
      </c>
      <c r="K890" s="1" t="s">
        <v>2008</v>
      </c>
      <c r="L890" s="1">
        <v>3.06</v>
      </c>
      <c r="M890" s="1">
        <v>2581.77</v>
      </c>
      <c r="N890" s="1">
        <v>2582.0</v>
      </c>
      <c r="O890" s="1">
        <v>214306.0</v>
      </c>
    </row>
    <row r="891">
      <c r="A891" s="1" t="s">
        <v>2009</v>
      </c>
      <c r="B891" s="1" t="s">
        <v>20</v>
      </c>
      <c r="C891" s="1">
        <v>778.0122</v>
      </c>
      <c r="D891" s="1" t="s">
        <v>21</v>
      </c>
      <c r="E891" s="1" t="s">
        <v>54</v>
      </c>
      <c r="F891" s="1">
        <v>79.14</v>
      </c>
      <c r="G891" s="1">
        <v>83.42</v>
      </c>
      <c r="H891" s="1">
        <v>5.6450611354E10</v>
      </c>
      <c r="I891" s="1">
        <v>6.1528752233E10</v>
      </c>
      <c r="J891" s="2">
        <v>45481.563888888886</v>
      </c>
      <c r="K891" s="2">
        <v>45573.68194444444</v>
      </c>
      <c r="L891" s="1">
        <v>5.88</v>
      </c>
      <c r="M891" s="1">
        <v>4574.71</v>
      </c>
      <c r="N891" s="1">
        <v>4575.0</v>
      </c>
      <c r="O891" s="1">
        <v>379725.0</v>
      </c>
    </row>
    <row r="892">
      <c r="A892" s="1" t="s">
        <v>2010</v>
      </c>
      <c r="B892" s="1" t="s">
        <v>183</v>
      </c>
      <c r="C892" s="1">
        <v>742.733</v>
      </c>
      <c r="D892" s="1" t="s">
        <v>21</v>
      </c>
      <c r="E892" s="1" t="s">
        <v>32</v>
      </c>
      <c r="F892" s="1">
        <v>53.62</v>
      </c>
      <c r="G892" s="1">
        <v>91.94</v>
      </c>
      <c r="H892" s="1">
        <v>4.275411203E10</v>
      </c>
      <c r="I892" s="1">
        <v>4.4947389011E10</v>
      </c>
      <c r="J892" s="1" t="s">
        <v>2011</v>
      </c>
      <c r="K892" s="1" t="s">
        <v>2012</v>
      </c>
      <c r="L892" s="1">
        <v>4.32</v>
      </c>
      <c r="M892" s="1">
        <v>3208.61</v>
      </c>
      <c r="N892" s="1">
        <v>3209.0</v>
      </c>
      <c r="O892" s="1">
        <v>266347.0</v>
      </c>
    </row>
    <row r="893">
      <c r="A893" s="1" t="s">
        <v>2013</v>
      </c>
      <c r="B893" s="1" t="s">
        <v>112</v>
      </c>
      <c r="C893" s="1">
        <v>101.3667</v>
      </c>
      <c r="D893" s="1" t="s">
        <v>42</v>
      </c>
      <c r="E893" s="1" t="s">
        <v>105</v>
      </c>
      <c r="F893" s="1">
        <v>7.16</v>
      </c>
      <c r="G893" s="1">
        <v>26.61</v>
      </c>
      <c r="H893" s="1">
        <v>1.2038236912E10</v>
      </c>
      <c r="I893" s="1">
        <v>1.4962833377E10</v>
      </c>
      <c r="J893" s="1" t="s">
        <v>2014</v>
      </c>
      <c r="K893" s="1" t="s">
        <v>2015</v>
      </c>
      <c r="L893" s="1">
        <v>9.99</v>
      </c>
      <c r="M893" s="1">
        <v>1012.65</v>
      </c>
      <c r="N893" s="1">
        <v>1013.0</v>
      </c>
      <c r="O893" s="1">
        <v>84079.0</v>
      </c>
    </row>
    <row r="894">
      <c r="A894" s="1" t="s">
        <v>2016</v>
      </c>
      <c r="B894" s="1" t="s">
        <v>53</v>
      </c>
      <c r="C894" s="1">
        <v>206.065</v>
      </c>
      <c r="D894" s="1" t="s">
        <v>17</v>
      </c>
      <c r="E894" s="1" t="s">
        <v>54</v>
      </c>
      <c r="F894" s="1">
        <v>71.06</v>
      </c>
      <c r="G894" s="1">
        <v>31.47</v>
      </c>
      <c r="H894" s="1">
        <v>4.7560830234E10</v>
      </c>
      <c r="I894" s="1">
        <v>5.623260772E10</v>
      </c>
      <c r="J894" s="1" t="s">
        <v>2017</v>
      </c>
      <c r="K894" s="1" t="s">
        <v>2018</v>
      </c>
      <c r="L894" s="1">
        <v>2.96</v>
      </c>
      <c r="M894" s="1">
        <v>609.95</v>
      </c>
      <c r="N894" s="1">
        <v>610.0</v>
      </c>
      <c r="O894" s="1">
        <v>50630.0</v>
      </c>
    </row>
    <row r="895">
      <c r="A895" s="1" t="s">
        <v>2019</v>
      </c>
      <c r="B895" s="1" t="s">
        <v>62</v>
      </c>
      <c r="C895" s="1">
        <v>40.9833</v>
      </c>
      <c r="D895" s="1" t="s">
        <v>42</v>
      </c>
      <c r="E895" s="1" t="s">
        <v>22</v>
      </c>
      <c r="F895" s="1">
        <v>47.14</v>
      </c>
      <c r="G895" s="1">
        <v>18.34</v>
      </c>
      <c r="H895" s="1">
        <v>6.3610084029E10</v>
      </c>
      <c r="I895" s="1">
        <v>6.9417402995E10</v>
      </c>
      <c r="J895" s="2">
        <v>45481.64722222222</v>
      </c>
      <c r="K895" s="2">
        <v>45543.35486111111</v>
      </c>
      <c r="L895" s="1">
        <v>6.12</v>
      </c>
      <c r="M895" s="1">
        <v>250.82</v>
      </c>
      <c r="N895" s="1">
        <v>251.0</v>
      </c>
      <c r="O895" s="1">
        <v>20833.0</v>
      </c>
    </row>
    <row r="896">
      <c r="A896" s="1" t="s">
        <v>2020</v>
      </c>
      <c r="B896" s="1" t="s">
        <v>26</v>
      </c>
      <c r="C896" s="1">
        <v>135.875</v>
      </c>
      <c r="D896" s="1" t="s">
        <v>21</v>
      </c>
      <c r="E896" s="1" t="s">
        <v>22</v>
      </c>
      <c r="F896" s="1">
        <v>58.92</v>
      </c>
      <c r="G896" s="1">
        <v>50.88</v>
      </c>
      <c r="H896" s="1">
        <v>8.4605460548E10</v>
      </c>
      <c r="I896" s="1">
        <v>9.0889118377E10</v>
      </c>
      <c r="J896" s="2">
        <v>45481.402083333334</v>
      </c>
      <c r="K896" s="2">
        <v>45604.32361111111</v>
      </c>
      <c r="L896" s="1">
        <v>2.97</v>
      </c>
      <c r="M896" s="1">
        <v>403.55</v>
      </c>
      <c r="N896" s="1">
        <v>404.0</v>
      </c>
      <c r="O896" s="1">
        <v>33532.0</v>
      </c>
    </row>
    <row r="897">
      <c r="A897" s="1" t="s">
        <v>2021</v>
      </c>
      <c r="B897" s="1" t="s">
        <v>79</v>
      </c>
      <c r="C897" s="1">
        <v>475.9021</v>
      </c>
      <c r="D897" s="1" t="s">
        <v>17</v>
      </c>
      <c r="E897" s="1" t="s">
        <v>70</v>
      </c>
      <c r="F897" s="1">
        <v>52.04</v>
      </c>
      <c r="G897" s="1">
        <v>45.49</v>
      </c>
      <c r="H897" s="1">
        <v>1.3042409238E10</v>
      </c>
      <c r="I897" s="1">
        <v>1.9758151862E10</v>
      </c>
      <c r="J897" s="2">
        <v>45419.68472222222</v>
      </c>
      <c r="K897" s="2">
        <v>45511.038194444445</v>
      </c>
      <c r="L897" s="1">
        <v>6.33</v>
      </c>
      <c r="M897" s="1">
        <v>3012.46</v>
      </c>
      <c r="N897" s="1">
        <v>3012.0</v>
      </c>
      <c r="O897" s="1">
        <v>249996.0</v>
      </c>
    </row>
    <row r="898">
      <c r="A898" s="1" t="s">
        <v>2022</v>
      </c>
      <c r="B898" s="1" t="s">
        <v>57</v>
      </c>
      <c r="C898" s="1">
        <v>366.7652</v>
      </c>
      <c r="D898" s="1" t="s">
        <v>17</v>
      </c>
      <c r="E898" s="1" t="s">
        <v>105</v>
      </c>
      <c r="F898" s="1">
        <v>39.2</v>
      </c>
      <c r="G898" s="1">
        <v>95.49</v>
      </c>
      <c r="H898" s="1">
        <v>7.3935149928E10</v>
      </c>
      <c r="I898" s="1">
        <v>7.6867013143E10</v>
      </c>
      <c r="J898" s="1" t="s">
        <v>2023</v>
      </c>
      <c r="K898" s="1" t="s">
        <v>2024</v>
      </c>
      <c r="L898" s="1">
        <v>8.88</v>
      </c>
      <c r="M898" s="1">
        <v>3256.87</v>
      </c>
      <c r="N898" s="1">
        <v>3257.0</v>
      </c>
      <c r="O898" s="1">
        <v>270331.0</v>
      </c>
    </row>
    <row r="899">
      <c r="A899" s="1" t="s">
        <v>2025</v>
      </c>
      <c r="B899" s="1" t="s">
        <v>99</v>
      </c>
      <c r="C899" s="1">
        <v>78.1574</v>
      </c>
      <c r="D899" s="1" t="s">
        <v>21</v>
      </c>
      <c r="E899" s="1" t="s">
        <v>37</v>
      </c>
      <c r="F899" s="1">
        <v>28.77</v>
      </c>
      <c r="G899" s="1">
        <v>38.37</v>
      </c>
      <c r="H899" s="1">
        <v>6.8437908717E10</v>
      </c>
      <c r="I899" s="1">
        <v>7.3714272859E10</v>
      </c>
      <c r="J899" s="2">
        <v>45573.2375</v>
      </c>
      <c r="K899" s="1" t="s">
        <v>2026</v>
      </c>
      <c r="L899" s="1">
        <v>7.61</v>
      </c>
      <c r="M899" s="1">
        <v>594.78</v>
      </c>
      <c r="N899" s="1">
        <v>595.0</v>
      </c>
      <c r="O899" s="1">
        <v>49385.0</v>
      </c>
    </row>
    <row r="900">
      <c r="A900" s="1" t="s">
        <v>2027</v>
      </c>
      <c r="B900" s="1" t="s">
        <v>16</v>
      </c>
      <c r="C900" s="1">
        <v>584.6599</v>
      </c>
      <c r="D900" s="1" t="s">
        <v>21</v>
      </c>
      <c r="E900" s="1" t="s">
        <v>27</v>
      </c>
      <c r="F900" s="1">
        <v>36.6</v>
      </c>
      <c r="G900" s="1">
        <v>44.59</v>
      </c>
      <c r="H900" s="1">
        <v>7.5693392103E10</v>
      </c>
      <c r="I900" s="1">
        <v>7.6796243104E10</v>
      </c>
      <c r="J900" s="1" t="s">
        <v>2028</v>
      </c>
      <c r="K900" s="1" t="s">
        <v>2029</v>
      </c>
      <c r="L900" s="1">
        <v>3.54</v>
      </c>
      <c r="M900" s="1">
        <v>2069.7</v>
      </c>
      <c r="N900" s="1">
        <v>2070.0</v>
      </c>
      <c r="O900" s="1">
        <v>171810.0</v>
      </c>
    </row>
    <row r="901">
      <c r="A901" s="1" t="s">
        <v>2030</v>
      </c>
      <c r="B901" s="1" t="s">
        <v>46</v>
      </c>
      <c r="C901" s="1">
        <v>769.1603</v>
      </c>
      <c r="D901" s="1" t="s">
        <v>21</v>
      </c>
      <c r="E901" s="1" t="s">
        <v>54</v>
      </c>
      <c r="F901" s="1">
        <v>58.6</v>
      </c>
      <c r="G901" s="1">
        <v>13.0</v>
      </c>
      <c r="H901" s="1">
        <v>6.9124278905E10</v>
      </c>
      <c r="I901" s="1">
        <v>7.2811556803E10</v>
      </c>
      <c r="J901" s="2">
        <v>45603.15416666667</v>
      </c>
      <c r="K901" s="1" t="s">
        <v>1464</v>
      </c>
      <c r="L901" s="1">
        <v>9.74</v>
      </c>
      <c r="M901" s="1">
        <v>7491.62</v>
      </c>
      <c r="N901" s="1">
        <v>7492.0</v>
      </c>
      <c r="O901" s="1">
        <v>621836.0</v>
      </c>
    </row>
    <row r="902">
      <c r="A902" s="1" t="s">
        <v>2031</v>
      </c>
      <c r="B902" s="1" t="s">
        <v>169</v>
      </c>
      <c r="C902" s="1">
        <v>950.8256</v>
      </c>
      <c r="D902" s="1" t="s">
        <v>21</v>
      </c>
      <c r="E902" s="1" t="s">
        <v>74</v>
      </c>
      <c r="F902" s="1">
        <v>59.17</v>
      </c>
      <c r="G902" s="1">
        <v>45.32</v>
      </c>
      <c r="H902" s="1">
        <v>3.9719777492E10</v>
      </c>
      <c r="I902" s="1">
        <v>4.0434031092E10</v>
      </c>
      <c r="J902" s="1" t="s">
        <v>2032</v>
      </c>
      <c r="K902" s="2">
        <v>45331.12847222222</v>
      </c>
      <c r="L902" s="1">
        <v>1.04</v>
      </c>
      <c r="M902" s="1">
        <v>988.86</v>
      </c>
      <c r="N902" s="1">
        <v>989.0</v>
      </c>
      <c r="O902" s="1">
        <v>82087.0</v>
      </c>
    </row>
    <row r="903">
      <c r="A903" s="1" t="s">
        <v>2033</v>
      </c>
      <c r="B903" s="1" t="s">
        <v>273</v>
      </c>
      <c r="C903" s="1">
        <v>188.1814</v>
      </c>
      <c r="D903" s="1" t="s">
        <v>21</v>
      </c>
      <c r="E903" s="1" t="s">
        <v>32</v>
      </c>
      <c r="F903" s="1">
        <v>45.59</v>
      </c>
      <c r="G903" s="1">
        <v>0.74</v>
      </c>
      <c r="H903" s="1">
        <v>7.0986627818E10</v>
      </c>
      <c r="I903" s="1">
        <v>7.39578799E10</v>
      </c>
      <c r="J903" s="1" t="s">
        <v>2034</v>
      </c>
      <c r="K903" s="2">
        <v>45359.07638888889</v>
      </c>
      <c r="L903" s="1">
        <v>9.09</v>
      </c>
      <c r="M903" s="1">
        <v>1710.57</v>
      </c>
      <c r="N903" s="1">
        <v>1711.0</v>
      </c>
      <c r="O903" s="1">
        <v>142013.0</v>
      </c>
    </row>
    <row r="904">
      <c r="A904" s="1" t="s">
        <v>2035</v>
      </c>
      <c r="B904" s="1" t="s">
        <v>60</v>
      </c>
      <c r="C904" s="1">
        <v>133.2167</v>
      </c>
      <c r="D904" s="1" t="s">
        <v>42</v>
      </c>
      <c r="E904" s="1" t="s">
        <v>70</v>
      </c>
      <c r="F904" s="1">
        <v>29.46</v>
      </c>
      <c r="G904" s="1">
        <v>43.02</v>
      </c>
      <c r="H904" s="1">
        <v>6.4428427437E10</v>
      </c>
      <c r="I904" s="1">
        <v>6.980754162E10</v>
      </c>
      <c r="J904" s="1" t="s">
        <v>2036</v>
      </c>
      <c r="K904" s="1" t="s">
        <v>2037</v>
      </c>
      <c r="L904" s="1">
        <v>6.73</v>
      </c>
      <c r="M904" s="1">
        <v>896.55</v>
      </c>
      <c r="N904" s="1">
        <v>897.0</v>
      </c>
      <c r="O904" s="1">
        <v>74451.0</v>
      </c>
    </row>
    <row r="905">
      <c r="A905" s="1" t="s">
        <v>2038</v>
      </c>
      <c r="B905" s="1" t="s">
        <v>53</v>
      </c>
      <c r="C905" s="1">
        <v>580.6282</v>
      </c>
      <c r="D905" s="1" t="s">
        <v>17</v>
      </c>
      <c r="E905" s="1" t="s">
        <v>74</v>
      </c>
      <c r="F905" s="1">
        <v>53.45</v>
      </c>
      <c r="G905" s="1">
        <v>20.49</v>
      </c>
      <c r="H905" s="1">
        <v>5.8478050426E10</v>
      </c>
      <c r="I905" s="1">
        <v>6.1938156194E10</v>
      </c>
      <c r="J905" s="2">
        <v>45511.09722222222</v>
      </c>
      <c r="K905" s="1" t="s">
        <v>2039</v>
      </c>
      <c r="L905" s="1">
        <v>2.04</v>
      </c>
      <c r="M905" s="1">
        <v>1184.48</v>
      </c>
      <c r="N905" s="1">
        <v>1184.0</v>
      </c>
      <c r="O905" s="1">
        <v>98272.0</v>
      </c>
    </row>
    <row r="906">
      <c r="A906" s="1" t="s">
        <v>2040</v>
      </c>
      <c r="B906" s="1" t="s">
        <v>31</v>
      </c>
      <c r="C906" s="1">
        <v>609.7804</v>
      </c>
      <c r="D906" s="1" t="s">
        <v>21</v>
      </c>
      <c r="E906" s="1" t="s">
        <v>27</v>
      </c>
      <c r="F906" s="1">
        <v>35.25</v>
      </c>
      <c r="G906" s="1">
        <v>47.74</v>
      </c>
      <c r="H906" s="1">
        <v>2.7794696694E10</v>
      </c>
      <c r="I906" s="1">
        <v>3.7505380535E10</v>
      </c>
      <c r="J906" s="1" t="s">
        <v>418</v>
      </c>
      <c r="K906" s="1" t="s">
        <v>2041</v>
      </c>
      <c r="L906" s="1">
        <v>8.38</v>
      </c>
      <c r="M906" s="1">
        <v>5109.96</v>
      </c>
      <c r="N906" s="1">
        <v>5110.0</v>
      </c>
      <c r="O906" s="1">
        <v>424130.0</v>
      </c>
    </row>
    <row r="907">
      <c r="A907" s="1" t="s">
        <v>2042</v>
      </c>
      <c r="B907" s="1" t="s">
        <v>31</v>
      </c>
      <c r="C907" s="1">
        <v>446.8464</v>
      </c>
      <c r="D907" s="1" t="s">
        <v>17</v>
      </c>
      <c r="E907" s="1" t="s">
        <v>32</v>
      </c>
      <c r="F907" s="1">
        <v>53.22</v>
      </c>
      <c r="G907" s="1">
        <v>40.17</v>
      </c>
      <c r="H907" s="1">
        <v>7.7665417376E10</v>
      </c>
      <c r="I907" s="1">
        <v>8.2152580105E10</v>
      </c>
      <c r="J907" s="2">
        <v>45450.010416666664</v>
      </c>
      <c r="K907" s="2">
        <v>45480.25</v>
      </c>
      <c r="L907" s="1">
        <v>7.93</v>
      </c>
      <c r="M907" s="1">
        <v>3543.49</v>
      </c>
      <c r="N907" s="1">
        <v>3543.0</v>
      </c>
      <c r="O907" s="1">
        <v>294069.0</v>
      </c>
    </row>
    <row r="908">
      <c r="A908" s="1" t="s">
        <v>2043</v>
      </c>
      <c r="B908" s="1" t="s">
        <v>57</v>
      </c>
      <c r="C908" s="1">
        <v>821.4108</v>
      </c>
      <c r="D908" s="1" t="s">
        <v>17</v>
      </c>
      <c r="E908" s="1" t="s">
        <v>37</v>
      </c>
      <c r="F908" s="1">
        <v>95.03</v>
      </c>
      <c r="G908" s="1">
        <v>33.02</v>
      </c>
      <c r="H908" s="1">
        <v>3.1067732424E10</v>
      </c>
      <c r="I908" s="1">
        <v>3.1349574604E10</v>
      </c>
      <c r="J908" s="2">
        <v>45299.47152777778</v>
      </c>
      <c r="K908" s="2">
        <v>45420.38333333333</v>
      </c>
      <c r="L908" s="1">
        <v>4.18</v>
      </c>
      <c r="M908" s="1">
        <v>3433.5</v>
      </c>
      <c r="N908" s="1">
        <v>3434.0</v>
      </c>
      <c r="O908" s="1">
        <v>285022.0</v>
      </c>
    </row>
    <row r="909">
      <c r="A909" s="1" t="s">
        <v>2044</v>
      </c>
      <c r="B909" s="1" t="s">
        <v>60</v>
      </c>
      <c r="C909" s="1">
        <v>48.8667</v>
      </c>
      <c r="D909" s="1" t="s">
        <v>42</v>
      </c>
      <c r="E909" s="1" t="s">
        <v>18</v>
      </c>
      <c r="F909" s="1">
        <v>64.12</v>
      </c>
      <c r="G909" s="1">
        <v>10.05</v>
      </c>
      <c r="H909" s="1">
        <v>9.3693705011E10</v>
      </c>
      <c r="I909" s="1">
        <v>9.5493533688E10</v>
      </c>
      <c r="J909" s="1" t="s">
        <v>2045</v>
      </c>
      <c r="K909" s="1" t="s">
        <v>2046</v>
      </c>
      <c r="L909" s="1">
        <v>2.91</v>
      </c>
      <c r="M909" s="1">
        <v>142.2</v>
      </c>
      <c r="N909" s="1">
        <v>142.0</v>
      </c>
      <c r="O909" s="1">
        <v>11786.0</v>
      </c>
    </row>
    <row r="910">
      <c r="A910" s="1" t="s">
        <v>2047</v>
      </c>
      <c r="B910" s="1" t="s">
        <v>139</v>
      </c>
      <c r="C910" s="1">
        <v>65.75</v>
      </c>
      <c r="D910" s="1" t="s">
        <v>42</v>
      </c>
      <c r="E910" s="1" t="s">
        <v>54</v>
      </c>
      <c r="F910" s="1">
        <v>43.12</v>
      </c>
      <c r="G910" s="1">
        <v>83.74</v>
      </c>
      <c r="H910" s="1">
        <v>4.8923582697E10</v>
      </c>
      <c r="I910" s="1">
        <v>5.2412729114E10</v>
      </c>
      <c r="J910" s="1" t="s">
        <v>2048</v>
      </c>
      <c r="K910" s="1" t="s">
        <v>2049</v>
      </c>
      <c r="L910" s="1">
        <v>2.02</v>
      </c>
      <c r="M910" s="1">
        <v>132.81</v>
      </c>
      <c r="N910" s="1">
        <v>133.0</v>
      </c>
      <c r="O910" s="1">
        <v>11039.0</v>
      </c>
    </row>
    <row r="911">
      <c r="A911" s="1" t="s">
        <v>2050</v>
      </c>
      <c r="B911" s="1" t="s">
        <v>66</v>
      </c>
      <c r="C911" s="1">
        <v>710.9828</v>
      </c>
      <c r="D911" s="1" t="s">
        <v>17</v>
      </c>
      <c r="E911" s="1" t="s">
        <v>123</v>
      </c>
      <c r="F911" s="1">
        <v>51.03</v>
      </c>
      <c r="G911" s="1">
        <v>44.13</v>
      </c>
      <c r="H911" s="1">
        <v>1.3274532433E10</v>
      </c>
      <c r="I911" s="1">
        <v>1.5347515493E10</v>
      </c>
      <c r="J911" s="1" t="s">
        <v>2051</v>
      </c>
      <c r="K911" s="1" t="s">
        <v>2052</v>
      </c>
      <c r="L911" s="1">
        <v>7.54</v>
      </c>
      <c r="M911" s="1">
        <v>5360.81</v>
      </c>
      <c r="N911" s="1">
        <v>5361.0</v>
      </c>
      <c r="O911" s="1">
        <v>444963.0</v>
      </c>
    </row>
    <row r="912">
      <c r="A912" s="1" t="s">
        <v>2053</v>
      </c>
      <c r="B912" s="1" t="s">
        <v>26</v>
      </c>
      <c r="C912" s="1">
        <v>351.7877</v>
      </c>
      <c r="D912" s="1" t="s">
        <v>21</v>
      </c>
      <c r="E912" s="1" t="s">
        <v>18</v>
      </c>
      <c r="F912" s="1">
        <v>68.52</v>
      </c>
      <c r="G912" s="1">
        <v>82.26</v>
      </c>
      <c r="H912" s="1">
        <v>4.2224157865E10</v>
      </c>
      <c r="I912" s="1">
        <v>4.9430532269E10</v>
      </c>
      <c r="J912" s="1" t="s">
        <v>2054</v>
      </c>
      <c r="K912" s="2">
        <v>45331.40833333333</v>
      </c>
      <c r="L912" s="1">
        <v>8.43</v>
      </c>
      <c r="M912" s="1">
        <v>2965.57</v>
      </c>
      <c r="N912" s="1">
        <v>2966.0</v>
      </c>
      <c r="O912" s="1">
        <v>246178.0</v>
      </c>
    </row>
    <row r="913">
      <c r="A913" s="1" t="s">
        <v>2055</v>
      </c>
      <c r="B913" s="1" t="s">
        <v>169</v>
      </c>
      <c r="C913" s="1">
        <v>107.1353</v>
      </c>
      <c r="D913" s="1" t="s">
        <v>17</v>
      </c>
      <c r="E913" s="1" t="s">
        <v>22</v>
      </c>
      <c r="F913" s="1">
        <v>59.21</v>
      </c>
      <c r="G913" s="1">
        <v>69.65</v>
      </c>
      <c r="H913" s="1">
        <v>8.7437657385E10</v>
      </c>
      <c r="I913" s="1">
        <v>8.9558952845E10</v>
      </c>
      <c r="J913" s="1" t="s">
        <v>2056</v>
      </c>
      <c r="K913" s="1" t="s">
        <v>2057</v>
      </c>
      <c r="L913" s="1">
        <v>2.82</v>
      </c>
      <c r="M913" s="1">
        <v>302.12</v>
      </c>
      <c r="N913" s="1">
        <v>302.0</v>
      </c>
      <c r="O913" s="1">
        <v>25066.0</v>
      </c>
    </row>
    <row r="914">
      <c r="A914" s="1" t="s">
        <v>2058</v>
      </c>
      <c r="B914" s="1" t="s">
        <v>166</v>
      </c>
      <c r="C914" s="1">
        <v>856.7478</v>
      </c>
      <c r="D914" s="1" t="s">
        <v>17</v>
      </c>
      <c r="E914" s="1" t="s">
        <v>54</v>
      </c>
      <c r="F914" s="1">
        <v>2.61</v>
      </c>
      <c r="G914" s="1">
        <v>7.63</v>
      </c>
      <c r="H914" s="1">
        <v>3.4237954862E10</v>
      </c>
      <c r="I914" s="1">
        <v>3.8120936455E10</v>
      </c>
      <c r="J914" s="2">
        <v>45603.106944444444</v>
      </c>
      <c r="K914" s="1" t="s">
        <v>2059</v>
      </c>
      <c r="L914" s="1">
        <v>2.61</v>
      </c>
      <c r="M914" s="1">
        <v>2236.11</v>
      </c>
      <c r="N914" s="1">
        <v>2236.0</v>
      </c>
      <c r="O914" s="1">
        <v>185588.0</v>
      </c>
    </row>
    <row r="915">
      <c r="A915" s="1" t="s">
        <v>2060</v>
      </c>
      <c r="B915" s="1" t="s">
        <v>128</v>
      </c>
      <c r="C915" s="1">
        <v>194.1528</v>
      </c>
      <c r="D915" s="1" t="s">
        <v>21</v>
      </c>
      <c r="E915" s="1" t="s">
        <v>123</v>
      </c>
      <c r="F915" s="1">
        <v>87.72</v>
      </c>
      <c r="G915" s="1">
        <v>47.91</v>
      </c>
      <c r="H915" s="1">
        <v>4.4611513293E10</v>
      </c>
      <c r="I915" s="1">
        <v>4.7028070582E10</v>
      </c>
      <c r="J915" s="1" t="s">
        <v>2061</v>
      </c>
      <c r="K915" s="1" t="s">
        <v>2062</v>
      </c>
      <c r="L915" s="1">
        <v>5.32</v>
      </c>
      <c r="M915" s="1">
        <v>1032.89</v>
      </c>
      <c r="N915" s="1">
        <v>1033.0</v>
      </c>
      <c r="O915" s="1">
        <v>85739.0</v>
      </c>
    </row>
    <row r="916">
      <c r="A916" s="1" t="s">
        <v>2063</v>
      </c>
      <c r="B916" s="1" t="s">
        <v>57</v>
      </c>
      <c r="C916" s="1">
        <v>337.1101</v>
      </c>
      <c r="D916" s="1" t="s">
        <v>21</v>
      </c>
      <c r="E916" s="1" t="s">
        <v>105</v>
      </c>
      <c r="F916" s="1">
        <v>5.54</v>
      </c>
      <c r="G916" s="1">
        <v>13.21</v>
      </c>
      <c r="H916" s="1">
        <v>2.2917240264E10</v>
      </c>
      <c r="I916" s="1">
        <v>2.95313031E10</v>
      </c>
      <c r="J916" s="2">
        <v>45634.90694444445</v>
      </c>
      <c r="K916" s="1" t="s">
        <v>2064</v>
      </c>
      <c r="L916" s="1">
        <v>7.83</v>
      </c>
      <c r="M916" s="1">
        <v>2639.57</v>
      </c>
      <c r="N916" s="1">
        <v>2640.0</v>
      </c>
      <c r="O916" s="1">
        <v>219120.0</v>
      </c>
    </row>
    <row r="917">
      <c r="A917" s="1" t="s">
        <v>2065</v>
      </c>
      <c r="B917" s="1" t="s">
        <v>57</v>
      </c>
      <c r="C917" s="1">
        <v>364.1758</v>
      </c>
      <c r="D917" s="1" t="s">
        <v>21</v>
      </c>
      <c r="E917" s="1" t="s">
        <v>70</v>
      </c>
      <c r="F917" s="1">
        <v>33.72</v>
      </c>
      <c r="G917" s="1">
        <v>86.85</v>
      </c>
      <c r="H917" s="1">
        <v>6.3912458976E10</v>
      </c>
      <c r="I917" s="1">
        <v>6.576297333E10</v>
      </c>
      <c r="J917" s="1" t="s">
        <v>2066</v>
      </c>
      <c r="K917" s="2">
        <v>45358.84375</v>
      </c>
      <c r="L917" s="1">
        <v>5.32</v>
      </c>
      <c r="M917" s="1">
        <v>1937.42</v>
      </c>
      <c r="N917" s="1">
        <v>1937.0</v>
      </c>
      <c r="O917" s="1">
        <v>160771.0</v>
      </c>
    </row>
    <row r="918">
      <c r="A918" s="1" t="s">
        <v>2067</v>
      </c>
      <c r="B918" s="1" t="s">
        <v>183</v>
      </c>
      <c r="C918" s="1">
        <v>850.293</v>
      </c>
      <c r="D918" s="1" t="s">
        <v>17</v>
      </c>
      <c r="E918" s="1" t="s">
        <v>32</v>
      </c>
      <c r="F918" s="1">
        <v>51.19</v>
      </c>
      <c r="G918" s="1">
        <v>96.26</v>
      </c>
      <c r="H918" s="1">
        <v>8.6579004283E10</v>
      </c>
      <c r="I918" s="1">
        <v>8.6783415504E10</v>
      </c>
      <c r="J918" s="1" t="s">
        <v>2068</v>
      </c>
      <c r="K918" s="1" t="s">
        <v>2069</v>
      </c>
      <c r="L918" s="1">
        <v>6.08</v>
      </c>
      <c r="M918" s="1">
        <v>5169.78</v>
      </c>
      <c r="N918" s="1">
        <v>5170.0</v>
      </c>
      <c r="O918" s="1">
        <v>429110.0</v>
      </c>
    </row>
    <row r="919">
      <c r="A919" s="1" t="s">
        <v>2070</v>
      </c>
      <c r="B919" s="1" t="s">
        <v>36</v>
      </c>
      <c r="C919" s="1">
        <v>358.3231</v>
      </c>
      <c r="D919" s="1" t="s">
        <v>17</v>
      </c>
      <c r="E919" s="1" t="s">
        <v>155</v>
      </c>
      <c r="F919" s="1">
        <v>59.61</v>
      </c>
      <c r="G919" s="1">
        <v>29.73</v>
      </c>
      <c r="H919" s="1">
        <v>4.720168247E9</v>
      </c>
      <c r="I919" s="1">
        <v>9.704777665E9</v>
      </c>
      <c r="J919" s="2">
        <v>45329.978472222225</v>
      </c>
      <c r="K919" s="2">
        <v>45389.44236111111</v>
      </c>
      <c r="L919" s="1">
        <v>6.24</v>
      </c>
      <c r="M919" s="1">
        <v>2235.94</v>
      </c>
      <c r="N919" s="1">
        <v>2236.0</v>
      </c>
      <c r="O919" s="1">
        <v>185588.0</v>
      </c>
    </row>
    <row r="920">
      <c r="A920" s="1" t="s">
        <v>2071</v>
      </c>
      <c r="B920" s="1" t="s">
        <v>139</v>
      </c>
      <c r="C920" s="1">
        <v>70.9167</v>
      </c>
      <c r="D920" s="1" t="s">
        <v>42</v>
      </c>
      <c r="E920" s="1" t="s">
        <v>32</v>
      </c>
      <c r="F920" s="1">
        <v>67.07</v>
      </c>
      <c r="G920" s="1">
        <v>34.07</v>
      </c>
      <c r="H920" s="1">
        <v>7.7185072905E10</v>
      </c>
      <c r="I920" s="1">
        <v>7.7870473879E10</v>
      </c>
      <c r="J920" s="1" t="s">
        <v>2072</v>
      </c>
      <c r="K920" s="1" t="s">
        <v>2073</v>
      </c>
      <c r="L920" s="1">
        <v>6.3</v>
      </c>
      <c r="M920" s="1">
        <v>446.78</v>
      </c>
      <c r="N920" s="1">
        <v>447.0</v>
      </c>
      <c r="O920" s="1">
        <v>37101.0</v>
      </c>
    </row>
    <row r="921">
      <c r="A921" s="1" t="s">
        <v>2074</v>
      </c>
      <c r="B921" s="1" t="s">
        <v>79</v>
      </c>
      <c r="C921" s="1">
        <v>359.6147</v>
      </c>
      <c r="D921" s="1" t="s">
        <v>21</v>
      </c>
      <c r="E921" s="1" t="s">
        <v>155</v>
      </c>
      <c r="F921" s="1">
        <v>15.22</v>
      </c>
      <c r="G921" s="1">
        <v>33.29</v>
      </c>
      <c r="H921" s="1">
        <v>7.4126443926E10</v>
      </c>
      <c r="I921" s="1">
        <v>8.3900514981E10</v>
      </c>
      <c r="J921" s="2">
        <v>45329.80069444444</v>
      </c>
      <c r="K921" s="2">
        <v>45389.83888888889</v>
      </c>
      <c r="L921" s="1">
        <v>3.06</v>
      </c>
      <c r="M921" s="1">
        <v>1100.42</v>
      </c>
      <c r="N921" s="1">
        <v>1100.0</v>
      </c>
      <c r="O921" s="1">
        <v>91300.0</v>
      </c>
    </row>
    <row r="922">
      <c r="A922" s="1" t="s">
        <v>2075</v>
      </c>
      <c r="B922" s="1" t="s">
        <v>66</v>
      </c>
      <c r="C922" s="1">
        <v>65.8491</v>
      </c>
      <c r="D922" s="1" t="s">
        <v>21</v>
      </c>
      <c r="E922" s="1" t="s">
        <v>123</v>
      </c>
      <c r="F922" s="1">
        <v>63.27</v>
      </c>
      <c r="G922" s="1">
        <v>81.93</v>
      </c>
      <c r="H922" s="1">
        <v>6.1395456923E10</v>
      </c>
      <c r="I922" s="1">
        <v>6.9442456383E10</v>
      </c>
      <c r="J922" s="1" t="s">
        <v>2076</v>
      </c>
      <c r="K922" s="1" t="s">
        <v>2077</v>
      </c>
      <c r="L922" s="1">
        <v>6.63</v>
      </c>
      <c r="M922" s="1">
        <v>436.58</v>
      </c>
      <c r="N922" s="1">
        <v>437.0</v>
      </c>
      <c r="O922" s="1">
        <v>36271.0</v>
      </c>
    </row>
    <row r="923">
      <c r="A923" s="1" t="s">
        <v>2078</v>
      </c>
      <c r="B923" s="1" t="s">
        <v>147</v>
      </c>
      <c r="C923" s="1">
        <v>111.4167</v>
      </c>
      <c r="D923" s="1" t="s">
        <v>42</v>
      </c>
      <c r="E923" s="1" t="s">
        <v>22</v>
      </c>
      <c r="F923" s="1">
        <v>29.83</v>
      </c>
      <c r="G923" s="1">
        <v>54.6</v>
      </c>
      <c r="H923" s="1">
        <v>8.1505567289E10</v>
      </c>
      <c r="I923" s="1">
        <v>8.37071853E10</v>
      </c>
      <c r="J923" s="2">
        <v>45299.18472222222</v>
      </c>
      <c r="K923" s="2">
        <v>45420.82708333333</v>
      </c>
      <c r="L923" s="1">
        <v>7.29</v>
      </c>
      <c r="M923" s="1">
        <v>812.23</v>
      </c>
      <c r="N923" s="1">
        <v>812.0</v>
      </c>
      <c r="O923" s="1">
        <v>67396.0</v>
      </c>
    </row>
    <row r="924">
      <c r="A924" s="1" t="s">
        <v>2079</v>
      </c>
      <c r="B924" s="1" t="s">
        <v>53</v>
      </c>
      <c r="C924" s="1">
        <v>77.1615</v>
      </c>
      <c r="D924" s="1" t="s">
        <v>17</v>
      </c>
      <c r="E924" s="1" t="s">
        <v>22</v>
      </c>
      <c r="F924" s="1">
        <v>14.81</v>
      </c>
      <c r="G924" s="1">
        <v>29.94</v>
      </c>
      <c r="H924" s="1">
        <v>9.66648289E9</v>
      </c>
      <c r="I924" s="1">
        <v>1.299592397E10</v>
      </c>
      <c r="J924" s="2">
        <v>45572.978472222225</v>
      </c>
      <c r="K924" s="1" t="s">
        <v>126</v>
      </c>
      <c r="L924" s="1">
        <v>8.18</v>
      </c>
      <c r="M924" s="1">
        <v>631.18</v>
      </c>
      <c r="N924" s="1">
        <v>631.0</v>
      </c>
      <c r="O924" s="1">
        <v>52373.0</v>
      </c>
    </row>
    <row r="925">
      <c r="A925" s="1" t="s">
        <v>2080</v>
      </c>
      <c r="B925" s="1" t="s">
        <v>26</v>
      </c>
      <c r="C925" s="1">
        <v>296.8281</v>
      </c>
      <c r="D925" s="1" t="s">
        <v>21</v>
      </c>
      <c r="E925" s="1" t="s">
        <v>27</v>
      </c>
      <c r="F925" s="1">
        <v>7.52</v>
      </c>
      <c r="G925" s="1">
        <v>70.95</v>
      </c>
      <c r="H925" s="1">
        <v>6.7249581572E10</v>
      </c>
      <c r="I925" s="1">
        <v>6.8679044281E10</v>
      </c>
      <c r="J925" s="2">
        <v>45358.49722222222</v>
      </c>
      <c r="K925" s="2">
        <v>45542.47152777778</v>
      </c>
      <c r="L925" s="1">
        <v>7.83</v>
      </c>
      <c r="M925" s="1">
        <v>2324.16</v>
      </c>
      <c r="N925" s="1">
        <v>2324.0</v>
      </c>
      <c r="O925" s="1">
        <v>192892.0</v>
      </c>
    </row>
    <row r="926">
      <c r="A926" s="1" t="s">
        <v>2081</v>
      </c>
      <c r="B926" s="1" t="s">
        <v>57</v>
      </c>
      <c r="C926" s="1">
        <v>809.9885</v>
      </c>
      <c r="D926" s="1" t="s">
        <v>21</v>
      </c>
      <c r="E926" s="1" t="s">
        <v>54</v>
      </c>
      <c r="F926" s="1">
        <v>4.19</v>
      </c>
      <c r="G926" s="1">
        <v>66.7</v>
      </c>
      <c r="H926" s="1">
        <v>6.8201830951E10</v>
      </c>
      <c r="I926" s="1">
        <v>7.2712157558E10</v>
      </c>
      <c r="J926" s="2">
        <v>45511.71319444444</v>
      </c>
      <c r="K926" s="1" t="s">
        <v>2082</v>
      </c>
      <c r="L926" s="1">
        <v>6.19</v>
      </c>
      <c r="M926" s="1">
        <v>5013.83</v>
      </c>
      <c r="N926" s="1">
        <v>5014.0</v>
      </c>
      <c r="O926" s="1">
        <v>416162.0</v>
      </c>
    </row>
    <row r="927">
      <c r="A927" s="1" t="s">
        <v>2083</v>
      </c>
      <c r="B927" s="1" t="s">
        <v>79</v>
      </c>
      <c r="C927" s="1">
        <v>175.2578</v>
      </c>
      <c r="D927" s="1" t="s">
        <v>21</v>
      </c>
      <c r="E927" s="1" t="s">
        <v>70</v>
      </c>
      <c r="F927" s="1">
        <v>8.17</v>
      </c>
      <c r="G927" s="1">
        <v>50.76</v>
      </c>
      <c r="H927" s="1">
        <v>6.1712058967E10</v>
      </c>
      <c r="I927" s="1">
        <v>6.742447419E10</v>
      </c>
      <c r="J927" s="2">
        <v>45604.63333333333</v>
      </c>
      <c r="K927" s="1" t="s">
        <v>2084</v>
      </c>
      <c r="L927" s="1">
        <v>7.14</v>
      </c>
      <c r="M927" s="1">
        <v>1251.34</v>
      </c>
      <c r="N927" s="1">
        <v>1251.0</v>
      </c>
      <c r="O927" s="1">
        <v>103833.0</v>
      </c>
    </row>
    <row r="928">
      <c r="A928" s="1" t="s">
        <v>2085</v>
      </c>
      <c r="B928" s="1" t="s">
        <v>66</v>
      </c>
      <c r="C928" s="1">
        <v>229.21</v>
      </c>
      <c r="D928" s="1" t="s">
        <v>17</v>
      </c>
      <c r="E928" s="1" t="s">
        <v>74</v>
      </c>
      <c r="F928" s="1">
        <v>52.18</v>
      </c>
      <c r="G928" s="1">
        <v>35.2</v>
      </c>
      <c r="H928" s="1">
        <v>1.8929284329E10</v>
      </c>
      <c r="I928" s="1">
        <v>2.7071360698E10</v>
      </c>
      <c r="J928" s="1" t="s">
        <v>2086</v>
      </c>
      <c r="K928" s="1" t="s">
        <v>2087</v>
      </c>
      <c r="L928" s="1">
        <v>5.05</v>
      </c>
      <c r="M928" s="1">
        <v>1157.51</v>
      </c>
      <c r="N928" s="1">
        <v>1158.0</v>
      </c>
      <c r="O928" s="1">
        <v>96114.0</v>
      </c>
    </row>
    <row r="929">
      <c r="A929" s="1" t="s">
        <v>2088</v>
      </c>
      <c r="B929" s="1" t="s">
        <v>60</v>
      </c>
      <c r="C929" s="1">
        <v>110.6333</v>
      </c>
      <c r="D929" s="1" t="s">
        <v>42</v>
      </c>
      <c r="E929" s="1" t="s">
        <v>18</v>
      </c>
      <c r="F929" s="1">
        <v>96.41</v>
      </c>
      <c r="G929" s="1">
        <v>93.46</v>
      </c>
      <c r="H929" s="1">
        <v>4.3249983996E10</v>
      </c>
      <c r="I929" s="1">
        <v>4.727714321E10</v>
      </c>
      <c r="J929" s="2">
        <v>45633.955555555556</v>
      </c>
      <c r="K929" s="1" t="s">
        <v>2089</v>
      </c>
      <c r="L929" s="1">
        <v>5.17</v>
      </c>
      <c r="M929" s="1">
        <v>571.97</v>
      </c>
      <c r="N929" s="1">
        <v>572.0</v>
      </c>
      <c r="O929" s="1">
        <v>47476.0</v>
      </c>
    </row>
    <row r="930">
      <c r="A930" s="1" t="s">
        <v>2090</v>
      </c>
      <c r="B930" s="1" t="s">
        <v>147</v>
      </c>
      <c r="C930" s="1">
        <v>32.3667</v>
      </c>
      <c r="D930" s="1" t="s">
        <v>42</v>
      </c>
      <c r="E930" s="1" t="s">
        <v>105</v>
      </c>
      <c r="F930" s="1">
        <v>51.62</v>
      </c>
      <c r="G930" s="1">
        <v>84.34</v>
      </c>
      <c r="H930" s="1">
        <v>3.2651886748E10</v>
      </c>
      <c r="I930" s="1">
        <v>3.8114080646E10</v>
      </c>
      <c r="J930" s="1" t="s">
        <v>2091</v>
      </c>
      <c r="K930" s="1" t="s">
        <v>2092</v>
      </c>
      <c r="L930" s="1">
        <v>1.88</v>
      </c>
      <c r="M930" s="1">
        <v>60.85</v>
      </c>
      <c r="N930" s="1">
        <v>61.0</v>
      </c>
      <c r="O930" s="1">
        <v>5063.0</v>
      </c>
    </row>
    <row r="931">
      <c r="A931" s="1" t="s">
        <v>2093</v>
      </c>
      <c r="B931" s="1" t="s">
        <v>46</v>
      </c>
      <c r="C931" s="1">
        <v>202.9644</v>
      </c>
      <c r="D931" s="1" t="s">
        <v>21</v>
      </c>
      <c r="E931" s="1" t="s">
        <v>37</v>
      </c>
      <c r="F931" s="1">
        <v>65.39</v>
      </c>
      <c r="G931" s="1">
        <v>96.46</v>
      </c>
      <c r="H931" s="1">
        <v>3.9527760122E10</v>
      </c>
      <c r="I931" s="1">
        <v>4.5152662232E10</v>
      </c>
      <c r="J931" s="2">
        <v>45543.11319444444</v>
      </c>
      <c r="K931" s="2">
        <v>45634.06875</v>
      </c>
      <c r="L931" s="1">
        <v>2.17</v>
      </c>
      <c r="M931" s="1">
        <v>440.43</v>
      </c>
      <c r="N931" s="1">
        <v>440.0</v>
      </c>
      <c r="O931" s="1">
        <v>36520.0</v>
      </c>
    </row>
    <row r="932">
      <c r="A932" s="1" t="s">
        <v>2094</v>
      </c>
      <c r="B932" s="1" t="s">
        <v>169</v>
      </c>
      <c r="C932" s="1">
        <v>403.475</v>
      </c>
      <c r="D932" s="1" t="s">
        <v>21</v>
      </c>
      <c r="E932" s="1" t="s">
        <v>32</v>
      </c>
      <c r="F932" s="1">
        <v>78.52</v>
      </c>
      <c r="G932" s="1">
        <v>13.57</v>
      </c>
      <c r="H932" s="1">
        <v>9.1789708623E10</v>
      </c>
      <c r="I932" s="1">
        <v>9.2577225266E10</v>
      </c>
      <c r="J932" s="1" t="s">
        <v>2095</v>
      </c>
      <c r="K932" s="1" t="s">
        <v>2096</v>
      </c>
      <c r="L932" s="1">
        <v>6.73</v>
      </c>
      <c r="M932" s="1">
        <v>2715.39</v>
      </c>
      <c r="N932" s="1">
        <v>2715.0</v>
      </c>
      <c r="O932" s="1">
        <v>225345.0</v>
      </c>
    </row>
    <row r="933">
      <c r="A933" s="1" t="s">
        <v>2097</v>
      </c>
      <c r="B933" s="1" t="s">
        <v>169</v>
      </c>
      <c r="C933" s="1">
        <v>658.4138</v>
      </c>
      <c r="D933" s="1" t="s">
        <v>21</v>
      </c>
      <c r="E933" s="1" t="s">
        <v>54</v>
      </c>
      <c r="F933" s="1">
        <v>9.38</v>
      </c>
      <c r="G933" s="1">
        <v>29.91</v>
      </c>
      <c r="H933" s="1">
        <v>5.5784219171E10</v>
      </c>
      <c r="I933" s="1">
        <v>6.1664429785E10</v>
      </c>
      <c r="J933" s="1" t="s">
        <v>2098</v>
      </c>
      <c r="K933" s="1" t="s">
        <v>2099</v>
      </c>
      <c r="L933" s="1">
        <v>5.3</v>
      </c>
      <c r="M933" s="1">
        <v>3489.59</v>
      </c>
      <c r="N933" s="1">
        <v>3490.0</v>
      </c>
      <c r="O933" s="1">
        <v>289670.0</v>
      </c>
    </row>
    <row r="934">
      <c r="A934" s="1" t="s">
        <v>2100</v>
      </c>
      <c r="B934" s="1" t="s">
        <v>26</v>
      </c>
      <c r="C934" s="1">
        <v>687.2747</v>
      </c>
      <c r="D934" s="1" t="s">
        <v>21</v>
      </c>
      <c r="E934" s="1" t="s">
        <v>37</v>
      </c>
      <c r="F934" s="1">
        <v>66.96</v>
      </c>
      <c r="G934" s="1">
        <v>5.11</v>
      </c>
      <c r="H934" s="1">
        <v>4.5579791022E10</v>
      </c>
      <c r="I934" s="1">
        <v>4.6657905187E10</v>
      </c>
      <c r="J934" s="1" t="s">
        <v>2101</v>
      </c>
      <c r="K934" s="1" t="s">
        <v>2102</v>
      </c>
      <c r="L934" s="1">
        <v>4.5</v>
      </c>
      <c r="M934" s="1">
        <v>3092.74</v>
      </c>
      <c r="N934" s="1">
        <v>3093.0</v>
      </c>
      <c r="O934" s="1">
        <v>256719.0</v>
      </c>
    </row>
    <row r="935">
      <c r="A935" s="1" t="s">
        <v>2103</v>
      </c>
      <c r="B935" s="1" t="s">
        <v>16</v>
      </c>
      <c r="C935" s="1">
        <v>141.724</v>
      </c>
      <c r="D935" s="1" t="s">
        <v>17</v>
      </c>
      <c r="E935" s="1" t="s">
        <v>18</v>
      </c>
      <c r="F935" s="1">
        <v>55.0</v>
      </c>
      <c r="G935" s="1">
        <v>94.6</v>
      </c>
      <c r="H935" s="1">
        <v>1.387817396E10</v>
      </c>
      <c r="I935" s="1">
        <v>1.7590090093E10</v>
      </c>
      <c r="J935" s="1" t="s">
        <v>2104</v>
      </c>
      <c r="K935" s="1" t="s">
        <v>2105</v>
      </c>
      <c r="L935" s="1">
        <v>2.38</v>
      </c>
      <c r="M935" s="1">
        <v>337.3</v>
      </c>
      <c r="N935" s="1">
        <v>337.0</v>
      </c>
      <c r="O935" s="1">
        <v>27971.0</v>
      </c>
    </row>
    <row r="936">
      <c r="A936" s="1" t="s">
        <v>2106</v>
      </c>
      <c r="B936" s="1" t="s">
        <v>128</v>
      </c>
      <c r="C936" s="1">
        <v>806.7405</v>
      </c>
      <c r="D936" s="1" t="s">
        <v>21</v>
      </c>
      <c r="E936" s="1" t="s">
        <v>22</v>
      </c>
      <c r="F936" s="1">
        <v>31.41</v>
      </c>
      <c r="G936" s="1">
        <v>66.93</v>
      </c>
      <c r="H936" s="1">
        <v>3.3910114913E10</v>
      </c>
      <c r="I936" s="1">
        <v>4.1233732659E10</v>
      </c>
      <c r="J936" s="2">
        <v>45480.825</v>
      </c>
      <c r="K936" s="2">
        <v>45542.47430555556</v>
      </c>
      <c r="L936" s="1">
        <v>8.45</v>
      </c>
      <c r="M936" s="1">
        <v>6816.96</v>
      </c>
      <c r="N936" s="1">
        <v>6817.0</v>
      </c>
      <c r="O936" s="1">
        <v>565811.0</v>
      </c>
    </row>
    <row r="937">
      <c r="A937" s="1" t="s">
        <v>2107</v>
      </c>
      <c r="B937" s="1" t="s">
        <v>99</v>
      </c>
      <c r="C937" s="1">
        <v>420.3552</v>
      </c>
      <c r="D937" s="1" t="s">
        <v>17</v>
      </c>
      <c r="E937" s="1" t="s">
        <v>27</v>
      </c>
      <c r="F937" s="1">
        <v>89.81</v>
      </c>
      <c r="G937" s="1">
        <v>9.69</v>
      </c>
      <c r="H937" s="1">
        <v>2.4541098891E10</v>
      </c>
      <c r="I937" s="1">
        <v>2.7856259433E10</v>
      </c>
      <c r="J937" s="1" t="s">
        <v>2108</v>
      </c>
      <c r="K937" s="2">
        <v>45299.86875</v>
      </c>
      <c r="L937" s="1">
        <v>6.93</v>
      </c>
      <c r="M937" s="1">
        <v>2913.06</v>
      </c>
      <c r="N937" s="1">
        <v>2913.0</v>
      </c>
      <c r="O937" s="1">
        <v>241779.0</v>
      </c>
    </row>
    <row r="938">
      <c r="A938" s="1" t="s">
        <v>2109</v>
      </c>
      <c r="B938" s="1" t="s">
        <v>122</v>
      </c>
      <c r="C938" s="1">
        <v>953.3639</v>
      </c>
      <c r="D938" s="1" t="s">
        <v>17</v>
      </c>
      <c r="E938" s="1" t="s">
        <v>18</v>
      </c>
      <c r="F938" s="1">
        <v>24.74</v>
      </c>
      <c r="G938" s="1">
        <v>87.26</v>
      </c>
      <c r="H938" s="1">
        <v>8.6477894088E10</v>
      </c>
      <c r="I938" s="1">
        <v>9.4732303065E10</v>
      </c>
      <c r="J938" s="1" t="s">
        <v>2110</v>
      </c>
      <c r="K938" s="1" t="s">
        <v>2111</v>
      </c>
      <c r="L938" s="1">
        <v>5.69</v>
      </c>
      <c r="M938" s="1">
        <v>5424.64</v>
      </c>
      <c r="N938" s="1">
        <v>5425.0</v>
      </c>
      <c r="O938" s="1">
        <v>450275.0</v>
      </c>
    </row>
    <row r="939">
      <c r="A939" s="1" t="s">
        <v>2112</v>
      </c>
      <c r="B939" s="1" t="s">
        <v>36</v>
      </c>
      <c r="C939" s="1">
        <v>203.471</v>
      </c>
      <c r="D939" s="1" t="s">
        <v>17</v>
      </c>
      <c r="E939" s="1" t="s">
        <v>105</v>
      </c>
      <c r="F939" s="1">
        <v>25.97</v>
      </c>
      <c r="G939" s="1">
        <v>35.92</v>
      </c>
      <c r="H939" s="1">
        <v>5.4961037038E10</v>
      </c>
      <c r="I939" s="1">
        <v>6.4188062442E10</v>
      </c>
      <c r="J939" s="1" t="s">
        <v>2113</v>
      </c>
      <c r="K939" s="1" t="s">
        <v>2114</v>
      </c>
      <c r="L939" s="1">
        <v>9.28</v>
      </c>
      <c r="M939" s="1">
        <v>1888.21</v>
      </c>
      <c r="N939" s="1">
        <v>1888.0</v>
      </c>
      <c r="O939" s="1">
        <v>156704.0</v>
      </c>
    </row>
    <row r="940">
      <c r="A940" s="1" t="s">
        <v>2115</v>
      </c>
      <c r="B940" s="1" t="s">
        <v>122</v>
      </c>
      <c r="C940" s="1">
        <v>178.9791</v>
      </c>
      <c r="D940" s="1" t="s">
        <v>21</v>
      </c>
      <c r="E940" s="1" t="s">
        <v>155</v>
      </c>
      <c r="F940" s="1">
        <v>74.45</v>
      </c>
      <c r="G940" s="1">
        <v>59.61</v>
      </c>
      <c r="H940" s="1">
        <v>5.1923213434E10</v>
      </c>
      <c r="I940" s="1">
        <v>6.1022206143E10</v>
      </c>
      <c r="J940" s="2">
        <v>45329.29861111111</v>
      </c>
      <c r="K940" s="2">
        <v>45480.040972222225</v>
      </c>
      <c r="L940" s="1">
        <v>2.1</v>
      </c>
      <c r="M940" s="1">
        <v>375.86</v>
      </c>
      <c r="N940" s="1">
        <v>376.0</v>
      </c>
      <c r="O940" s="1">
        <v>31208.0</v>
      </c>
    </row>
    <row r="941">
      <c r="A941" s="1" t="s">
        <v>2116</v>
      </c>
      <c r="B941" s="1" t="s">
        <v>139</v>
      </c>
      <c r="C941" s="1">
        <v>28.7833</v>
      </c>
      <c r="D941" s="1" t="s">
        <v>42</v>
      </c>
      <c r="E941" s="1" t="s">
        <v>54</v>
      </c>
      <c r="F941" s="1">
        <v>25.53</v>
      </c>
      <c r="G941" s="1">
        <v>26.24</v>
      </c>
      <c r="H941" s="1">
        <v>3.9254762176E10</v>
      </c>
      <c r="I941" s="1">
        <v>4.3503289304E10</v>
      </c>
      <c r="J941" s="2">
        <v>45358.175</v>
      </c>
      <c r="K941" s="2">
        <v>45389.37430555555</v>
      </c>
      <c r="L941" s="1">
        <v>8.12</v>
      </c>
      <c r="M941" s="1">
        <v>233.72</v>
      </c>
      <c r="N941" s="1">
        <v>234.0</v>
      </c>
      <c r="O941" s="1">
        <v>19422.0</v>
      </c>
    </row>
    <row r="942">
      <c r="A942" s="1" t="s">
        <v>2117</v>
      </c>
      <c r="B942" s="1" t="s">
        <v>41</v>
      </c>
      <c r="C942" s="1">
        <v>37.6833</v>
      </c>
      <c r="D942" s="1" t="s">
        <v>42</v>
      </c>
      <c r="E942" s="1" t="s">
        <v>155</v>
      </c>
      <c r="F942" s="1">
        <v>40.96</v>
      </c>
      <c r="G942" s="1">
        <v>17.44</v>
      </c>
      <c r="H942" s="1">
        <v>5.3065520928E10</v>
      </c>
      <c r="I942" s="1">
        <v>5.8262181355E10</v>
      </c>
      <c r="J942" s="1" t="s">
        <v>2118</v>
      </c>
      <c r="K942" s="1" t="s">
        <v>2119</v>
      </c>
      <c r="L942" s="1">
        <v>5.57</v>
      </c>
      <c r="M942" s="1">
        <v>209.9</v>
      </c>
      <c r="N942" s="1">
        <v>210.0</v>
      </c>
      <c r="O942" s="1">
        <v>17430.0</v>
      </c>
    </row>
    <row r="943">
      <c r="A943" s="1" t="s">
        <v>2120</v>
      </c>
      <c r="B943" s="1" t="s">
        <v>112</v>
      </c>
      <c r="C943" s="1">
        <v>82.5667</v>
      </c>
      <c r="D943" s="1" t="s">
        <v>42</v>
      </c>
      <c r="E943" s="1" t="s">
        <v>123</v>
      </c>
      <c r="F943" s="1">
        <v>12.74</v>
      </c>
      <c r="G943" s="1">
        <v>46.18</v>
      </c>
      <c r="H943" s="1">
        <v>7.6915170111E10</v>
      </c>
      <c r="I943" s="1">
        <v>7.8654273956E10</v>
      </c>
      <c r="J943" s="1" t="s">
        <v>2121</v>
      </c>
      <c r="K943" s="2">
        <v>45300.80138888889</v>
      </c>
      <c r="L943" s="1">
        <v>5.89</v>
      </c>
      <c r="M943" s="1">
        <v>486.32</v>
      </c>
      <c r="N943" s="1">
        <v>486.0</v>
      </c>
      <c r="O943" s="1">
        <v>40338.0</v>
      </c>
    </row>
    <row r="944">
      <c r="A944" s="1" t="s">
        <v>2122</v>
      </c>
      <c r="B944" s="1" t="s">
        <v>112</v>
      </c>
      <c r="C944" s="1">
        <v>76.6833</v>
      </c>
      <c r="D944" s="1" t="s">
        <v>42</v>
      </c>
      <c r="E944" s="1" t="s">
        <v>155</v>
      </c>
      <c r="F944" s="1">
        <v>66.18</v>
      </c>
      <c r="G944" s="1">
        <v>54.39</v>
      </c>
      <c r="H944" s="1">
        <v>6.641579564E9</v>
      </c>
      <c r="I944" s="1">
        <v>6.709560828E9</v>
      </c>
      <c r="J944" s="2">
        <v>45420.597916666666</v>
      </c>
      <c r="K944" s="2">
        <v>45512.79305555556</v>
      </c>
      <c r="L944" s="1">
        <v>1.59</v>
      </c>
      <c r="M944" s="1">
        <v>121.93</v>
      </c>
      <c r="N944" s="1">
        <v>122.0</v>
      </c>
      <c r="O944" s="1">
        <v>10126.0</v>
      </c>
    </row>
    <row r="945">
      <c r="A945" s="1" t="s">
        <v>2123</v>
      </c>
      <c r="B945" s="1" t="s">
        <v>41</v>
      </c>
      <c r="C945" s="1">
        <v>128.8</v>
      </c>
      <c r="D945" s="1" t="s">
        <v>42</v>
      </c>
      <c r="E945" s="1" t="s">
        <v>70</v>
      </c>
      <c r="F945" s="1">
        <v>63.58</v>
      </c>
      <c r="G945" s="1">
        <v>55.02</v>
      </c>
      <c r="H945" s="1">
        <v>4.1511369742E10</v>
      </c>
      <c r="I945" s="1">
        <v>4.5873428076E10</v>
      </c>
      <c r="J945" s="2">
        <v>45604.813888888886</v>
      </c>
      <c r="K945" s="1" t="s">
        <v>2124</v>
      </c>
      <c r="L945" s="1">
        <v>3.7</v>
      </c>
      <c r="M945" s="1">
        <v>476.56</v>
      </c>
      <c r="N945" s="1">
        <v>477.0</v>
      </c>
      <c r="O945" s="1">
        <v>39591.0</v>
      </c>
    </row>
    <row r="946">
      <c r="A946" s="1" t="s">
        <v>2125</v>
      </c>
      <c r="B946" s="1" t="s">
        <v>273</v>
      </c>
      <c r="C946" s="1">
        <v>414.6583</v>
      </c>
      <c r="D946" s="1" t="s">
        <v>17</v>
      </c>
      <c r="E946" s="1" t="s">
        <v>58</v>
      </c>
      <c r="F946" s="1">
        <v>18.21</v>
      </c>
      <c r="G946" s="1">
        <v>45.07</v>
      </c>
      <c r="H946" s="1">
        <v>7.6235665146E10</v>
      </c>
      <c r="I946" s="1">
        <v>8.4644895301E10</v>
      </c>
      <c r="J946" s="1" t="s">
        <v>2126</v>
      </c>
      <c r="K946" s="1" t="s">
        <v>2127</v>
      </c>
      <c r="L946" s="1">
        <v>4.56</v>
      </c>
      <c r="M946" s="1">
        <v>1890.84</v>
      </c>
      <c r="N946" s="1">
        <v>1891.0</v>
      </c>
      <c r="O946" s="1">
        <v>156953.0</v>
      </c>
    </row>
    <row r="947">
      <c r="A947" s="1" t="s">
        <v>2128</v>
      </c>
      <c r="B947" s="1" t="s">
        <v>16</v>
      </c>
      <c r="C947" s="1">
        <v>630.7125</v>
      </c>
      <c r="D947" s="1" t="s">
        <v>17</v>
      </c>
      <c r="E947" s="1" t="s">
        <v>32</v>
      </c>
      <c r="F947" s="1">
        <v>54.68</v>
      </c>
      <c r="G947" s="1">
        <v>87.03</v>
      </c>
      <c r="H947" s="1">
        <v>8.786494055E9</v>
      </c>
      <c r="I947" s="1">
        <v>1.647132585E10</v>
      </c>
      <c r="J947" s="1" t="s">
        <v>2129</v>
      </c>
      <c r="K947" s="1" t="s">
        <v>2130</v>
      </c>
      <c r="L947" s="1">
        <v>1.85</v>
      </c>
      <c r="M947" s="1">
        <v>1166.82</v>
      </c>
      <c r="N947" s="1">
        <v>1167.0</v>
      </c>
      <c r="O947" s="1">
        <v>96861.0</v>
      </c>
    </row>
    <row r="948">
      <c r="A948" s="1" t="s">
        <v>2131</v>
      </c>
      <c r="B948" s="1" t="s">
        <v>79</v>
      </c>
      <c r="C948" s="1">
        <v>49.8981</v>
      </c>
      <c r="D948" s="1" t="s">
        <v>17</v>
      </c>
      <c r="E948" s="1" t="s">
        <v>27</v>
      </c>
      <c r="F948" s="1">
        <v>6.38</v>
      </c>
      <c r="G948" s="1">
        <v>81.03</v>
      </c>
      <c r="H948" s="1">
        <v>2.5021911702E10</v>
      </c>
      <c r="I948" s="1">
        <v>3.0890344545E10</v>
      </c>
      <c r="J948" s="1" t="s">
        <v>2132</v>
      </c>
      <c r="K948" s="1" t="s">
        <v>2133</v>
      </c>
      <c r="L948" s="1">
        <v>6.35</v>
      </c>
      <c r="M948" s="1">
        <v>316.85</v>
      </c>
      <c r="N948" s="1">
        <v>317.0</v>
      </c>
      <c r="O948" s="1">
        <v>26311.0</v>
      </c>
    </row>
    <row r="949">
      <c r="A949" s="1" t="s">
        <v>2134</v>
      </c>
      <c r="B949" s="1" t="s">
        <v>62</v>
      </c>
      <c r="C949" s="1">
        <v>116.4333</v>
      </c>
      <c r="D949" s="1" t="s">
        <v>42</v>
      </c>
      <c r="E949" s="1" t="s">
        <v>18</v>
      </c>
      <c r="F949" s="1">
        <v>5.17</v>
      </c>
      <c r="G949" s="1">
        <v>44.41</v>
      </c>
      <c r="H949" s="1">
        <v>3.2590764217E10</v>
      </c>
      <c r="I949" s="1">
        <v>3.4285952731E10</v>
      </c>
      <c r="J949" s="2">
        <v>45481.89791666667</v>
      </c>
      <c r="K949" s="2">
        <v>45634.74930555555</v>
      </c>
      <c r="L949" s="1">
        <v>2.3</v>
      </c>
      <c r="M949" s="1">
        <v>267.8</v>
      </c>
      <c r="N949" s="1">
        <v>268.0</v>
      </c>
      <c r="O949" s="1">
        <v>22244.0</v>
      </c>
    </row>
    <row r="950">
      <c r="A950" s="1" t="s">
        <v>2135</v>
      </c>
      <c r="B950" s="1" t="s">
        <v>46</v>
      </c>
      <c r="C950" s="1">
        <v>502.9505</v>
      </c>
      <c r="D950" s="1" t="s">
        <v>17</v>
      </c>
      <c r="E950" s="1" t="s">
        <v>37</v>
      </c>
      <c r="F950" s="1">
        <v>87.46</v>
      </c>
      <c r="G950" s="1">
        <v>31.97</v>
      </c>
      <c r="H950" s="1">
        <v>9.878243182E9</v>
      </c>
      <c r="I950" s="1">
        <v>1.0546174477E10</v>
      </c>
      <c r="J950" s="2">
        <v>45572.00833333333</v>
      </c>
      <c r="K950" s="2">
        <v>45633.48541666667</v>
      </c>
      <c r="L950" s="1">
        <v>5.53</v>
      </c>
      <c r="M950" s="1">
        <v>2781.32</v>
      </c>
      <c r="N950" s="1">
        <v>2781.0</v>
      </c>
      <c r="O950" s="1">
        <v>230823.0</v>
      </c>
    </row>
    <row r="951">
      <c r="A951" s="1" t="s">
        <v>2136</v>
      </c>
      <c r="B951" s="1" t="s">
        <v>16</v>
      </c>
      <c r="C951" s="1">
        <v>530.888</v>
      </c>
      <c r="D951" s="1" t="s">
        <v>17</v>
      </c>
      <c r="E951" s="1" t="s">
        <v>70</v>
      </c>
      <c r="F951" s="1">
        <v>19.48</v>
      </c>
      <c r="G951" s="1">
        <v>46.39</v>
      </c>
      <c r="H951" s="1">
        <v>9.7745158698E10</v>
      </c>
      <c r="I951" s="3">
        <v>1.02047E11</v>
      </c>
      <c r="J951" s="1" t="s">
        <v>2137</v>
      </c>
      <c r="K951" s="1" t="s">
        <v>2138</v>
      </c>
      <c r="L951" s="1">
        <v>4.2</v>
      </c>
      <c r="M951" s="1">
        <v>2229.73</v>
      </c>
      <c r="N951" s="1">
        <v>2230.0</v>
      </c>
      <c r="O951" s="1">
        <v>185090.0</v>
      </c>
    </row>
    <row r="952">
      <c r="A952" s="1" t="s">
        <v>2139</v>
      </c>
      <c r="B952" s="1" t="s">
        <v>41</v>
      </c>
      <c r="C952" s="1">
        <v>47.15</v>
      </c>
      <c r="D952" s="1" t="s">
        <v>42</v>
      </c>
      <c r="E952" s="1" t="s">
        <v>54</v>
      </c>
      <c r="F952" s="1">
        <v>13.75</v>
      </c>
      <c r="G952" s="1">
        <v>88.12</v>
      </c>
      <c r="H952" s="1">
        <v>9.8525753914E10</v>
      </c>
      <c r="I952" s="1">
        <v>9.9984623576E10</v>
      </c>
      <c r="J952" s="1" t="s">
        <v>2140</v>
      </c>
      <c r="K952" s="1" t="s">
        <v>2141</v>
      </c>
      <c r="L952" s="1">
        <v>6.05</v>
      </c>
      <c r="M952" s="1">
        <v>285.26</v>
      </c>
      <c r="N952" s="1">
        <v>285.0</v>
      </c>
      <c r="O952" s="1">
        <v>23655.0</v>
      </c>
    </row>
    <row r="953">
      <c r="A953" s="1" t="s">
        <v>2142</v>
      </c>
      <c r="B953" s="1" t="s">
        <v>57</v>
      </c>
      <c r="C953" s="1">
        <v>966.1292</v>
      </c>
      <c r="D953" s="1" t="s">
        <v>17</v>
      </c>
      <c r="E953" s="1" t="s">
        <v>54</v>
      </c>
      <c r="F953" s="1">
        <v>59.27</v>
      </c>
      <c r="G953" s="1">
        <v>52.16</v>
      </c>
      <c r="H953" s="1">
        <v>1.8658664146E10</v>
      </c>
      <c r="I953" s="1">
        <v>2.8407569512E10</v>
      </c>
      <c r="J953" s="1" t="s">
        <v>2143</v>
      </c>
      <c r="K953" s="1" t="s">
        <v>2144</v>
      </c>
      <c r="L953" s="1">
        <v>6.68</v>
      </c>
      <c r="M953" s="1">
        <v>6453.74</v>
      </c>
      <c r="N953" s="1">
        <v>6454.0</v>
      </c>
      <c r="O953" s="1">
        <v>535682.0</v>
      </c>
    </row>
    <row r="954">
      <c r="A954" s="1" t="s">
        <v>2145</v>
      </c>
      <c r="B954" s="1" t="s">
        <v>62</v>
      </c>
      <c r="C954" s="1">
        <v>116.2833</v>
      </c>
      <c r="D954" s="1" t="s">
        <v>42</v>
      </c>
      <c r="E954" s="1" t="s">
        <v>22</v>
      </c>
      <c r="F954" s="1">
        <v>48.26</v>
      </c>
      <c r="G954" s="1">
        <v>76.22</v>
      </c>
      <c r="H954" s="1">
        <v>3.5653892189E10</v>
      </c>
      <c r="I954" s="1">
        <v>4.1713554786E10</v>
      </c>
      <c r="J954" s="1" t="s">
        <v>2146</v>
      </c>
      <c r="K954" s="1" t="s">
        <v>2147</v>
      </c>
      <c r="L954" s="1">
        <v>3.53</v>
      </c>
      <c r="M954" s="1">
        <v>410.48</v>
      </c>
      <c r="N954" s="1">
        <v>410.0</v>
      </c>
      <c r="O954" s="1">
        <v>34030.0</v>
      </c>
    </row>
    <row r="955">
      <c r="A955" s="1" t="s">
        <v>2148</v>
      </c>
      <c r="B955" s="1" t="s">
        <v>41</v>
      </c>
      <c r="C955" s="1">
        <v>65.2833</v>
      </c>
      <c r="D955" s="1" t="s">
        <v>42</v>
      </c>
      <c r="E955" s="1" t="s">
        <v>18</v>
      </c>
      <c r="F955" s="1">
        <v>33.43</v>
      </c>
      <c r="G955" s="1">
        <v>98.81</v>
      </c>
      <c r="H955" s="1">
        <v>1.301237514E10</v>
      </c>
      <c r="I955" s="1">
        <v>2.2589729918E10</v>
      </c>
      <c r="J955" s="1" t="s">
        <v>2149</v>
      </c>
      <c r="K955" s="1" t="s">
        <v>2150</v>
      </c>
      <c r="L955" s="1">
        <v>1.53</v>
      </c>
      <c r="M955" s="1">
        <v>99.88</v>
      </c>
      <c r="N955" s="1">
        <v>100.0</v>
      </c>
      <c r="O955" s="1">
        <v>8300.0</v>
      </c>
    </row>
    <row r="956">
      <c r="A956" s="1" t="s">
        <v>2151</v>
      </c>
      <c r="B956" s="1" t="s">
        <v>60</v>
      </c>
      <c r="C956" s="1">
        <v>39.0333</v>
      </c>
      <c r="D956" s="1" t="s">
        <v>42</v>
      </c>
      <c r="E956" s="1" t="s">
        <v>70</v>
      </c>
      <c r="F956" s="1">
        <v>28.36</v>
      </c>
      <c r="G956" s="1">
        <v>60.41</v>
      </c>
      <c r="H956" s="1">
        <v>1.7071073345E10</v>
      </c>
      <c r="I956" s="1">
        <v>1.9720613386E10</v>
      </c>
      <c r="J956" s="2">
        <v>45330.76736111111</v>
      </c>
      <c r="K956" s="2">
        <v>45390.39375</v>
      </c>
      <c r="L956" s="1">
        <v>4.19</v>
      </c>
      <c r="M956" s="1">
        <v>163.55</v>
      </c>
      <c r="N956" s="1">
        <v>164.0</v>
      </c>
      <c r="O956" s="1">
        <v>13612.0</v>
      </c>
    </row>
    <row r="957">
      <c r="A957" s="1" t="s">
        <v>2152</v>
      </c>
      <c r="B957" s="1" t="s">
        <v>36</v>
      </c>
      <c r="C957" s="1">
        <v>125.9564</v>
      </c>
      <c r="D957" s="1" t="s">
        <v>21</v>
      </c>
      <c r="E957" s="1" t="s">
        <v>58</v>
      </c>
      <c r="F957" s="1">
        <v>7.24</v>
      </c>
      <c r="G957" s="1">
        <v>88.14</v>
      </c>
      <c r="H957" s="1">
        <v>7.0590233874E10</v>
      </c>
      <c r="I957" s="1">
        <v>7.4188874592E10</v>
      </c>
      <c r="J957" s="1" t="s">
        <v>2153</v>
      </c>
      <c r="K957" s="1" t="s">
        <v>2154</v>
      </c>
      <c r="L957" s="1">
        <v>6.81</v>
      </c>
      <c r="M957" s="1">
        <v>857.76</v>
      </c>
      <c r="N957" s="1">
        <v>858.0</v>
      </c>
      <c r="O957" s="1">
        <v>71214.0</v>
      </c>
    </row>
    <row r="958">
      <c r="A958" s="1" t="s">
        <v>2155</v>
      </c>
      <c r="B958" s="1" t="s">
        <v>46</v>
      </c>
      <c r="C958" s="1">
        <v>277.8297</v>
      </c>
      <c r="D958" s="1" t="s">
        <v>21</v>
      </c>
      <c r="E958" s="1" t="s">
        <v>58</v>
      </c>
      <c r="F958" s="1">
        <v>29.26</v>
      </c>
      <c r="G958" s="1">
        <v>5.84</v>
      </c>
      <c r="H958" s="1">
        <v>7.2137164877E10</v>
      </c>
      <c r="I958" s="1">
        <v>8.0001823378E10</v>
      </c>
      <c r="J958" s="2">
        <v>45481.066666666666</v>
      </c>
      <c r="K958" s="2">
        <v>45634.888194444444</v>
      </c>
      <c r="L958" s="1">
        <v>8.89</v>
      </c>
      <c r="M958" s="1">
        <v>2469.91</v>
      </c>
      <c r="N958" s="1">
        <v>2470.0</v>
      </c>
      <c r="O958" s="1">
        <v>205010.0</v>
      </c>
    </row>
    <row r="959">
      <c r="A959" s="1" t="s">
        <v>2156</v>
      </c>
      <c r="B959" s="1" t="s">
        <v>79</v>
      </c>
      <c r="C959" s="1">
        <v>367.5864</v>
      </c>
      <c r="D959" s="1" t="s">
        <v>17</v>
      </c>
      <c r="E959" s="1" t="s">
        <v>22</v>
      </c>
      <c r="F959" s="1">
        <v>50.46</v>
      </c>
      <c r="G959" s="1">
        <v>15.86</v>
      </c>
      <c r="H959" s="1">
        <v>4.5875770508E10</v>
      </c>
      <c r="I959" s="1">
        <v>4.6494768677E10</v>
      </c>
      <c r="J959" s="1" t="s">
        <v>2157</v>
      </c>
      <c r="K959" s="1" t="s">
        <v>2158</v>
      </c>
      <c r="L959" s="1">
        <v>4.77</v>
      </c>
      <c r="M959" s="1">
        <v>1753.39</v>
      </c>
      <c r="N959" s="1">
        <v>1753.0</v>
      </c>
      <c r="O959" s="1">
        <v>145499.0</v>
      </c>
    </row>
    <row r="960">
      <c r="A960" s="1" t="s">
        <v>2159</v>
      </c>
      <c r="B960" s="1" t="s">
        <v>169</v>
      </c>
      <c r="C960" s="1">
        <v>615.9233</v>
      </c>
      <c r="D960" s="1" t="s">
        <v>17</v>
      </c>
      <c r="E960" s="1" t="s">
        <v>37</v>
      </c>
      <c r="F960" s="1">
        <v>46.44</v>
      </c>
      <c r="G960" s="1">
        <v>26.05</v>
      </c>
      <c r="H960" s="1">
        <v>1.7512386922E10</v>
      </c>
      <c r="I960" s="1">
        <v>2.3892346198E10</v>
      </c>
      <c r="J960" s="2">
        <v>45573.850694444445</v>
      </c>
      <c r="K960" s="1" t="s">
        <v>2160</v>
      </c>
      <c r="L960" s="1">
        <v>1.31</v>
      </c>
      <c r="M960" s="1">
        <v>806.86</v>
      </c>
      <c r="N960" s="1">
        <v>807.0</v>
      </c>
      <c r="O960" s="1">
        <v>66981.0</v>
      </c>
    </row>
    <row r="961">
      <c r="A961" s="1" t="s">
        <v>2161</v>
      </c>
      <c r="B961" s="1" t="s">
        <v>60</v>
      </c>
      <c r="C961" s="1">
        <v>127.7333</v>
      </c>
      <c r="D961" s="1" t="s">
        <v>42</v>
      </c>
      <c r="E961" s="1" t="s">
        <v>37</v>
      </c>
      <c r="F961" s="1">
        <v>14.64</v>
      </c>
      <c r="G961" s="1">
        <v>17.36</v>
      </c>
      <c r="H961" s="1">
        <v>5.838993983E9</v>
      </c>
      <c r="I961" s="1">
        <v>8.497442468E9</v>
      </c>
      <c r="J961" s="2">
        <v>45390.225694444445</v>
      </c>
      <c r="K961" s="2">
        <v>45543.54791666667</v>
      </c>
      <c r="L961" s="1">
        <v>7.8</v>
      </c>
      <c r="M961" s="1">
        <v>996.32</v>
      </c>
      <c r="N961" s="1">
        <v>996.0</v>
      </c>
      <c r="O961" s="1">
        <v>82668.0</v>
      </c>
    </row>
    <row r="962">
      <c r="A962" s="1" t="s">
        <v>2162</v>
      </c>
      <c r="B962" s="1" t="s">
        <v>36</v>
      </c>
      <c r="C962" s="1">
        <v>759.7956</v>
      </c>
      <c r="D962" s="1" t="s">
        <v>17</v>
      </c>
      <c r="E962" s="1" t="s">
        <v>54</v>
      </c>
      <c r="F962" s="1">
        <v>43.68</v>
      </c>
      <c r="G962" s="1">
        <v>4.57</v>
      </c>
      <c r="H962" s="1">
        <v>1.8601085588E10</v>
      </c>
      <c r="I962" s="1">
        <v>2.2034078014E10</v>
      </c>
      <c r="J962" s="2">
        <v>45603.870833333334</v>
      </c>
      <c r="K962" s="1" t="s">
        <v>2163</v>
      </c>
      <c r="L962" s="1">
        <v>9.89</v>
      </c>
      <c r="M962" s="1">
        <v>7514.38</v>
      </c>
      <c r="N962" s="1">
        <v>7514.0</v>
      </c>
      <c r="O962" s="1">
        <v>623662.0</v>
      </c>
    </row>
    <row r="963">
      <c r="A963" s="1" t="s">
        <v>2164</v>
      </c>
      <c r="B963" s="1" t="s">
        <v>36</v>
      </c>
      <c r="C963" s="1">
        <v>340.3693</v>
      </c>
      <c r="D963" s="1" t="s">
        <v>17</v>
      </c>
      <c r="E963" s="1" t="s">
        <v>37</v>
      </c>
      <c r="F963" s="1">
        <v>2.54</v>
      </c>
      <c r="G963" s="1">
        <v>73.14</v>
      </c>
      <c r="H963" s="1">
        <v>6.6907417382E10</v>
      </c>
      <c r="I963" s="1">
        <v>7.3738179228E10</v>
      </c>
      <c r="J963" s="1" t="s">
        <v>2165</v>
      </c>
      <c r="K963" s="1" t="s">
        <v>2166</v>
      </c>
      <c r="L963" s="1">
        <v>5.43</v>
      </c>
      <c r="M963" s="1">
        <v>1848.21</v>
      </c>
      <c r="N963" s="1">
        <v>1848.0</v>
      </c>
      <c r="O963" s="1">
        <v>153384.0</v>
      </c>
    </row>
    <row r="964">
      <c r="A964" s="1" t="s">
        <v>2167</v>
      </c>
      <c r="B964" s="1" t="s">
        <v>36</v>
      </c>
      <c r="C964" s="1">
        <v>28.6273</v>
      </c>
      <c r="D964" s="1" t="s">
        <v>17</v>
      </c>
      <c r="E964" s="1" t="s">
        <v>37</v>
      </c>
      <c r="F964" s="1">
        <v>76.01</v>
      </c>
      <c r="G964" s="1">
        <v>55.07</v>
      </c>
      <c r="H964" s="1">
        <v>3.094239161E10</v>
      </c>
      <c r="I964" s="1">
        <v>3.8113531186E10</v>
      </c>
      <c r="J964" s="2">
        <v>45358.941666666666</v>
      </c>
      <c r="K964" s="2">
        <v>45450.58472222222</v>
      </c>
      <c r="L964" s="1">
        <v>4.9</v>
      </c>
      <c r="M964" s="1">
        <v>140.27</v>
      </c>
      <c r="N964" s="1">
        <v>140.0</v>
      </c>
      <c r="O964" s="1">
        <v>11620.0</v>
      </c>
    </row>
    <row r="965">
      <c r="A965" s="1" t="s">
        <v>2168</v>
      </c>
      <c r="B965" s="1" t="s">
        <v>169</v>
      </c>
      <c r="C965" s="1">
        <v>556.4179</v>
      </c>
      <c r="D965" s="1" t="s">
        <v>21</v>
      </c>
      <c r="E965" s="1" t="s">
        <v>18</v>
      </c>
      <c r="F965" s="1">
        <v>44.75</v>
      </c>
      <c r="G965" s="1">
        <v>9.62</v>
      </c>
      <c r="H965" s="1">
        <v>5.672691082E10</v>
      </c>
      <c r="I965" s="1">
        <v>6.2964470066E10</v>
      </c>
      <c r="J965" s="1" t="s">
        <v>2169</v>
      </c>
      <c r="K965" s="1" t="s">
        <v>2170</v>
      </c>
      <c r="L965" s="1">
        <v>3.61</v>
      </c>
      <c r="M965" s="1">
        <v>2008.67</v>
      </c>
      <c r="N965" s="1">
        <v>2009.0</v>
      </c>
      <c r="O965" s="1">
        <v>166747.0</v>
      </c>
    </row>
    <row r="966">
      <c r="A966" s="1" t="s">
        <v>2171</v>
      </c>
      <c r="B966" s="1" t="s">
        <v>147</v>
      </c>
      <c r="C966" s="1">
        <v>108.4167</v>
      </c>
      <c r="D966" s="1" t="s">
        <v>42</v>
      </c>
      <c r="E966" s="1" t="s">
        <v>123</v>
      </c>
      <c r="F966" s="1">
        <v>57.84</v>
      </c>
      <c r="G966" s="1">
        <v>47.91</v>
      </c>
      <c r="H966" s="1">
        <v>4.7845396038E10</v>
      </c>
      <c r="I966" s="1">
        <v>5.0461064734E10</v>
      </c>
      <c r="J966" s="2">
        <v>45451.444444444445</v>
      </c>
      <c r="K966" s="2">
        <v>45573.961805555555</v>
      </c>
      <c r="L966" s="1">
        <v>8.94</v>
      </c>
      <c r="M966" s="1">
        <v>969.25</v>
      </c>
      <c r="N966" s="1">
        <v>969.0</v>
      </c>
      <c r="O966" s="1">
        <v>80427.0</v>
      </c>
    </row>
    <row r="967">
      <c r="A967" s="1" t="s">
        <v>2172</v>
      </c>
      <c r="B967" s="1" t="s">
        <v>36</v>
      </c>
      <c r="C967" s="1">
        <v>40.2558</v>
      </c>
      <c r="D967" s="1" t="s">
        <v>17</v>
      </c>
      <c r="E967" s="1" t="s">
        <v>123</v>
      </c>
      <c r="F967" s="1">
        <v>86.68</v>
      </c>
      <c r="G967" s="1">
        <v>62.09</v>
      </c>
      <c r="H967" s="1">
        <v>9.1291091118E10</v>
      </c>
      <c r="I967" s="1">
        <v>9.4252055678E10</v>
      </c>
      <c r="J967" s="1" t="s">
        <v>2173</v>
      </c>
      <c r="K967" s="1" t="s">
        <v>2174</v>
      </c>
      <c r="L967" s="1">
        <v>3.76</v>
      </c>
      <c r="M967" s="1">
        <v>151.36</v>
      </c>
      <c r="N967" s="1">
        <v>151.0</v>
      </c>
      <c r="O967" s="1">
        <v>12533.0</v>
      </c>
    </row>
    <row r="968">
      <c r="A968" s="1" t="s">
        <v>2175</v>
      </c>
      <c r="B968" s="1" t="s">
        <v>273</v>
      </c>
      <c r="C968" s="1">
        <v>432.8095</v>
      </c>
      <c r="D968" s="1" t="s">
        <v>17</v>
      </c>
      <c r="E968" s="1" t="s">
        <v>58</v>
      </c>
      <c r="F968" s="1">
        <v>12.13</v>
      </c>
      <c r="G968" s="1">
        <v>62.87</v>
      </c>
      <c r="H968" s="1">
        <v>2.9729140484E10</v>
      </c>
      <c r="I968" s="1">
        <v>3.7219298641E10</v>
      </c>
      <c r="J968" s="1" t="s">
        <v>2176</v>
      </c>
      <c r="K968" s="1" t="s">
        <v>2177</v>
      </c>
      <c r="L968" s="1">
        <v>2.52</v>
      </c>
      <c r="M968" s="1">
        <v>1090.68</v>
      </c>
      <c r="N968" s="1">
        <v>1091.0</v>
      </c>
      <c r="O968" s="1">
        <v>90553.0</v>
      </c>
    </row>
    <row r="969">
      <c r="A969" s="1" t="s">
        <v>2178</v>
      </c>
      <c r="B969" s="1" t="s">
        <v>36</v>
      </c>
      <c r="C969" s="1">
        <v>218.0232</v>
      </c>
      <c r="D969" s="1" t="s">
        <v>21</v>
      </c>
      <c r="E969" s="1" t="s">
        <v>37</v>
      </c>
      <c r="F969" s="1">
        <v>57.86</v>
      </c>
      <c r="G969" s="1">
        <v>17.83</v>
      </c>
      <c r="H969" s="1">
        <v>7.54847515E9</v>
      </c>
      <c r="I969" s="1">
        <v>1.0109842689E10</v>
      </c>
      <c r="J969" s="1" t="s">
        <v>2179</v>
      </c>
      <c r="K969" s="2">
        <v>45300.04236111111</v>
      </c>
      <c r="L969" s="1">
        <v>9.43</v>
      </c>
      <c r="M969" s="1">
        <v>2055.96</v>
      </c>
      <c r="N969" s="1">
        <v>2056.0</v>
      </c>
      <c r="O969" s="1">
        <v>170648.0</v>
      </c>
    </row>
    <row r="970">
      <c r="A970" s="1" t="s">
        <v>2180</v>
      </c>
      <c r="B970" s="1" t="s">
        <v>112</v>
      </c>
      <c r="C970" s="1">
        <v>93.2833</v>
      </c>
      <c r="D970" s="1" t="s">
        <v>42</v>
      </c>
      <c r="E970" s="1" t="s">
        <v>54</v>
      </c>
      <c r="F970" s="1">
        <v>68.85</v>
      </c>
      <c r="G970" s="1">
        <v>81.28</v>
      </c>
      <c r="H970" s="1">
        <v>5.0994971013E10</v>
      </c>
      <c r="I970" s="1">
        <v>5.6265355888E10</v>
      </c>
      <c r="J970" s="2">
        <v>45633.052083333336</v>
      </c>
      <c r="K970" s="1" t="s">
        <v>2181</v>
      </c>
      <c r="L970" s="1">
        <v>6.32</v>
      </c>
      <c r="M970" s="1">
        <v>589.55</v>
      </c>
      <c r="N970" s="1">
        <v>590.0</v>
      </c>
      <c r="O970" s="1">
        <v>48970.0</v>
      </c>
    </row>
    <row r="971">
      <c r="A971" s="1" t="s">
        <v>2182</v>
      </c>
      <c r="B971" s="1" t="s">
        <v>169</v>
      </c>
      <c r="C971" s="1">
        <v>181.0234</v>
      </c>
      <c r="D971" s="1" t="s">
        <v>21</v>
      </c>
      <c r="E971" s="1" t="s">
        <v>70</v>
      </c>
      <c r="F971" s="1">
        <v>15.91</v>
      </c>
      <c r="G971" s="1">
        <v>64.82</v>
      </c>
      <c r="H971" s="1">
        <v>7.8680352164E10</v>
      </c>
      <c r="I971" s="1">
        <v>8.3877530111E10</v>
      </c>
      <c r="J971" s="2">
        <v>45634.88402777778</v>
      </c>
      <c r="K971" s="1" t="s">
        <v>2183</v>
      </c>
      <c r="L971" s="1">
        <v>5.72</v>
      </c>
      <c r="M971" s="1">
        <v>1035.45</v>
      </c>
      <c r="N971" s="1">
        <v>1035.0</v>
      </c>
      <c r="O971" s="1">
        <v>85905.0</v>
      </c>
    </row>
    <row r="972">
      <c r="A972" s="1" t="s">
        <v>2184</v>
      </c>
      <c r="B972" s="1" t="s">
        <v>60</v>
      </c>
      <c r="C972" s="1">
        <v>142.4</v>
      </c>
      <c r="D972" s="1" t="s">
        <v>42</v>
      </c>
      <c r="E972" s="1" t="s">
        <v>18</v>
      </c>
      <c r="F972" s="1">
        <v>79.09</v>
      </c>
      <c r="G972" s="1">
        <v>39.55</v>
      </c>
      <c r="H972" s="1">
        <v>1.7147923298E10</v>
      </c>
      <c r="I972" s="1">
        <v>2.6292232458E10</v>
      </c>
      <c r="J972" s="1" t="s">
        <v>2185</v>
      </c>
      <c r="K972" s="1" t="s">
        <v>2186</v>
      </c>
      <c r="L972" s="1">
        <v>2.05</v>
      </c>
      <c r="M972" s="1">
        <v>291.92</v>
      </c>
      <c r="N972" s="1">
        <v>292.0</v>
      </c>
      <c r="O972" s="1">
        <v>24236.0</v>
      </c>
    </row>
    <row r="973">
      <c r="A973" s="1" t="s">
        <v>2187</v>
      </c>
      <c r="B973" s="1" t="s">
        <v>20</v>
      </c>
      <c r="C973" s="1">
        <v>359.37</v>
      </c>
      <c r="D973" s="1" t="s">
        <v>21</v>
      </c>
      <c r="E973" s="1" t="s">
        <v>105</v>
      </c>
      <c r="F973" s="1">
        <v>17.02</v>
      </c>
      <c r="G973" s="1">
        <v>93.57</v>
      </c>
      <c r="H973" s="1">
        <v>5.3466679239E10</v>
      </c>
      <c r="I973" s="1">
        <v>5.6063842623E10</v>
      </c>
      <c r="J973" s="1" t="s">
        <v>2188</v>
      </c>
      <c r="K973" s="1" t="s">
        <v>2189</v>
      </c>
      <c r="L973" s="1">
        <v>6.86</v>
      </c>
      <c r="M973" s="1">
        <v>2465.28</v>
      </c>
      <c r="N973" s="1">
        <v>2465.0</v>
      </c>
      <c r="O973" s="1">
        <v>204595.0</v>
      </c>
    </row>
    <row r="974">
      <c r="A974" s="1" t="s">
        <v>2190</v>
      </c>
      <c r="B974" s="1" t="s">
        <v>83</v>
      </c>
      <c r="C974" s="1">
        <v>117.2097</v>
      </c>
      <c r="D974" s="1" t="s">
        <v>21</v>
      </c>
      <c r="E974" s="1" t="s">
        <v>58</v>
      </c>
      <c r="F974" s="1">
        <v>13.75</v>
      </c>
      <c r="G974" s="1">
        <v>65.66</v>
      </c>
      <c r="H974" s="1">
        <v>1.943170511E10</v>
      </c>
      <c r="I974" s="1">
        <v>1.9965883148E10</v>
      </c>
      <c r="J974" s="1" t="s">
        <v>2191</v>
      </c>
      <c r="K974" s="2">
        <v>45331.98402777778</v>
      </c>
      <c r="L974" s="1">
        <v>2.15</v>
      </c>
      <c r="M974" s="1">
        <v>252.0</v>
      </c>
      <c r="N974" s="1">
        <v>252.0</v>
      </c>
      <c r="O974" s="1">
        <v>20916.0</v>
      </c>
    </row>
    <row r="975">
      <c r="A975" s="1" t="s">
        <v>2192</v>
      </c>
      <c r="B975" s="1" t="s">
        <v>26</v>
      </c>
      <c r="C975" s="1">
        <v>757.7714</v>
      </c>
      <c r="D975" s="1" t="s">
        <v>17</v>
      </c>
      <c r="E975" s="1" t="s">
        <v>58</v>
      </c>
      <c r="F975" s="1">
        <v>34.57</v>
      </c>
      <c r="G975" s="1">
        <v>79.93</v>
      </c>
      <c r="H975" s="1">
        <v>5.3821049664E10</v>
      </c>
      <c r="I975" s="1">
        <v>5.4208234208E10</v>
      </c>
      <c r="J975" s="2">
        <v>45451.39791666667</v>
      </c>
      <c r="K975" s="2">
        <v>45604.475</v>
      </c>
      <c r="L975" s="1">
        <v>1.62</v>
      </c>
      <c r="M975" s="1">
        <v>1227.59</v>
      </c>
      <c r="N975" s="1">
        <v>1228.0</v>
      </c>
      <c r="O975" s="1">
        <v>101924.0</v>
      </c>
    </row>
    <row r="976">
      <c r="A976" s="1" t="s">
        <v>2193</v>
      </c>
      <c r="B976" s="1" t="s">
        <v>46</v>
      </c>
      <c r="C976" s="1">
        <v>929.0325</v>
      </c>
      <c r="D976" s="1" t="s">
        <v>17</v>
      </c>
      <c r="E976" s="1" t="s">
        <v>27</v>
      </c>
      <c r="F976" s="1">
        <v>44.48</v>
      </c>
      <c r="G976" s="1">
        <v>83.85</v>
      </c>
      <c r="H976" s="1">
        <v>3.4811117985E10</v>
      </c>
      <c r="I976" s="1">
        <v>3.6999088065E10</v>
      </c>
      <c r="J976" s="1" t="s">
        <v>2194</v>
      </c>
      <c r="K976" s="1" t="s">
        <v>2195</v>
      </c>
      <c r="L976" s="1">
        <v>7.38</v>
      </c>
      <c r="M976" s="1">
        <v>6856.26</v>
      </c>
      <c r="N976" s="1">
        <v>6856.0</v>
      </c>
      <c r="O976" s="1">
        <v>569048.0</v>
      </c>
    </row>
    <row r="977">
      <c r="A977" s="1" t="s">
        <v>2196</v>
      </c>
      <c r="B977" s="1" t="s">
        <v>166</v>
      </c>
      <c r="C977" s="1">
        <v>887.4779</v>
      </c>
      <c r="D977" s="1" t="s">
        <v>17</v>
      </c>
      <c r="E977" s="1" t="s">
        <v>123</v>
      </c>
      <c r="F977" s="1">
        <v>27.7</v>
      </c>
      <c r="G977" s="1">
        <v>44.05</v>
      </c>
      <c r="H977" s="1">
        <v>8.9755407669E10</v>
      </c>
      <c r="I977" s="1">
        <v>9.3295589515E10</v>
      </c>
      <c r="J977" s="1" t="s">
        <v>2197</v>
      </c>
      <c r="K977" s="1" t="s">
        <v>2198</v>
      </c>
      <c r="L977" s="1">
        <v>8.18</v>
      </c>
      <c r="M977" s="1">
        <v>7259.57</v>
      </c>
      <c r="N977" s="1">
        <v>7260.0</v>
      </c>
      <c r="O977" s="1">
        <v>602580.0</v>
      </c>
    </row>
    <row r="978">
      <c r="A978" s="1" t="s">
        <v>2199</v>
      </c>
      <c r="B978" s="1" t="s">
        <v>20</v>
      </c>
      <c r="C978" s="1">
        <v>845.9607</v>
      </c>
      <c r="D978" s="1" t="s">
        <v>17</v>
      </c>
      <c r="E978" s="1" t="s">
        <v>27</v>
      </c>
      <c r="F978" s="1">
        <v>54.45</v>
      </c>
      <c r="G978" s="1">
        <v>66.21</v>
      </c>
      <c r="H978" s="1">
        <v>6.1010448683E10</v>
      </c>
      <c r="I978" s="1">
        <v>6.7690112969E10</v>
      </c>
      <c r="J978" s="1" t="s">
        <v>2200</v>
      </c>
      <c r="K978" s="1" t="s">
        <v>2201</v>
      </c>
      <c r="L978" s="1">
        <v>2.47</v>
      </c>
      <c r="M978" s="1">
        <v>2089.52</v>
      </c>
      <c r="N978" s="1">
        <v>2090.0</v>
      </c>
      <c r="O978" s="1">
        <v>173470.0</v>
      </c>
    </row>
    <row r="979">
      <c r="A979" s="1" t="s">
        <v>2202</v>
      </c>
      <c r="B979" s="1" t="s">
        <v>112</v>
      </c>
      <c r="C979" s="1">
        <v>52.7167</v>
      </c>
      <c r="D979" s="1" t="s">
        <v>42</v>
      </c>
      <c r="E979" s="1" t="s">
        <v>37</v>
      </c>
      <c r="F979" s="1">
        <v>26.77</v>
      </c>
      <c r="G979" s="1">
        <v>9.98</v>
      </c>
      <c r="H979" s="1">
        <v>9.3008645603E10</v>
      </c>
      <c r="I979" s="1">
        <v>9.706806654E10</v>
      </c>
      <c r="J979" s="1" t="s">
        <v>2203</v>
      </c>
      <c r="K979" s="1" t="s">
        <v>2204</v>
      </c>
      <c r="L979" s="1">
        <v>9.25</v>
      </c>
      <c r="M979" s="1">
        <v>487.63</v>
      </c>
      <c r="N979" s="1">
        <v>488.0</v>
      </c>
      <c r="O979" s="1">
        <v>40504.0</v>
      </c>
    </row>
    <row r="980">
      <c r="A980" s="1" t="s">
        <v>2205</v>
      </c>
      <c r="B980" s="1" t="s">
        <v>46</v>
      </c>
      <c r="C980" s="1">
        <v>44.3384</v>
      </c>
      <c r="D980" s="1" t="s">
        <v>17</v>
      </c>
      <c r="E980" s="1" t="s">
        <v>105</v>
      </c>
      <c r="F980" s="1">
        <v>44.62</v>
      </c>
      <c r="G980" s="1">
        <v>71.37</v>
      </c>
      <c r="H980" s="1">
        <v>7.6359229549E10</v>
      </c>
      <c r="I980" s="1">
        <v>8.4113831464E10</v>
      </c>
      <c r="J980" s="1" t="s">
        <v>2206</v>
      </c>
      <c r="K980" s="1" t="s">
        <v>2207</v>
      </c>
      <c r="L980" s="1">
        <v>6.95</v>
      </c>
      <c r="M980" s="1">
        <v>308.15</v>
      </c>
      <c r="N980" s="1">
        <v>308.0</v>
      </c>
      <c r="O980" s="1">
        <v>25564.0</v>
      </c>
    </row>
    <row r="981">
      <c r="A981" s="1" t="s">
        <v>2208</v>
      </c>
      <c r="B981" s="1" t="s">
        <v>99</v>
      </c>
      <c r="C981" s="1">
        <v>28.3886</v>
      </c>
      <c r="D981" s="1" t="s">
        <v>17</v>
      </c>
      <c r="E981" s="1" t="s">
        <v>58</v>
      </c>
      <c r="F981" s="1">
        <v>85.23</v>
      </c>
      <c r="G981" s="1">
        <v>77.67</v>
      </c>
      <c r="H981" s="1">
        <v>6.5089630779E10</v>
      </c>
      <c r="I981" s="1">
        <v>7.3817051768E10</v>
      </c>
      <c r="J981" s="1" t="s">
        <v>2209</v>
      </c>
      <c r="K981" s="1" t="s">
        <v>2210</v>
      </c>
      <c r="L981" s="1">
        <v>3.43</v>
      </c>
      <c r="M981" s="1">
        <v>97.37</v>
      </c>
      <c r="N981" s="1">
        <v>97.0</v>
      </c>
      <c r="O981" s="1">
        <v>8051.0</v>
      </c>
    </row>
    <row r="982">
      <c r="A982" s="1" t="s">
        <v>2211</v>
      </c>
      <c r="B982" s="1" t="s">
        <v>128</v>
      </c>
      <c r="C982" s="1">
        <v>974.8384</v>
      </c>
      <c r="D982" s="1" t="s">
        <v>17</v>
      </c>
      <c r="E982" s="1" t="s">
        <v>58</v>
      </c>
      <c r="F982" s="1">
        <v>68.13</v>
      </c>
      <c r="G982" s="1">
        <v>48.34</v>
      </c>
      <c r="H982" s="1">
        <v>5.9057922985E10</v>
      </c>
      <c r="I982" s="1">
        <v>6.5711077756E10</v>
      </c>
      <c r="J982" s="1" t="s">
        <v>2212</v>
      </c>
      <c r="K982" s="1" t="s">
        <v>2213</v>
      </c>
      <c r="L982" s="1">
        <v>6.61</v>
      </c>
      <c r="M982" s="1">
        <v>6443.68</v>
      </c>
      <c r="N982" s="1">
        <v>6444.0</v>
      </c>
      <c r="O982" s="1">
        <v>534852.0</v>
      </c>
    </row>
    <row r="983">
      <c r="A983" s="1" t="s">
        <v>2214</v>
      </c>
      <c r="B983" s="1" t="s">
        <v>53</v>
      </c>
      <c r="C983" s="1">
        <v>565.7255</v>
      </c>
      <c r="D983" s="1" t="s">
        <v>21</v>
      </c>
      <c r="E983" s="1" t="s">
        <v>22</v>
      </c>
      <c r="F983" s="1">
        <v>37.1</v>
      </c>
      <c r="G983" s="1">
        <v>44.59</v>
      </c>
      <c r="H983" s="1">
        <v>3.4872615846E10</v>
      </c>
      <c r="I983" s="1">
        <v>3.5850067743E10</v>
      </c>
      <c r="J983" s="2">
        <v>45480.66180555556</v>
      </c>
      <c r="K983" s="2">
        <v>45542.96388888889</v>
      </c>
      <c r="L983" s="1">
        <v>9.38</v>
      </c>
      <c r="M983" s="1">
        <v>5306.51</v>
      </c>
      <c r="N983" s="1">
        <v>5307.0</v>
      </c>
      <c r="O983" s="1">
        <v>440481.0</v>
      </c>
    </row>
    <row r="984">
      <c r="A984" s="1" t="s">
        <v>2215</v>
      </c>
      <c r="B984" s="1" t="s">
        <v>169</v>
      </c>
      <c r="C984" s="1">
        <v>521.4659</v>
      </c>
      <c r="D984" s="1" t="s">
        <v>17</v>
      </c>
      <c r="E984" s="1" t="s">
        <v>74</v>
      </c>
      <c r="F984" s="1">
        <v>36.59</v>
      </c>
      <c r="G984" s="1">
        <v>82.86</v>
      </c>
      <c r="H984" s="1">
        <v>7.359709033E9</v>
      </c>
      <c r="I984" s="1">
        <v>1.58338509E10</v>
      </c>
      <c r="J984" s="1" t="s">
        <v>2216</v>
      </c>
      <c r="K984" s="1" t="s">
        <v>2217</v>
      </c>
      <c r="L984" s="1">
        <v>6.93</v>
      </c>
      <c r="M984" s="1">
        <v>3613.76</v>
      </c>
      <c r="N984" s="1">
        <v>3614.0</v>
      </c>
      <c r="O984" s="1">
        <v>299962.0</v>
      </c>
    </row>
    <row r="985">
      <c r="A985" s="1" t="s">
        <v>2218</v>
      </c>
      <c r="B985" s="1" t="s">
        <v>41</v>
      </c>
      <c r="C985" s="1">
        <v>34.5167</v>
      </c>
      <c r="D985" s="1" t="s">
        <v>42</v>
      </c>
      <c r="E985" s="1" t="s">
        <v>74</v>
      </c>
      <c r="F985" s="1">
        <v>3.69</v>
      </c>
      <c r="G985" s="1">
        <v>38.04</v>
      </c>
      <c r="H985" s="1">
        <v>1.4663849921E10</v>
      </c>
      <c r="I985" s="1">
        <v>2.1454606211E10</v>
      </c>
      <c r="J985" s="1" t="s">
        <v>2219</v>
      </c>
      <c r="K985" s="1" t="s">
        <v>2220</v>
      </c>
      <c r="L985" s="1">
        <v>1.33</v>
      </c>
      <c r="M985" s="1">
        <v>45.91</v>
      </c>
      <c r="N985" s="1">
        <v>46.0</v>
      </c>
      <c r="O985" s="1">
        <v>3818.0</v>
      </c>
    </row>
    <row r="986">
      <c r="A986" s="1" t="s">
        <v>2221</v>
      </c>
      <c r="B986" s="1" t="s">
        <v>139</v>
      </c>
      <c r="C986" s="1">
        <v>112.6667</v>
      </c>
      <c r="D986" s="1" t="s">
        <v>42</v>
      </c>
      <c r="E986" s="1" t="s">
        <v>155</v>
      </c>
      <c r="F986" s="1">
        <v>99.25</v>
      </c>
      <c r="G986" s="1">
        <v>14.54</v>
      </c>
      <c r="H986" s="1">
        <v>4.8787684778E10</v>
      </c>
      <c r="I986" s="1">
        <v>4.955032425E10</v>
      </c>
      <c r="J986" s="2">
        <v>45389.100694444445</v>
      </c>
      <c r="K986" s="2">
        <v>45511.79513888889</v>
      </c>
      <c r="L986" s="1">
        <v>2.71</v>
      </c>
      <c r="M986" s="1">
        <v>305.33</v>
      </c>
      <c r="N986" s="1">
        <v>305.0</v>
      </c>
      <c r="O986" s="1">
        <v>25315.0</v>
      </c>
    </row>
    <row r="987">
      <c r="A987" s="1" t="s">
        <v>2222</v>
      </c>
      <c r="B987" s="1" t="s">
        <v>16</v>
      </c>
      <c r="C987" s="1">
        <v>996.4919</v>
      </c>
      <c r="D987" s="1" t="s">
        <v>21</v>
      </c>
      <c r="E987" s="1" t="s">
        <v>74</v>
      </c>
      <c r="F987" s="1">
        <v>48.72</v>
      </c>
      <c r="G987" s="1">
        <v>36.85</v>
      </c>
      <c r="H987" s="1">
        <v>7.9133661223E10</v>
      </c>
      <c r="I987" s="1">
        <v>8.6555528164E10</v>
      </c>
      <c r="J987" s="2">
        <v>45358.64236111111</v>
      </c>
      <c r="K987" s="2">
        <v>45419.01944444444</v>
      </c>
      <c r="L987" s="1">
        <v>7.31</v>
      </c>
      <c r="M987" s="1">
        <v>7284.36</v>
      </c>
      <c r="N987" s="1">
        <v>7284.0</v>
      </c>
      <c r="O987" s="1">
        <v>604572.0</v>
      </c>
    </row>
    <row r="988">
      <c r="A988" s="1" t="s">
        <v>2223</v>
      </c>
      <c r="B988" s="1" t="s">
        <v>139</v>
      </c>
      <c r="C988" s="1">
        <v>102.4</v>
      </c>
      <c r="D988" s="1" t="s">
        <v>42</v>
      </c>
      <c r="E988" s="1" t="s">
        <v>32</v>
      </c>
      <c r="F988" s="1">
        <v>29.65</v>
      </c>
      <c r="G988" s="1">
        <v>91.42</v>
      </c>
      <c r="H988" s="1">
        <v>5.504455329E9</v>
      </c>
      <c r="I988" s="1">
        <v>5.979338819E9</v>
      </c>
      <c r="J988" s="1" t="s">
        <v>2224</v>
      </c>
      <c r="K988" s="2">
        <v>45390.52638888889</v>
      </c>
      <c r="L988" s="1">
        <v>3.52</v>
      </c>
      <c r="M988" s="1">
        <v>360.45</v>
      </c>
      <c r="N988" s="1">
        <v>360.0</v>
      </c>
      <c r="O988" s="1">
        <v>29880.0</v>
      </c>
    </row>
    <row r="989">
      <c r="A989" s="1" t="s">
        <v>2225</v>
      </c>
      <c r="B989" s="1" t="s">
        <v>62</v>
      </c>
      <c r="C989" s="1">
        <v>68.4167</v>
      </c>
      <c r="D989" s="1" t="s">
        <v>42</v>
      </c>
      <c r="E989" s="1" t="s">
        <v>58</v>
      </c>
      <c r="F989" s="1">
        <v>86.74</v>
      </c>
      <c r="G989" s="1">
        <v>82.37</v>
      </c>
      <c r="H989" s="1">
        <v>8.8713432251E10</v>
      </c>
      <c r="I989" s="1">
        <v>9.7147605739E10</v>
      </c>
      <c r="J989" s="1" t="s">
        <v>2226</v>
      </c>
      <c r="K989" s="1" t="s">
        <v>2227</v>
      </c>
      <c r="L989" s="1">
        <v>7.8</v>
      </c>
      <c r="M989" s="1">
        <v>533.65</v>
      </c>
      <c r="N989" s="1">
        <v>534.0</v>
      </c>
      <c r="O989" s="1">
        <v>44322.0</v>
      </c>
    </row>
    <row r="990">
      <c r="A990" s="1" t="s">
        <v>2228</v>
      </c>
      <c r="B990" s="1" t="s">
        <v>273</v>
      </c>
      <c r="C990" s="1">
        <v>336.6242</v>
      </c>
      <c r="D990" s="1" t="s">
        <v>17</v>
      </c>
      <c r="E990" s="1" t="s">
        <v>70</v>
      </c>
      <c r="F990" s="1">
        <v>88.78</v>
      </c>
      <c r="G990" s="1">
        <v>53.5</v>
      </c>
      <c r="H990" s="1">
        <v>5.9621404247E10</v>
      </c>
      <c r="I990" s="1">
        <v>6.7979758237E10</v>
      </c>
      <c r="J990" s="1" t="s">
        <v>2229</v>
      </c>
      <c r="K990" s="2">
        <v>45359.39861111111</v>
      </c>
      <c r="L990" s="1">
        <v>2.33</v>
      </c>
      <c r="M990" s="1">
        <v>784.33</v>
      </c>
      <c r="N990" s="1">
        <v>784.0</v>
      </c>
      <c r="O990" s="1">
        <v>65072.0</v>
      </c>
    </row>
    <row r="991">
      <c r="A991" s="1" t="s">
        <v>2230</v>
      </c>
      <c r="B991" s="1" t="s">
        <v>20</v>
      </c>
      <c r="C991" s="1">
        <v>561.7267</v>
      </c>
      <c r="D991" s="1" t="s">
        <v>17</v>
      </c>
      <c r="E991" s="1" t="s">
        <v>70</v>
      </c>
      <c r="F991" s="1">
        <v>33.15</v>
      </c>
      <c r="G991" s="1">
        <v>23.82</v>
      </c>
      <c r="H991" s="1">
        <v>6.2581670239E10</v>
      </c>
      <c r="I991" s="1">
        <v>6.6738314431E10</v>
      </c>
      <c r="J991" s="1" t="s">
        <v>2231</v>
      </c>
      <c r="K991" s="2">
        <v>45330.44930555556</v>
      </c>
      <c r="L991" s="1">
        <v>3.97</v>
      </c>
      <c r="M991" s="1">
        <v>2230.05</v>
      </c>
      <c r="N991" s="1">
        <v>2230.0</v>
      </c>
      <c r="O991" s="1">
        <v>185090.0</v>
      </c>
    </row>
    <row r="992">
      <c r="A992" s="1" t="s">
        <v>2232</v>
      </c>
      <c r="B992" s="1" t="s">
        <v>31</v>
      </c>
      <c r="C992" s="1">
        <v>25.7631</v>
      </c>
      <c r="D992" s="1" t="s">
        <v>17</v>
      </c>
      <c r="E992" s="1" t="s">
        <v>18</v>
      </c>
      <c r="F992" s="1">
        <v>11.97</v>
      </c>
      <c r="G992" s="1">
        <v>48.34</v>
      </c>
      <c r="H992" s="1">
        <v>9.5991805189E10</v>
      </c>
      <c r="I992" s="1">
        <v>9.9943019184E10</v>
      </c>
      <c r="J992" s="1" t="s">
        <v>2233</v>
      </c>
      <c r="K992" s="1" t="s">
        <v>2234</v>
      </c>
      <c r="L992" s="1">
        <v>1.26</v>
      </c>
      <c r="M992" s="1">
        <v>32.46</v>
      </c>
      <c r="N992" s="1">
        <v>32.0</v>
      </c>
      <c r="O992" s="1">
        <v>2656.0</v>
      </c>
    </row>
    <row r="993">
      <c r="A993" s="1" t="s">
        <v>2235</v>
      </c>
      <c r="B993" s="1" t="s">
        <v>20</v>
      </c>
      <c r="C993" s="1">
        <v>389.7455</v>
      </c>
      <c r="D993" s="1" t="s">
        <v>17</v>
      </c>
      <c r="E993" s="1" t="s">
        <v>123</v>
      </c>
      <c r="F993" s="1">
        <v>77.29</v>
      </c>
      <c r="G993" s="1">
        <v>66.41</v>
      </c>
      <c r="H993" s="1">
        <v>8.4793657254E10</v>
      </c>
      <c r="I993" s="1">
        <v>9.1632010894E10</v>
      </c>
      <c r="J993" s="1" t="s">
        <v>2236</v>
      </c>
      <c r="K993" s="2">
        <v>45359.575694444444</v>
      </c>
      <c r="L993" s="1">
        <v>1.22</v>
      </c>
      <c r="M993" s="1">
        <v>475.49</v>
      </c>
      <c r="N993" s="1">
        <v>475.0</v>
      </c>
      <c r="O993" s="1">
        <v>39425.0</v>
      </c>
    </row>
    <row r="994">
      <c r="A994" s="1" t="s">
        <v>2237</v>
      </c>
      <c r="B994" s="1" t="s">
        <v>183</v>
      </c>
      <c r="C994" s="1">
        <v>942.0782</v>
      </c>
      <c r="D994" s="1" t="s">
        <v>21</v>
      </c>
      <c r="E994" s="1" t="s">
        <v>22</v>
      </c>
      <c r="F994" s="1">
        <v>5.84</v>
      </c>
      <c r="G994" s="1">
        <v>51.52</v>
      </c>
      <c r="H994" s="1">
        <v>2.4471295008E10</v>
      </c>
      <c r="I994" s="1">
        <v>2.7776490991E10</v>
      </c>
      <c r="J994" s="1" t="s">
        <v>2238</v>
      </c>
      <c r="K994" s="1" t="s">
        <v>2239</v>
      </c>
      <c r="L994" s="1">
        <v>2.49</v>
      </c>
      <c r="M994" s="1">
        <v>2345.77</v>
      </c>
      <c r="N994" s="1">
        <v>2346.0</v>
      </c>
      <c r="O994" s="1">
        <v>194718.0</v>
      </c>
    </row>
    <row r="995">
      <c r="A995" s="1" t="s">
        <v>2240</v>
      </c>
      <c r="B995" s="1" t="s">
        <v>46</v>
      </c>
      <c r="C995" s="1">
        <v>217.5637</v>
      </c>
      <c r="D995" s="1" t="s">
        <v>17</v>
      </c>
      <c r="E995" s="1" t="s">
        <v>155</v>
      </c>
      <c r="F995" s="1">
        <v>18.89</v>
      </c>
      <c r="G995" s="1">
        <v>68.0</v>
      </c>
      <c r="H995" s="1">
        <v>7.329749161E9</v>
      </c>
      <c r="I995" s="1">
        <v>1.1368547796E10</v>
      </c>
      <c r="J995" s="1" t="s">
        <v>2241</v>
      </c>
      <c r="K995" s="1" t="s">
        <v>2242</v>
      </c>
      <c r="L995" s="1">
        <v>8.89</v>
      </c>
      <c r="M995" s="1">
        <v>1934.14</v>
      </c>
      <c r="N995" s="1">
        <v>1934.0</v>
      </c>
      <c r="O995" s="1">
        <v>160522.0</v>
      </c>
    </row>
    <row r="996">
      <c r="A996" s="1" t="s">
        <v>2243</v>
      </c>
      <c r="B996" s="1" t="s">
        <v>273</v>
      </c>
      <c r="C996" s="1">
        <v>20.2608</v>
      </c>
      <c r="D996" s="1" t="s">
        <v>21</v>
      </c>
      <c r="E996" s="1" t="s">
        <v>37</v>
      </c>
      <c r="F996" s="1">
        <v>72.41</v>
      </c>
      <c r="G996" s="1">
        <v>59.99</v>
      </c>
      <c r="H996" s="1">
        <v>4.5848191981E10</v>
      </c>
      <c r="I996" s="1">
        <v>5.3582994621E10</v>
      </c>
      <c r="J996" s="1" t="s">
        <v>2244</v>
      </c>
      <c r="K996" s="1" t="s">
        <v>2245</v>
      </c>
      <c r="L996" s="1">
        <v>9.73</v>
      </c>
      <c r="M996" s="1">
        <v>197.14</v>
      </c>
      <c r="N996" s="1">
        <v>197.0</v>
      </c>
      <c r="O996" s="1">
        <v>16351.0</v>
      </c>
    </row>
    <row r="997">
      <c r="A997" s="1" t="s">
        <v>2246</v>
      </c>
      <c r="B997" s="1" t="s">
        <v>62</v>
      </c>
      <c r="C997" s="1">
        <v>105.2667</v>
      </c>
      <c r="D997" s="1" t="s">
        <v>42</v>
      </c>
      <c r="E997" s="1" t="s">
        <v>105</v>
      </c>
      <c r="F997" s="1">
        <v>94.81</v>
      </c>
      <c r="G997" s="1">
        <v>92.01</v>
      </c>
      <c r="H997" s="1">
        <v>6.4138243442E10</v>
      </c>
      <c r="I997" s="1">
        <v>7.0487266654E10</v>
      </c>
      <c r="J997" s="1" t="s">
        <v>2247</v>
      </c>
      <c r="K997" s="1" t="s">
        <v>2248</v>
      </c>
      <c r="L997" s="1">
        <v>7.78</v>
      </c>
      <c r="M997" s="1">
        <v>818.97</v>
      </c>
      <c r="N997" s="1">
        <v>819.0</v>
      </c>
      <c r="O997" s="1">
        <v>67977.0</v>
      </c>
    </row>
    <row r="998">
      <c r="A998" s="1" t="s">
        <v>2249</v>
      </c>
      <c r="B998" s="1" t="s">
        <v>83</v>
      </c>
      <c r="C998" s="1">
        <v>691.4302</v>
      </c>
      <c r="D998" s="1" t="s">
        <v>21</v>
      </c>
      <c r="E998" s="1" t="s">
        <v>18</v>
      </c>
      <c r="F998" s="1">
        <v>48.47</v>
      </c>
      <c r="G998" s="1">
        <v>70.78</v>
      </c>
      <c r="H998" s="1">
        <v>8.639267457E9</v>
      </c>
      <c r="I998" s="1">
        <v>1.5003885405E10</v>
      </c>
      <c r="J998" s="1" t="s">
        <v>2250</v>
      </c>
      <c r="K998" s="2">
        <v>45390.40277777778</v>
      </c>
      <c r="L998" s="1">
        <v>7.97</v>
      </c>
      <c r="M998" s="1">
        <v>5510.7</v>
      </c>
      <c r="N998" s="1">
        <v>5511.0</v>
      </c>
      <c r="O998" s="1">
        <v>457413.0</v>
      </c>
    </row>
    <row r="999">
      <c r="A999" s="1" t="s">
        <v>2251</v>
      </c>
      <c r="B999" s="1" t="s">
        <v>166</v>
      </c>
      <c r="C999" s="1">
        <v>195.0857</v>
      </c>
      <c r="D999" s="1" t="s">
        <v>17</v>
      </c>
      <c r="E999" s="1" t="s">
        <v>74</v>
      </c>
      <c r="F999" s="1">
        <v>10.28</v>
      </c>
      <c r="G999" s="1">
        <v>50.53</v>
      </c>
      <c r="H999" s="1">
        <v>6.7920358323E10</v>
      </c>
      <c r="I999" s="1">
        <v>7.2730111824E10</v>
      </c>
      <c r="J999" s="2">
        <v>45512.49097222222</v>
      </c>
      <c r="K999" s="1" t="s">
        <v>2252</v>
      </c>
      <c r="L999" s="1">
        <v>3.98</v>
      </c>
      <c r="M999" s="1">
        <v>776.44</v>
      </c>
      <c r="N999" s="1">
        <v>776.0</v>
      </c>
      <c r="O999" s="1">
        <v>64408.0</v>
      </c>
    </row>
    <row r="1000">
      <c r="A1000" s="1" t="s">
        <v>2253</v>
      </c>
      <c r="B1000" s="1" t="s">
        <v>79</v>
      </c>
      <c r="C1000" s="1">
        <v>646.5474</v>
      </c>
      <c r="D1000" s="1" t="s">
        <v>21</v>
      </c>
      <c r="E1000" s="1" t="s">
        <v>37</v>
      </c>
      <c r="F1000" s="1">
        <v>76.58</v>
      </c>
      <c r="G1000" s="1">
        <v>6.03</v>
      </c>
      <c r="H1000" s="1">
        <v>4.4377829891E10</v>
      </c>
      <c r="I1000" s="1">
        <v>5.0999017236E10</v>
      </c>
      <c r="J1000" s="1" t="s">
        <v>2254</v>
      </c>
      <c r="K1000" s="1" t="s">
        <v>2255</v>
      </c>
      <c r="L1000" s="1">
        <v>4.1</v>
      </c>
      <c r="M1000" s="1">
        <v>2650.84</v>
      </c>
      <c r="N1000" s="1">
        <v>2651.0</v>
      </c>
      <c r="O1000" s="1">
        <v>220033.0</v>
      </c>
    </row>
    <row r="1001">
      <c r="A1001" s="1" t="s">
        <v>2256</v>
      </c>
      <c r="B1001" s="1" t="s">
        <v>112</v>
      </c>
      <c r="C1001" s="1">
        <v>98.0667</v>
      </c>
      <c r="D1001" s="1" t="s">
        <v>42</v>
      </c>
      <c r="E1001" s="1" t="s">
        <v>58</v>
      </c>
      <c r="F1001" s="1">
        <v>32.91</v>
      </c>
      <c r="G1001" s="1">
        <v>22.82</v>
      </c>
      <c r="H1001" s="1">
        <v>9.9728008625E10</v>
      </c>
      <c r="I1001" s="1">
        <v>9.9735769398E10</v>
      </c>
      <c r="J1001" s="2">
        <v>45298.45694444444</v>
      </c>
      <c r="K1001" s="2">
        <v>45419.54305555556</v>
      </c>
      <c r="L1001" s="1">
        <v>6.66</v>
      </c>
      <c r="M1001" s="1">
        <v>653.12</v>
      </c>
      <c r="N1001" s="1">
        <v>653.0</v>
      </c>
      <c r="O1001" s="1">
        <v>54199.0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23.38"/>
    <col customWidth="1" min="9" max="9" width="24.63"/>
    <col customWidth="1" min="10" max="11" width="14.13"/>
    <col customWidth="1" min="19" max="19" width="15.13"/>
    <col customWidth="1" min="21" max="21" width="14.38"/>
  </cols>
  <sheetData>
    <row r="1">
      <c r="A1" s="4" t="str">
        <f t="array" ref="A1:O1003">Raw_Data!A:O</f>
        <v>Resource ID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1" t="s">
        <v>2257</v>
      </c>
      <c r="Q1" s="1" t="s">
        <v>2258</v>
      </c>
      <c r="R1" s="1" t="s">
        <v>2259</v>
      </c>
      <c r="S1" s="1" t="s">
        <v>2260</v>
      </c>
      <c r="T1" s="1" t="s">
        <v>2261</v>
      </c>
      <c r="U1" s="1" t="s">
        <v>2262</v>
      </c>
      <c r="V1" s="4" t="s">
        <v>2263</v>
      </c>
      <c r="W1" s="4" t="s">
        <v>2263</v>
      </c>
      <c r="X1" s="4" t="s">
        <v>2263</v>
      </c>
      <c r="Y1" s="4" t="s">
        <v>2263</v>
      </c>
      <c r="Z1" s="4" t="s">
        <v>2263</v>
      </c>
    </row>
    <row r="2">
      <c r="A2" s="4" t="s">
        <v>15</v>
      </c>
      <c r="B2" s="4" t="s">
        <v>16</v>
      </c>
      <c r="C2" s="4">
        <v>954.9843</v>
      </c>
      <c r="D2" s="4" t="s">
        <v>17</v>
      </c>
      <c r="E2" s="4" t="s">
        <v>18</v>
      </c>
      <c r="F2" s="4">
        <v>92.72</v>
      </c>
      <c r="G2" s="4">
        <v>70.42</v>
      </c>
      <c r="H2" s="4">
        <v>7.7097035547E10</v>
      </c>
      <c r="I2" s="4">
        <v>8.2685933273E10</v>
      </c>
      <c r="J2" s="5">
        <v>45299.933333333334</v>
      </c>
      <c r="K2" s="5">
        <v>45481.2875</v>
      </c>
      <c r="L2" s="4">
        <v>5.24</v>
      </c>
      <c r="M2" s="4">
        <v>5004.12</v>
      </c>
      <c r="N2" s="4">
        <v>5004.0</v>
      </c>
      <c r="O2" s="4">
        <v>415332.0</v>
      </c>
      <c r="P2" s="4">
        <f t="shared" ref="P2:P1001" si="1">((DATE(MID(K2,7,4),MID(K2,4,2),LEFT(K2,2))+TIMEVALUE(RIGHT(K2,LEN(K2)-11)))-(DATE(MID(J2,7,4),MID(J2,4,2),LEFT(J2,2))+TIMEVALUE(RIGHT(J2,LEN(J2)-11))))*24</f>
        <v>128.5</v>
      </c>
      <c r="Q2" s="4" t="str">
        <f t="shared" ref="Q2:Q1001" si="2">IF(F2&lt;30,"Underutilized",IF(F2&lt;70,"Normal","High"))</f>
        <v>High</v>
      </c>
      <c r="R2" s="1" t="str">
        <f t="shared" ref="R2:R1001" si="3">IF(G2&lt;40,"Underutilized",IF(G2&lt;75,"Normal","High"))</f>
        <v>Normal</v>
      </c>
      <c r="S2" s="4">
        <f t="shared" ref="S2:S1001" si="4">(H2+I2)/1073741824</f>
        <v>148.8094859</v>
      </c>
      <c r="T2" s="1" t="str">
        <f t="shared" ref="T2:T1001" si="5">IF(O2&gt;AVERAGE($O$2:$O$500),"High Cost","Normal Cost")</f>
        <v>High Cost</v>
      </c>
      <c r="U2" s="4">
        <f t="shared" ref="U2:U1001" si="6">((F2+G2)/2)/(O2/100)</f>
        <v>0.01963970992</v>
      </c>
    </row>
    <row r="3">
      <c r="A3" s="4" t="s">
        <v>19</v>
      </c>
      <c r="B3" s="4" t="s">
        <v>20</v>
      </c>
      <c r="C3" s="4">
        <v>479.6348</v>
      </c>
      <c r="D3" s="4" t="s">
        <v>21</v>
      </c>
      <c r="E3" s="4" t="s">
        <v>22</v>
      </c>
      <c r="F3" s="4">
        <v>37.78</v>
      </c>
      <c r="G3" s="4">
        <v>46.8</v>
      </c>
      <c r="H3" s="4">
        <v>8.239357017E9</v>
      </c>
      <c r="I3" s="4">
        <v>1.1351490561E10</v>
      </c>
      <c r="J3" s="4" t="s">
        <v>23</v>
      </c>
      <c r="K3" s="4" t="s">
        <v>24</v>
      </c>
      <c r="L3" s="4">
        <v>9.82</v>
      </c>
      <c r="M3" s="4">
        <v>4710.01</v>
      </c>
      <c r="N3" s="4">
        <v>4710.0</v>
      </c>
      <c r="O3" s="4">
        <v>390930.0</v>
      </c>
      <c r="P3" s="4">
        <f t="shared" si="1"/>
        <v>46.13333333</v>
      </c>
      <c r="Q3" s="4" t="str">
        <f t="shared" si="2"/>
        <v>Normal</v>
      </c>
      <c r="R3" s="1" t="str">
        <f t="shared" si="3"/>
        <v>Normal</v>
      </c>
      <c r="S3" s="4">
        <f t="shared" si="4"/>
        <v>18.24539861</v>
      </c>
      <c r="T3" s="1" t="str">
        <f t="shared" si="5"/>
        <v>High Cost</v>
      </c>
      <c r="U3" s="4">
        <f t="shared" si="6"/>
        <v>0.01081779347</v>
      </c>
    </row>
    <row r="4">
      <c r="A4" s="4" t="s">
        <v>25</v>
      </c>
      <c r="B4" s="4" t="s">
        <v>26</v>
      </c>
      <c r="C4" s="4">
        <v>114.4129</v>
      </c>
      <c r="D4" s="4" t="s">
        <v>21</v>
      </c>
      <c r="E4" s="4" t="s">
        <v>27</v>
      </c>
      <c r="F4" s="4">
        <v>82.54</v>
      </c>
      <c r="G4" s="4">
        <v>59.47</v>
      </c>
      <c r="H4" s="4">
        <v>2.3358691883E10</v>
      </c>
      <c r="I4" s="4">
        <v>2.345081212E10</v>
      </c>
      <c r="J4" s="4" t="s">
        <v>28</v>
      </c>
      <c r="K4" s="4" t="s">
        <v>29</v>
      </c>
      <c r="L4" s="4">
        <v>7.37</v>
      </c>
      <c r="M4" s="4">
        <v>843.22</v>
      </c>
      <c r="N4" s="4">
        <v>843.0</v>
      </c>
      <c r="O4" s="4">
        <v>69969.0</v>
      </c>
      <c r="P4" s="4">
        <f t="shared" si="1"/>
        <v>85.53333333</v>
      </c>
      <c r="Q4" s="4" t="str">
        <f t="shared" si="2"/>
        <v>High</v>
      </c>
      <c r="R4" s="1" t="str">
        <f t="shared" si="3"/>
        <v>Normal</v>
      </c>
      <c r="S4" s="4">
        <f t="shared" si="4"/>
        <v>43.59474778</v>
      </c>
      <c r="T4" s="1" t="str">
        <f t="shared" si="5"/>
        <v>Normal Cost</v>
      </c>
      <c r="U4" s="4">
        <f t="shared" si="6"/>
        <v>0.1014806557</v>
      </c>
    </row>
    <row r="5">
      <c r="A5" s="4" t="s">
        <v>30</v>
      </c>
      <c r="B5" s="4" t="s">
        <v>31</v>
      </c>
      <c r="C5" s="4">
        <v>413.193</v>
      </c>
      <c r="D5" s="4" t="s">
        <v>21</v>
      </c>
      <c r="E5" s="4" t="s">
        <v>32</v>
      </c>
      <c r="F5" s="4">
        <v>86.68</v>
      </c>
      <c r="G5" s="4">
        <v>97.63</v>
      </c>
      <c r="H5" s="4">
        <v>5.3404385778E10</v>
      </c>
      <c r="I5" s="4">
        <v>6.0780194484E10</v>
      </c>
      <c r="J5" s="4" t="s">
        <v>33</v>
      </c>
      <c r="K5" s="4" t="s">
        <v>34</v>
      </c>
      <c r="L5" s="4">
        <v>4.41</v>
      </c>
      <c r="M5" s="4">
        <v>1822.18</v>
      </c>
      <c r="N5" s="4">
        <v>1822.0</v>
      </c>
      <c r="O5" s="4">
        <v>151226.0</v>
      </c>
      <c r="P5" s="4">
        <f t="shared" si="1"/>
        <v>34.01666667</v>
      </c>
      <c r="Q5" s="4" t="str">
        <f t="shared" si="2"/>
        <v>High</v>
      </c>
      <c r="R5" s="1" t="str">
        <f t="shared" si="3"/>
        <v>High</v>
      </c>
      <c r="S5" s="4">
        <f t="shared" si="4"/>
        <v>106.3426773</v>
      </c>
      <c r="T5" s="1" t="str">
        <f t="shared" si="5"/>
        <v>Normal Cost</v>
      </c>
      <c r="U5" s="4">
        <f t="shared" si="6"/>
        <v>0.06093859522</v>
      </c>
    </row>
    <row r="6">
      <c r="A6" s="4" t="s">
        <v>35</v>
      </c>
      <c r="B6" s="4" t="s">
        <v>36</v>
      </c>
      <c r="C6" s="4">
        <v>335.9892</v>
      </c>
      <c r="D6" s="4" t="s">
        <v>21</v>
      </c>
      <c r="E6" s="4" t="s">
        <v>37</v>
      </c>
      <c r="F6" s="4">
        <v>82.95</v>
      </c>
      <c r="G6" s="4">
        <v>21.58</v>
      </c>
      <c r="H6" s="4">
        <v>1.0795270461E10</v>
      </c>
      <c r="I6" s="4">
        <v>1.4161382061E10</v>
      </c>
      <c r="J6" s="4" t="s">
        <v>38</v>
      </c>
      <c r="K6" s="4" t="s">
        <v>39</v>
      </c>
      <c r="L6" s="4">
        <v>6.09</v>
      </c>
      <c r="M6" s="4">
        <v>2046.17</v>
      </c>
      <c r="N6" s="4">
        <v>2046.0</v>
      </c>
      <c r="O6" s="4">
        <v>169818.0</v>
      </c>
      <c r="P6" s="4">
        <f t="shared" si="1"/>
        <v>74.93333333</v>
      </c>
      <c r="Q6" s="4" t="str">
        <f t="shared" si="2"/>
        <v>High</v>
      </c>
      <c r="R6" s="1" t="str">
        <f t="shared" si="3"/>
        <v>Underutilized</v>
      </c>
      <c r="S6" s="4">
        <f t="shared" si="4"/>
        <v>23.24269388</v>
      </c>
      <c r="T6" s="1" t="str">
        <f t="shared" si="5"/>
        <v>Normal Cost</v>
      </c>
      <c r="U6" s="4">
        <f t="shared" si="6"/>
        <v>0.03077706721</v>
      </c>
    </row>
    <row r="7">
      <c r="A7" s="4" t="s">
        <v>40</v>
      </c>
      <c r="B7" s="4" t="s">
        <v>41</v>
      </c>
      <c r="C7" s="4">
        <v>50.8</v>
      </c>
      <c r="D7" s="4" t="s">
        <v>42</v>
      </c>
      <c r="E7" s="4" t="s">
        <v>18</v>
      </c>
      <c r="F7" s="4">
        <v>32.36</v>
      </c>
      <c r="G7" s="4">
        <v>95.15</v>
      </c>
      <c r="H7" s="4">
        <v>6.7970493743E10</v>
      </c>
      <c r="I7" s="4">
        <v>7.0311789173E10</v>
      </c>
      <c r="J7" s="4" t="s">
        <v>43</v>
      </c>
      <c r="K7" s="4" t="s">
        <v>44</v>
      </c>
      <c r="L7" s="4">
        <v>8.8</v>
      </c>
      <c r="M7" s="4">
        <v>447.04</v>
      </c>
      <c r="N7" s="4">
        <v>447.0</v>
      </c>
      <c r="O7" s="4">
        <v>37101.0</v>
      </c>
      <c r="P7" s="4">
        <f t="shared" si="1"/>
        <v>50.8</v>
      </c>
      <c r="Q7" s="4" t="str">
        <f t="shared" si="2"/>
        <v>Normal</v>
      </c>
      <c r="R7" s="1" t="str">
        <f t="shared" si="3"/>
        <v>High</v>
      </c>
      <c r="S7" s="4">
        <f t="shared" si="4"/>
        <v>128.7854117</v>
      </c>
      <c r="T7" s="1" t="str">
        <f t="shared" si="5"/>
        <v>Normal Cost</v>
      </c>
      <c r="U7" s="4">
        <f t="shared" si="6"/>
        <v>0.1718417293</v>
      </c>
    </row>
    <row r="8">
      <c r="A8" s="4" t="s">
        <v>45</v>
      </c>
      <c r="B8" s="4" t="s">
        <v>46</v>
      </c>
      <c r="C8" s="4">
        <v>333.6126</v>
      </c>
      <c r="D8" s="4" t="s">
        <v>17</v>
      </c>
      <c r="E8" s="4" t="s">
        <v>22</v>
      </c>
      <c r="F8" s="4">
        <v>12.21</v>
      </c>
      <c r="G8" s="4">
        <v>62.31</v>
      </c>
      <c r="H8" s="4">
        <v>2.7515142149E10</v>
      </c>
      <c r="I8" s="4">
        <v>2.7664449839E10</v>
      </c>
      <c r="J8" s="4" t="s">
        <v>47</v>
      </c>
      <c r="K8" s="4" t="s">
        <v>48</v>
      </c>
      <c r="L8" s="4">
        <v>5.84</v>
      </c>
      <c r="M8" s="4">
        <v>1948.3</v>
      </c>
      <c r="N8" s="4">
        <v>1948.0</v>
      </c>
      <c r="O8" s="4">
        <v>161684.0</v>
      </c>
      <c r="P8" s="4">
        <f t="shared" si="1"/>
        <v>47.48333333</v>
      </c>
      <c r="Q8" s="4" t="str">
        <f t="shared" si="2"/>
        <v>Underutilized</v>
      </c>
      <c r="R8" s="1" t="str">
        <f t="shared" si="3"/>
        <v>Normal</v>
      </c>
      <c r="S8" s="4">
        <f t="shared" si="4"/>
        <v>51.38999968</v>
      </c>
      <c r="T8" s="1" t="str">
        <f t="shared" si="5"/>
        <v>Normal Cost</v>
      </c>
      <c r="U8" s="4">
        <f t="shared" si="6"/>
        <v>0.02304495188</v>
      </c>
    </row>
    <row r="9">
      <c r="A9" s="4" t="s">
        <v>49</v>
      </c>
      <c r="B9" s="4" t="s">
        <v>41</v>
      </c>
      <c r="C9" s="4">
        <v>49.5833</v>
      </c>
      <c r="D9" s="4" t="s">
        <v>42</v>
      </c>
      <c r="E9" s="4" t="s">
        <v>37</v>
      </c>
      <c r="F9" s="4">
        <v>59.18</v>
      </c>
      <c r="G9" s="4">
        <v>6.07</v>
      </c>
      <c r="H9" s="4">
        <v>6.907912595E10</v>
      </c>
      <c r="I9" s="4">
        <v>7.8552821117E10</v>
      </c>
      <c r="J9" s="4" t="s">
        <v>50</v>
      </c>
      <c r="K9" s="4" t="s">
        <v>51</v>
      </c>
      <c r="L9" s="4">
        <v>4.84</v>
      </c>
      <c r="M9" s="4">
        <v>239.98</v>
      </c>
      <c r="N9" s="4">
        <v>240.0</v>
      </c>
      <c r="O9" s="4">
        <v>19920.0</v>
      </c>
      <c r="P9" s="4">
        <f t="shared" si="1"/>
        <v>49.58333333</v>
      </c>
      <c r="Q9" s="4" t="str">
        <f t="shared" si="2"/>
        <v>Normal</v>
      </c>
      <c r="R9" s="1" t="str">
        <f t="shared" si="3"/>
        <v>Underutilized</v>
      </c>
      <c r="S9" s="4">
        <f t="shared" si="4"/>
        <v>137.492965</v>
      </c>
      <c r="T9" s="1" t="str">
        <f t="shared" si="5"/>
        <v>Normal Cost</v>
      </c>
      <c r="U9" s="4">
        <f t="shared" si="6"/>
        <v>0.1637801205</v>
      </c>
    </row>
    <row r="10">
      <c r="A10" s="4" t="s">
        <v>52</v>
      </c>
      <c r="B10" s="4" t="s">
        <v>53</v>
      </c>
      <c r="C10" s="4">
        <v>384.7979</v>
      </c>
      <c r="D10" s="4" t="s">
        <v>17</v>
      </c>
      <c r="E10" s="4" t="s">
        <v>54</v>
      </c>
      <c r="F10" s="4">
        <v>36.67</v>
      </c>
      <c r="G10" s="4">
        <v>9.41</v>
      </c>
      <c r="H10" s="4">
        <v>1.4639390405E10</v>
      </c>
      <c r="I10" s="4">
        <v>2.0917834831E10</v>
      </c>
      <c r="J10" s="5">
        <v>45511.81597222222</v>
      </c>
      <c r="K10" s="4" t="s">
        <v>55</v>
      </c>
      <c r="L10" s="4">
        <v>1.98</v>
      </c>
      <c r="M10" s="4">
        <v>761.9</v>
      </c>
      <c r="N10" s="4">
        <v>762.0</v>
      </c>
      <c r="O10" s="4">
        <v>63246.0</v>
      </c>
      <c r="P10" s="4">
        <f t="shared" si="1"/>
        <v>128.45</v>
      </c>
      <c r="Q10" s="4" t="str">
        <f t="shared" si="2"/>
        <v>Normal</v>
      </c>
      <c r="R10" s="1" t="str">
        <f t="shared" si="3"/>
        <v>Underutilized</v>
      </c>
      <c r="S10" s="4">
        <f t="shared" si="4"/>
        <v>33.11524655</v>
      </c>
      <c r="T10" s="1" t="str">
        <f t="shared" si="5"/>
        <v>Normal Cost</v>
      </c>
      <c r="U10" s="4">
        <f t="shared" si="6"/>
        <v>0.03642918129</v>
      </c>
    </row>
    <row r="11">
      <c r="A11" s="4" t="s">
        <v>56</v>
      </c>
      <c r="B11" s="4" t="s">
        <v>57</v>
      </c>
      <c r="C11" s="4">
        <v>533.6245</v>
      </c>
      <c r="D11" s="4" t="s">
        <v>17</v>
      </c>
      <c r="E11" s="4" t="s">
        <v>58</v>
      </c>
      <c r="F11" s="4">
        <v>96.4</v>
      </c>
      <c r="G11" s="4">
        <v>52.4</v>
      </c>
      <c r="H11" s="4">
        <v>7.2632018521E10</v>
      </c>
      <c r="I11" s="4">
        <v>7.2843203438E10</v>
      </c>
      <c r="J11" s="5">
        <v>45419.39236111111</v>
      </c>
      <c r="K11" s="5">
        <v>45572.893055555556</v>
      </c>
      <c r="L11" s="4">
        <v>5.08</v>
      </c>
      <c r="M11" s="4">
        <v>2710.81</v>
      </c>
      <c r="N11" s="4">
        <v>2711.0</v>
      </c>
      <c r="O11" s="4">
        <v>225013.0</v>
      </c>
      <c r="P11" s="4">
        <f t="shared" si="1"/>
        <v>132.0166667</v>
      </c>
      <c r="Q11" s="4" t="str">
        <f t="shared" si="2"/>
        <v>High</v>
      </c>
      <c r="R11" s="1" t="str">
        <f t="shared" si="3"/>
        <v>Normal</v>
      </c>
      <c r="S11" s="4">
        <f t="shared" si="4"/>
        <v>135.4843583</v>
      </c>
      <c r="T11" s="1" t="str">
        <f t="shared" si="5"/>
        <v>High Cost</v>
      </c>
      <c r="U11" s="4">
        <f t="shared" si="6"/>
        <v>0.03306475626</v>
      </c>
    </row>
    <row r="12">
      <c r="A12" s="4" t="s">
        <v>59</v>
      </c>
      <c r="B12" s="4" t="s">
        <v>60</v>
      </c>
      <c r="C12" s="4">
        <v>78.7</v>
      </c>
      <c r="D12" s="4" t="s">
        <v>42</v>
      </c>
      <c r="E12" s="4" t="s">
        <v>22</v>
      </c>
      <c r="F12" s="4">
        <v>68.28</v>
      </c>
      <c r="G12" s="4">
        <v>26.56</v>
      </c>
      <c r="H12" s="4">
        <v>6.0327278928E10</v>
      </c>
      <c r="I12" s="4">
        <v>6.6769681245E10</v>
      </c>
      <c r="J12" s="5">
        <v>45542.60625</v>
      </c>
      <c r="K12" s="5">
        <v>45633.885416666664</v>
      </c>
      <c r="L12" s="4">
        <v>4.89</v>
      </c>
      <c r="M12" s="4">
        <v>384.84</v>
      </c>
      <c r="N12" s="4">
        <v>385.0</v>
      </c>
      <c r="O12" s="4">
        <v>31955.0</v>
      </c>
      <c r="P12" s="4">
        <f t="shared" si="1"/>
        <v>78.7</v>
      </c>
      <c r="Q12" s="4" t="str">
        <f t="shared" si="2"/>
        <v>Normal</v>
      </c>
      <c r="R12" s="1" t="str">
        <f t="shared" si="3"/>
        <v>Underutilized</v>
      </c>
      <c r="S12" s="4">
        <f t="shared" si="4"/>
        <v>118.3682682</v>
      </c>
      <c r="T12" s="1" t="str">
        <f t="shared" si="5"/>
        <v>Normal Cost</v>
      </c>
      <c r="U12" s="4">
        <f t="shared" si="6"/>
        <v>0.1483961821</v>
      </c>
    </row>
    <row r="13">
      <c r="A13" s="4" t="s">
        <v>61</v>
      </c>
      <c r="B13" s="4" t="s">
        <v>62</v>
      </c>
      <c r="C13" s="4">
        <v>86.6333</v>
      </c>
      <c r="D13" s="4" t="s">
        <v>42</v>
      </c>
      <c r="E13" s="4" t="s">
        <v>22</v>
      </c>
      <c r="F13" s="4">
        <v>12.91</v>
      </c>
      <c r="G13" s="4">
        <v>5.41</v>
      </c>
      <c r="H13" s="4">
        <v>9.2616000746E10</v>
      </c>
      <c r="I13" s="4">
        <v>9.9059500361E10</v>
      </c>
      <c r="J13" s="4" t="s">
        <v>63</v>
      </c>
      <c r="K13" s="4" t="s">
        <v>64</v>
      </c>
      <c r="L13" s="4">
        <v>9.23</v>
      </c>
      <c r="M13" s="4">
        <v>799.63</v>
      </c>
      <c r="N13" s="4">
        <v>800.0</v>
      </c>
      <c r="O13" s="4">
        <v>66400.0</v>
      </c>
      <c r="P13" s="4">
        <f t="shared" si="1"/>
        <v>86.63333333</v>
      </c>
      <c r="Q13" s="4" t="str">
        <f t="shared" si="2"/>
        <v>Underutilized</v>
      </c>
      <c r="R13" s="1" t="str">
        <f t="shared" si="3"/>
        <v>Underutilized</v>
      </c>
      <c r="S13" s="4">
        <f t="shared" si="4"/>
        <v>178.5117212</v>
      </c>
      <c r="T13" s="1" t="str">
        <f t="shared" si="5"/>
        <v>Normal Cost</v>
      </c>
      <c r="U13" s="4">
        <f t="shared" si="6"/>
        <v>0.01379518072</v>
      </c>
    </row>
    <row r="14">
      <c r="A14" s="4" t="s">
        <v>65</v>
      </c>
      <c r="B14" s="4" t="s">
        <v>66</v>
      </c>
      <c r="C14" s="4">
        <v>290.0492</v>
      </c>
      <c r="D14" s="4" t="s">
        <v>17</v>
      </c>
      <c r="E14" s="4" t="s">
        <v>32</v>
      </c>
      <c r="F14" s="4">
        <v>53.93</v>
      </c>
      <c r="G14" s="4">
        <v>14.51</v>
      </c>
      <c r="H14" s="4">
        <v>1.5213923507E10</v>
      </c>
      <c r="I14" s="4">
        <v>1.9106889929E10</v>
      </c>
      <c r="J14" s="4" t="s">
        <v>67</v>
      </c>
      <c r="K14" s="4" t="s">
        <v>68</v>
      </c>
      <c r="L14" s="4">
        <v>4.09</v>
      </c>
      <c r="M14" s="4">
        <v>1186.3</v>
      </c>
      <c r="N14" s="4">
        <v>1186.0</v>
      </c>
      <c r="O14" s="4">
        <v>98438.0</v>
      </c>
      <c r="P14" s="4">
        <f t="shared" si="1"/>
        <v>66.5</v>
      </c>
      <c r="Q14" s="4" t="str">
        <f t="shared" si="2"/>
        <v>Normal</v>
      </c>
      <c r="R14" s="1" t="str">
        <f t="shared" si="3"/>
        <v>Underutilized</v>
      </c>
      <c r="S14" s="4">
        <f t="shared" si="4"/>
        <v>31.96374833</v>
      </c>
      <c r="T14" s="1" t="str">
        <f t="shared" si="5"/>
        <v>Normal Cost</v>
      </c>
      <c r="U14" s="4">
        <f t="shared" si="6"/>
        <v>0.03476299803</v>
      </c>
    </row>
    <row r="15">
      <c r="A15" s="4" t="s">
        <v>69</v>
      </c>
      <c r="B15" s="4" t="s">
        <v>20</v>
      </c>
      <c r="C15" s="4">
        <v>96.9514</v>
      </c>
      <c r="D15" s="4" t="s">
        <v>17</v>
      </c>
      <c r="E15" s="4" t="s">
        <v>70</v>
      </c>
      <c r="F15" s="4">
        <v>73.72</v>
      </c>
      <c r="G15" s="4">
        <v>1.94</v>
      </c>
      <c r="H15" s="4">
        <v>4.7714907583E10</v>
      </c>
      <c r="I15" s="4">
        <v>5.5324053975E10</v>
      </c>
      <c r="J15" s="4" t="s">
        <v>71</v>
      </c>
      <c r="K15" s="4" t="s">
        <v>72</v>
      </c>
      <c r="L15" s="4">
        <v>3.15</v>
      </c>
      <c r="M15" s="4">
        <v>305.4</v>
      </c>
      <c r="N15" s="4">
        <v>305.0</v>
      </c>
      <c r="O15" s="4">
        <v>25315.0</v>
      </c>
      <c r="P15" s="4">
        <f t="shared" si="1"/>
        <v>56.53333333</v>
      </c>
      <c r="Q15" s="4" t="str">
        <f t="shared" si="2"/>
        <v>High</v>
      </c>
      <c r="R15" s="1" t="str">
        <f t="shared" si="3"/>
        <v>Underutilized</v>
      </c>
      <c r="S15" s="4">
        <f t="shared" si="4"/>
        <v>95.96251096</v>
      </c>
      <c r="T15" s="1" t="str">
        <f t="shared" si="5"/>
        <v>Normal Cost</v>
      </c>
      <c r="U15" s="4">
        <f t="shared" si="6"/>
        <v>0.1494370926</v>
      </c>
    </row>
    <row r="16">
      <c r="A16" s="4" t="s">
        <v>73</v>
      </c>
      <c r="B16" s="4" t="s">
        <v>46</v>
      </c>
      <c r="C16" s="4">
        <v>657.3878</v>
      </c>
      <c r="D16" s="4" t="s">
        <v>17</v>
      </c>
      <c r="E16" s="4" t="s">
        <v>74</v>
      </c>
      <c r="F16" s="4">
        <v>43.57</v>
      </c>
      <c r="G16" s="4">
        <v>32.42</v>
      </c>
      <c r="H16" s="4">
        <v>6.4719533732E10</v>
      </c>
      <c r="I16" s="4">
        <v>7.4457276259E10</v>
      </c>
      <c r="J16" s="5">
        <v>45358.98472222222</v>
      </c>
      <c r="K16" s="5">
        <v>45511.27361111111</v>
      </c>
      <c r="L16" s="4">
        <v>3.28</v>
      </c>
      <c r="M16" s="4">
        <v>2156.23</v>
      </c>
      <c r="N16" s="4">
        <v>2156.0</v>
      </c>
      <c r="O16" s="4">
        <v>178948.0</v>
      </c>
      <c r="P16" s="4">
        <f t="shared" si="1"/>
        <v>102.9333333</v>
      </c>
      <c r="Q16" s="4" t="str">
        <f t="shared" si="2"/>
        <v>Normal</v>
      </c>
      <c r="R16" s="1" t="str">
        <f t="shared" si="3"/>
        <v>Underutilized</v>
      </c>
      <c r="S16" s="4">
        <f t="shared" si="4"/>
        <v>129.618505</v>
      </c>
      <c r="T16" s="1" t="str">
        <f t="shared" si="5"/>
        <v>High Cost</v>
      </c>
      <c r="U16" s="4">
        <f t="shared" si="6"/>
        <v>0.02123242506</v>
      </c>
    </row>
    <row r="17">
      <c r="A17" s="4" t="s">
        <v>75</v>
      </c>
      <c r="B17" s="4" t="s">
        <v>62</v>
      </c>
      <c r="C17" s="4">
        <v>98.3833</v>
      </c>
      <c r="D17" s="4" t="s">
        <v>42</v>
      </c>
      <c r="E17" s="4" t="s">
        <v>70</v>
      </c>
      <c r="F17" s="4">
        <v>47.61</v>
      </c>
      <c r="G17" s="4">
        <v>86.01</v>
      </c>
      <c r="H17" s="4">
        <v>1.4130706238E10</v>
      </c>
      <c r="I17" s="4">
        <v>2.3480009488E10</v>
      </c>
      <c r="J17" s="4" t="s">
        <v>76</v>
      </c>
      <c r="K17" s="4" t="s">
        <v>77</v>
      </c>
      <c r="L17" s="4">
        <v>7.71</v>
      </c>
      <c r="M17" s="4">
        <v>758.54</v>
      </c>
      <c r="N17" s="4">
        <v>759.0</v>
      </c>
      <c r="O17" s="4">
        <v>62997.0</v>
      </c>
      <c r="P17" s="4">
        <f t="shared" si="1"/>
        <v>98.38333333</v>
      </c>
      <c r="Q17" s="4" t="str">
        <f t="shared" si="2"/>
        <v>Normal</v>
      </c>
      <c r="R17" s="1" t="str">
        <f t="shared" si="3"/>
        <v>High</v>
      </c>
      <c r="S17" s="4">
        <f t="shared" si="4"/>
        <v>35.0277086</v>
      </c>
      <c r="T17" s="1" t="str">
        <f t="shared" si="5"/>
        <v>Normal Cost</v>
      </c>
      <c r="U17" s="4">
        <f t="shared" si="6"/>
        <v>0.1060526692</v>
      </c>
    </row>
    <row r="18">
      <c r="A18" s="4" t="s">
        <v>78</v>
      </c>
      <c r="B18" s="4" t="s">
        <v>79</v>
      </c>
      <c r="C18" s="4">
        <v>713.5354</v>
      </c>
      <c r="D18" s="4" t="s">
        <v>21</v>
      </c>
      <c r="E18" s="4" t="s">
        <v>70</v>
      </c>
      <c r="F18" s="4">
        <v>93.56</v>
      </c>
      <c r="G18" s="4">
        <v>2.89</v>
      </c>
      <c r="H18" s="4">
        <v>6.105357266E10</v>
      </c>
      <c r="I18" s="4">
        <v>6.6456079011E10</v>
      </c>
      <c r="J18" s="4" t="s">
        <v>80</v>
      </c>
      <c r="K18" s="4" t="s">
        <v>81</v>
      </c>
      <c r="L18" s="4">
        <v>5.12</v>
      </c>
      <c r="M18" s="4">
        <v>3653.3</v>
      </c>
      <c r="N18" s="4">
        <v>3653.0</v>
      </c>
      <c r="O18" s="4">
        <v>303199.0</v>
      </c>
      <c r="P18" s="4">
        <f t="shared" si="1"/>
        <v>135.0666667</v>
      </c>
      <c r="Q18" s="4" t="str">
        <f t="shared" si="2"/>
        <v>High</v>
      </c>
      <c r="R18" s="1" t="str">
        <f t="shared" si="3"/>
        <v>Underutilized</v>
      </c>
      <c r="S18" s="4">
        <f t="shared" si="4"/>
        <v>118.7526171</v>
      </c>
      <c r="T18" s="1" t="str">
        <f t="shared" si="5"/>
        <v>High Cost</v>
      </c>
      <c r="U18" s="4">
        <f t="shared" si="6"/>
        <v>0.01590539547</v>
      </c>
    </row>
    <row r="19">
      <c r="A19" s="4" t="s">
        <v>82</v>
      </c>
      <c r="B19" s="4" t="s">
        <v>83</v>
      </c>
      <c r="C19" s="4">
        <v>609.9901</v>
      </c>
      <c r="D19" s="4" t="s">
        <v>17</v>
      </c>
      <c r="E19" s="4" t="s">
        <v>74</v>
      </c>
      <c r="F19" s="4">
        <v>98.66</v>
      </c>
      <c r="G19" s="4">
        <v>51.52</v>
      </c>
      <c r="H19" s="4">
        <v>7.0591459011E10</v>
      </c>
      <c r="I19" s="4">
        <v>7.5043755268E10</v>
      </c>
      <c r="J19" s="5">
        <v>45480.03611111111</v>
      </c>
      <c r="K19" s="5">
        <v>45542.57361111111</v>
      </c>
      <c r="L19" s="4">
        <v>4.92</v>
      </c>
      <c r="M19" s="4">
        <v>3001.15</v>
      </c>
      <c r="N19" s="4">
        <v>3001.0</v>
      </c>
      <c r="O19" s="4">
        <v>249083.0</v>
      </c>
      <c r="P19" s="4">
        <f t="shared" si="1"/>
        <v>60.9</v>
      </c>
      <c r="Q19" s="4" t="str">
        <f t="shared" si="2"/>
        <v>High</v>
      </c>
      <c r="R19" s="1" t="str">
        <f t="shared" si="3"/>
        <v>Normal</v>
      </c>
      <c r="S19" s="4">
        <f t="shared" si="4"/>
        <v>135.6333627</v>
      </c>
      <c r="T19" s="1" t="str">
        <f t="shared" si="5"/>
        <v>High Cost</v>
      </c>
      <c r="U19" s="4">
        <f t="shared" si="6"/>
        <v>0.03014657765</v>
      </c>
    </row>
    <row r="20">
      <c r="A20" s="4" t="s">
        <v>84</v>
      </c>
      <c r="B20" s="4" t="s">
        <v>20</v>
      </c>
      <c r="C20" s="4">
        <v>61.3889</v>
      </c>
      <c r="D20" s="4" t="s">
        <v>17</v>
      </c>
      <c r="E20" s="4" t="s">
        <v>37</v>
      </c>
      <c r="F20" s="4">
        <v>20.25</v>
      </c>
      <c r="G20" s="4">
        <v>49.89</v>
      </c>
      <c r="H20" s="4">
        <v>2.4459345122E10</v>
      </c>
      <c r="I20" s="4">
        <v>3.0238120394E10</v>
      </c>
      <c r="J20" s="4" t="s">
        <v>85</v>
      </c>
      <c r="K20" s="4" t="s">
        <v>86</v>
      </c>
      <c r="L20" s="4">
        <v>7.68</v>
      </c>
      <c r="M20" s="4">
        <v>471.47</v>
      </c>
      <c r="N20" s="4">
        <v>471.0</v>
      </c>
      <c r="O20" s="4">
        <v>39093.0</v>
      </c>
      <c r="P20" s="4">
        <f t="shared" si="1"/>
        <v>31.88333333</v>
      </c>
      <c r="Q20" s="4" t="str">
        <f t="shared" si="2"/>
        <v>Underutilized</v>
      </c>
      <c r="R20" s="1" t="str">
        <f t="shared" si="3"/>
        <v>Normal</v>
      </c>
      <c r="S20" s="4">
        <f t="shared" si="4"/>
        <v>50.94098441</v>
      </c>
      <c r="T20" s="1" t="str">
        <f t="shared" si="5"/>
        <v>Normal Cost</v>
      </c>
      <c r="U20" s="4">
        <f t="shared" si="6"/>
        <v>0.08970915509</v>
      </c>
    </row>
    <row r="21">
      <c r="A21" s="4" t="s">
        <v>87</v>
      </c>
      <c r="B21" s="4" t="s">
        <v>53</v>
      </c>
      <c r="C21" s="4">
        <v>194.6074</v>
      </c>
      <c r="D21" s="4" t="s">
        <v>21</v>
      </c>
      <c r="E21" s="4" t="s">
        <v>27</v>
      </c>
      <c r="F21" s="4">
        <v>71.48</v>
      </c>
      <c r="G21" s="4">
        <v>83.84</v>
      </c>
      <c r="H21" s="4">
        <v>5.0023921405E10</v>
      </c>
      <c r="I21" s="4">
        <v>5.2243912598E10</v>
      </c>
      <c r="J21" s="5">
        <v>45480.51111111111</v>
      </c>
      <c r="K21" s="5">
        <v>45603.08194444444</v>
      </c>
      <c r="L21" s="4">
        <v>7.04</v>
      </c>
      <c r="M21" s="4">
        <v>1370.04</v>
      </c>
      <c r="N21" s="4">
        <v>1370.0</v>
      </c>
      <c r="O21" s="4">
        <v>113710.0</v>
      </c>
      <c r="P21" s="4">
        <f t="shared" si="1"/>
        <v>85.7</v>
      </c>
      <c r="Q21" s="4" t="str">
        <f t="shared" si="2"/>
        <v>High</v>
      </c>
      <c r="R21" s="1" t="str">
        <f t="shared" si="3"/>
        <v>High</v>
      </c>
      <c r="S21" s="4">
        <f t="shared" si="4"/>
        <v>95.24434246</v>
      </c>
      <c r="T21" s="1" t="str">
        <f t="shared" si="5"/>
        <v>Normal Cost</v>
      </c>
      <c r="U21" s="4">
        <f t="shared" si="6"/>
        <v>0.06829654384</v>
      </c>
    </row>
    <row r="22">
      <c r="A22" s="4" t="s">
        <v>88</v>
      </c>
      <c r="B22" s="4" t="s">
        <v>20</v>
      </c>
      <c r="C22" s="4">
        <v>590.1037</v>
      </c>
      <c r="D22" s="4" t="s">
        <v>17</v>
      </c>
      <c r="E22" s="4" t="s">
        <v>27</v>
      </c>
      <c r="F22" s="4">
        <v>55.53</v>
      </c>
      <c r="G22" s="4">
        <v>76.7</v>
      </c>
      <c r="H22" s="4">
        <v>2.7785646604E10</v>
      </c>
      <c r="I22" s="4">
        <v>3.4873445199E10</v>
      </c>
      <c r="J22" s="4" t="s">
        <v>89</v>
      </c>
      <c r="K22" s="4" t="s">
        <v>90</v>
      </c>
      <c r="L22" s="4">
        <v>8.18</v>
      </c>
      <c r="M22" s="4">
        <v>4827.05</v>
      </c>
      <c r="N22" s="4">
        <v>4827.0</v>
      </c>
      <c r="O22" s="4">
        <v>400641.0</v>
      </c>
      <c r="P22" s="4">
        <f t="shared" si="1"/>
        <v>50.2</v>
      </c>
      <c r="Q22" s="4" t="str">
        <f t="shared" si="2"/>
        <v>Normal</v>
      </c>
      <c r="R22" s="1" t="str">
        <f t="shared" si="3"/>
        <v>High</v>
      </c>
      <c r="S22" s="4">
        <f t="shared" si="4"/>
        <v>58.3558267</v>
      </c>
      <c r="T22" s="1" t="str">
        <f t="shared" si="5"/>
        <v>High Cost</v>
      </c>
      <c r="U22" s="4">
        <f t="shared" si="6"/>
        <v>0.01650230506</v>
      </c>
    </row>
    <row r="23">
      <c r="A23" s="4" t="s">
        <v>91</v>
      </c>
      <c r="B23" s="4" t="s">
        <v>57</v>
      </c>
      <c r="C23" s="4">
        <v>152.1866</v>
      </c>
      <c r="D23" s="4" t="s">
        <v>17</v>
      </c>
      <c r="E23" s="4" t="s">
        <v>58</v>
      </c>
      <c r="F23" s="4">
        <v>78.9</v>
      </c>
      <c r="G23" s="4">
        <v>60.38</v>
      </c>
      <c r="H23" s="4">
        <v>3.1595229818E10</v>
      </c>
      <c r="I23" s="4">
        <v>3.2905735415E10</v>
      </c>
      <c r="J23" s="4" t="s">
        <v>92</v>
      </c>
      <c r="K23" s="4" t="s">
        <v>93</v>
      </c>
      <c r="L23" s="4">
        <v>7.5</v>
      </c>
      <c r="M23" s="4">
        <v>1141.4</v>
      </c>
      <c r="N23" s="4">
        <v>1141.0</v>
      </c>
      <c r="O23" s="4">
        <v>94703.0</v>
      </c>
      <c r="P23" s="4">
        <f t="shared" si="1"/>
        <v>107.8833333</v>
      </c>
      <c r="Q23" s="4" t="str">
        <f t="shared" si="2"/>
        <v>High</v>
      </c>
      <c r="R23" s="1" t="str">
        <f t="shared" si="3"/>
        <v>Normal</v>
      </c>
      <c r="S23" s="4">
        <f t="shared" si="4"/>
        <v>60.07120501</v>
      </c>
      <c r="T23" s="1" t="str">
        <f t="shared" si="5"/>
        <v>Normal Cost</v>
      </c>
      <c r="U23" s="4">
        <f t="shared" si="6"/>
        <v>0.07353515728</v>
      </c>
    </row>
    <row r="24">
      <c r="A24" s="4" t="s">
        <v>94</v>
      </c>
      <c r="B24" s="4" t="s">
        <v>60</v>
      </c>
      <c r="C24" s="4">
        <v>90.7333</v>
      </c>
      <c r="D24" s="4" t="s">
        <v>42</v>
      </c>
      <c r="E24" s="4" t="s">
        <v>54</v>
      </c>
      <c r="F24" s="4">
        <v>22.41</v>
      </c>
      <c r="G24" s="4">
        <v>61.79</v>
      </c>
      <c r="H24" s="4">
        <v>3.5788463783E10</v>
      </c>
      <c r="I24" s="4">
        <v>4.1202319167E10</v>
      </c>
      <c r="J24" s="5">
        <v>45420.55416666667</v>
      </c>
      <c r="K24" s="5">
        <v>45543.33472222222</v>
      </c>
      <c r="L24" s="4">
        <v>8.75</v>
      </c>
      <c r="M24" s="4">
        <v>793.92</v>
      </c>
      <c r="N24" s="4">
        <v>794.0</v>
      </c>
      <c r="O24" s="4">
        <v>65902.0</v>
      </c>
      <c r="P24" s="4">
        <f t="shared" si="1"/>
        <v>90.73333333</v>
      </c>
      <c r="Q24" s="4" t="str">
        <f t="shared" si="2"/>
        <v>Underutilized</v>
      </c>
      <c r="R24" s="1" t="str">
        <f t="shared" si="3"/>
        <v>Normal</v>
      </c>
      <c r="S24" s="4">
        <f t="shared" si="4"/>
        <v>71.7032542</v>
      </c>
      <c r="T24" s="1" t="str">
        <f t="shared" si="5"/>
        <v>Normal Cost</v>
      </c>
      <c r="U24" s="4">
        <f t="shared" si="6"/>
        <v>0.06388273497</v>
      </c>
    </row>
    <row r="25">
      <c r="A25" s="4" t="s">
        <v>95</v>
      </c>
      <c r="B25" s="4" t="s">
        <v>53</v>
      </c>
      <c r="C25" s="4">
        <v>389.9843</v>
      </c>
      <c r="D25" s="4" t="s">
        <v>17</v>
      </c>
      <c r="E25" s="4" t="s">
        <v>32</v>
      </c>
      <c r="F25" s="4">
        <v>97.47</v>
      </c>
      <c r="G25" s="4">
        <v>35.99</v>
      </c>
      <c r="H25" s="4">
        <v>9.6990383791E10</v>
      </c>
      <c r="I25" s="6">
        <v>1.01187E11</v>
      </c>
      <c r="J25" s="4" t="s">
        <v>96</v>
      </c>
      <c r="K25" s="4" t="s">
        <v>97</v>
      </c>
      <c r="L25" s="4">
        <v>1.92</v>
      </c>
      <c r="M25" s="4">
        <v>748.77</v>
      </c>
      <c r="N25" s="4">
        <v>749.0</v>
      </c>
      <c r="O25" s="4">
        <v>62167.0</v>
      </c>
      <c r="P25" s="4">
        <f t="shared" si="1"/>
        <v>65.16666667</v>
      </c>
      <c r="Q25" s="4" t="str">
        <f t="shared" si="2"/>
        <v>High</v>
      </c>
      <c r="R25" s="1" t="str">
        <f t="shared" si="3"/>
        <v>Underutilized</v>
      </c>
      <c r="S25" s="6">
        <f t="shared" si="4"/>
        <v>184.5670713</v>
      </c>
      <c r="T25" s="1" t="str">
        <f t="shared" si="5"/>
        <v>Normal Cost</v>
      </c>
      <c r="U25" s="4">
        <f t="shared" si="6"/>
        <v>0.107339907</v>
      </c>
    </row>
    <row r="26">
      <c r="A26" s="4" t="s">
        <v>98</v>
      </c>
      <c r="B26" s="4" t="s">
        <v>99</v>
      </c>
      <c r="C26" s="4">
        <v>389.6408</v>
      </c>
      <c r="D26" s="4" t="s">
        <v>21</v>
      </c>
      <c r="E26" s="4" t="s">
        <v>27</v>
      </c>
      <c r="F26" s="4">
        <v>65.57</v>
      </c>
      <c r="G26" s="4">
        <v>42.91</v>
      </c>
      <c r="H26" s="4">
        <v>3.1182295135E10</v>
      </c>
      <c r="I26" s="4">
        <v>3.8901764033E10</v>
      </c>
      <c r="J26" s="5">
        <v>45633.3875</v>
      </c>
      <c r="K26" s="4" t="s">
        <v>100</v>
      </c>
      <c r="L26" s="4">
        <v>8.26</v>
      </c>
      <c r="M26" s="4">
        <v>3218.43</v>
      </c>
      <c r="N26" s="4">
        <v>3218.0</v>
      </c>
      <c r="O26" s="4">
        <v>267094.0</v>
      </c>
      <c r="P26" s="4">
        <f t="shared" si="1"/>
        <v>113.1666667</v>
      </c>
      <c r="Q26" s="4" t="str">
        <f t="shared" si="2"/>
        <v>Normal</v>
      </c>
      <c r="R26" s="1" t="str">
        <f t="shared" si="3"/>
        <v>Normal</v>
      </c>
      <c r="S26" s="4">
        <f t="shared" si="4"/>
        <v>65.27086642</v>
      </c>
      <c r="T26" s="1" t="str">
        <f t="shared" si="5"/>
        <v>High Cost</v>
      </c>
      <c r="U26" s="4">
        <f t="shared" si="6"/>
        <v>0.0203074573</v>
      </c>
    </row>
    <row r="27">
      <c r="A27" s="4" t="s">
        <v>101</v>
      </c>
      <c r="B27" s="4" t="s">
        <v>83</v>
      </c>
      <c r="C27" s="4">
        <v>902.3603</v>
      </c>
      <c r="D27" s="4" t="s">
        <v>21</v>
      </c>
      <c r="E27" s="4" t="s">
        <v>18</v>
      </c>
      <c r="F27" s="4">
        <v>27.7</v>
      </c>
      <c r="G27" s="4">
        <v>72.18</v>
      </c>
      <c r="H27" s="4">
        <v>7.5263901953E10</v>
      </c>
      <c r="I27" s="4">
        <v>8.0604527913E10</v>
      </c>
      <c r="J27" s="4" t="s">
        <v>102</v>
      </c>
      <c r="K27" s="4" t="s">
        <v>103</v>
      </c>
      <c r="L27" s="4">
        <v>6.25</v>
      </c>
      <c r="M27" s="4">
        <v>5639.75</v>
      </c>
      <c r="N27" s="4">
        <v>5640.0</v>
      </c>
      <c r="O27" s="4">
        <v>468120.0</v>
      </c>
      <c r="P27" s="4">
        <f t="shared" si="1"/>
        <v>133.7333333</v>
      </c>
      <c r="Q27" s="4" t="str">
        <f t="shared" si="2"/>
        <v>Underutilized</v>
      </c>
      <c r="R27" s="1" t="str">
        <f t="shared" si="3"/>
        <v>Normal</v>
      </c>
      <c r="S27" s="4">
        <f t="shared" si="4"/>
        <v>145.1637874</v>
      </c>
      <c r="T27" s="1" t="str">
        <f t="shared" si="5"/>
        <v>High Cost</v>
      </c>
      <c r="U27" s="4">
        <f t="shared" si="6"/>
        <v>0.01066820473</v>
      </c>
    </row>
    <row r="28">
      <c r="A28" s="4" t="s">
        <v>104</v>
      </c>
      <c r="B28" s="4" t="s">
        <v>36</v>
      </c>
      <c r="C28" s="4">
        <v>355.828</v>
      </c>
      <c r="D28" s="4" t="s">
        <v>21</v>
      </c>
      <c r="E28" s="4" t="s">
        <v>105</v>
      </c>
      <c r="F28" s="4">
        <v>89.39</v>
      </c>
      <c r="G28" s="4">
        <v>91.02</v>
      </c>
      <c r="H28" s="4">
        <v>8.4041157244E10</v>
      </c>
      <c r="I28" s="4">
        <v>9.2553952311E10</v>
      </c>
      <c r="J28" s="4" t="s">
        <v>106</v>
      </c>
      <c r="K28" s="4" t="s">
        <v>107</v>
      </c>
      <c r="L28" s="4">
        <v>5.17</v>
      </c>
      <c r="M28" s="4">
        <v>1839.63</v>
      </c>
      <c r="N28" s="4">
        <v>1840.0</v>
      </c>
      <c r="O28" s="4">
        <v>152720.0</v>
      </c>
      <c r="P28" s="4">
        <f t="shared" si="1"/>
        <v>56.93333333</v>
      </c>
      <c r="Q28" s="4" t="str">
        <f t="shared" si="2"/>
        <v>High</v>
      </c>
      <c r="R28" s="1" t="str">
        <f t="shared" si="3"/>
        <v>High</v>
      </c>
      <c r="S28" s="4">
        <f t="shared" si="4"/>
        <v>164.4670121</v>
      </c>
      <c r="T28" s="1" t="str">
        <f t="shared" si="5"/>
        <v>Normal Cost</v>
      </c>
      <c r="U28" s="4">
        <f t="shared" si="6"/>
        <v>0.05906561027</v>
      </c>
    </row>
    <row r="29">
      <c r="A29" s="4" t="s">
        <v>108</v>
      </c>
      <c r="B29" s="4" t="s">
        <v>26</v>
      </c>
      <c r="C29" s="4">
        <v>477.7508</v>
      </c>
      <c r="D29" s="4" t="s">
        <v>17</v>
      </c>
      <c r="E29" s="4" t="s">
        <v>18</v>
      </c>
      <c r="F29" s="4">
        <v>63.32</v>
      </c>
      <c r="G29" s="4">
        <v>46.75</v>
      </c>
      <c r="H29" s="4">
        <v>8.8256196324E10</v>
      </c>
      <c r="I29" s="4">
        <v>9.5036019889E10</v>
      </c>
      <c r="J29" s="5">
        <v>45298.82708333333</v>
      </c>
      <c r="K29" s="5">
        <v>45389.89166666667</v>
      </c>
      <c r="L29" s="4">
        <v>7.49</v>
      </c>
      <c r="M29" s="4">
        <v>3578.35</v>
      </c>
      <c r="N29" s="4">
        <v>3578.0</v>
      </c>
      <c r="O29" s="4">
        <v>296974.0</v>
      </c>
      <c r="P29" s="4">
        <f t="shared" si="1"/>
        <v>73.55</v>
      </c>
      <c r="Q29" s="4" t="str">
        <f t="shared" si="2"/>
        <v>Normal</v>
      </c>
      <c r="R29" s="1" t="str">
        <f t="shared" si="3"/>
        <v>Normal</v>
      </c>
      <c r="S29" s="4">
        <f t="shared" si="4"/>
        <v>170.7041787</v>
      </c>
      <c r="T29" s="1" t="str">
        <f t="shared" si="5"/>
        <v>High Cost</v>
      </c>
      <c r="U29" s="4">
        <f t="shared" si="6"/>
        <v>0.01853192535</v>
      </c>
    </row>
    <row r="30">
      <c r="A30" s="4" t="s">
        <v>109</v>
      </c>
      <c r="B30" s="4" t="s">
        <v>99</v>
      </c>
      <c r="C30" s="4">
        <v>31.5518</v>
      </c>
      <c r="D30" s="4" t="s">
        <v>17</v>
      </c>
      <c r="E30" s="4" t="s">
        <v>54</v>
      </c>
      <c r="F30" s="4">
        <v>62.15</v>
      </c>
      <c r="G30" s="4">
        <v>16.46</v>
      </c>
      <c r="H30" s="4">
        <v>5.4485062086E10</v>
      </c>
      <c r="I30" s="4">
        <v>6.2813003941E10</v>
      </c>
      <c r="J30" s="5">
        <v>45573.711805555555</v>
      </c>
      <c r="K30" s="4" t="s">
        <v>110</v>
      </c>
      <c r="L30" s="4">
        <v>8.65</v>
      </c>
      <c r="M30" s="4">
        <v>272.92</v>
      </c>
      <c r="N30" s="4">
        <v>273.0</v>
      </c>
      <c r="O30" s="4">
        <v>22659.0</v>
      </c>
      <c r="P30" s="4">
        <f t="shared" si="1"/>
        <v>114.7833333</v>
      </c>
      <c r="Q30" s="4" t="str">
        <f t="shared" si="2"/>
        <v>Normal</v>
      </c>
      <c r="R30" s="1" t="str">
        <f t="shared" si="3"/>
        <v>Underutilized</v>
      </c>
      <c r="S30" s="4">
        <f t="shared" si="4"/>
        <v>109.2423368</v>
      </c>
      <c r="T30" s="1" t="str">
        <f t="shared" si="5"/>
        <v>Normal Cost</v>
      </c>
      <c r="U30" s="4">
        <f t="shared" si="6"/>
        <v>0.1734630831</v>
      </c>
    </row>
    <row r="31">
      <c r="A31" s="4" t="s">
        <v>111</v>
      </c>
      <c r="B31" s="4" t="s">
        <v>112</v>
      </c>
      <c r="C31" s="4">
        <v>24.5167</v>
      </c>
      <c r="D31" s="4" t="s">
        <v>42</v>
      </c>
      <c r="E31" s="4" t="s">
        <v>54</v>
      </c>
      <c r="F31" s="4">
        <v>63.68</v>
      </c>
      <c r="G31" s="4">
        <v>9.91</v>
      </c>
      <c r="H31" s="4">
        <v>3.4927527769E10</v>
      </c>
      <c r="I31" s="4">
        <v>4.4683895186E10</v>
      </c>
      <c r="J31" s="4" t="s">
        <v>113</v>
      </c>
      <c r="K31" s="4" t="s">
        <v>114</v>
      </c>
      <c r="L31" s="4">
        <v>7.74</v>
      </c>
      <c r="M31" s="4">
        <v>189.76</v>
      </c>
      <c r="N31" s="4">
        <v>190.0</v>
      </c>
      <c r="O31" s="4">
        <v>15770.0</v>
      </c>
      <c r="P31" s="4">
        <f t="shared" si="1"/>
        <v>24.51666667</v>
      </c>
      <c r="Q31" s="4" t="str">
        <f t="shared" si="2"/>
        <v>Normal</v>
      </c>
      <c r="R31" s="1" t="str">
        <f t="shared" si="3"/>
        <v>Underutilized</v>
      </c>
      <c r="S31" s="4">
        <f t="shared" si="4"/>
        <v>74.1439154</v>
      </c>
      <c r="T31" s="1" t="str">
        <f t="shared" si="5"/>
        <v>Normal Cost</v>
      </c>
      <c r="U31" s="4">
        <f t="shared" si="6"/>
        <v>0.2333227647</v>
      </c>
    </row>
    <row r="32">
      <c r="A32" s="4" t="s">
        <v>115</v>
      </c>
      <c r="B32" s="4" t="s">
        <v>60</v>
      </c>
      <c r="C32" s="4">
        <v>85.0167</v>
      </c>
      <c r="D32" s="4" t="s">
        <v>42</v>
      </c>
      <c r="E32" s="4" t="s">
        <v>27</v>
      </c>
      <c r="F32" s="4">
        <v>67.5</v>
      </c>
      <c r="G32" s="4">
        <v>76.78</v>
      </c>
      <c r="H32" s="4">
        <v>8.7269231137E10</v>
      </c>
      <c r="I32" s="4">
        <v>9.2709161595E10</v>
      </c>
      <c r="J32" s="4" t="s">
        <v>116</v>
      </c>
      <c r="K32" s="4" t="s">
        <v>117</v>
      </c>
      <c r="L32" s="4">
        <v>9.97</v>
      </c>
      <c r="M32" s="4">
        <v>847.62</v>
      </c>
      <c r="N32" s="4">
        <v>848.0</v>
      </c>
      <c r="O32" s="4">
        <v>70384.0</v>
      </c>
      <c r="P32" s="4">
        <f t="shared" si="1"/>
        <v>85.01666667</v>
      </c>
      <c r="Q32" s="4" t="str">
        <f t="shared" si="2"/>
        <v>Normal</v>
      </c>
      <c r="R32" s="1" t="str">
        <f t="shared" si="3"/>
        <v>High</v>
      </c>
      <c r="S32" s="4">
        <f t="shared" si="4"/>
        <v>167.6179401</v>
      </c>
      <c r="T32" s="1" t="str">
        <f t="shared" si="5"/>
        <v>Normal Cost</v>
      </c>
      <c r="U32" s="4">
        <f t="shared" si="6"/>
        <v>0.1024948852</v>
      </c>
    </row>
    <row r="33">
      <c r="A33" s="4" t="s">
        <v>118</v>
      </c>
      <c r="B33" s="4" t="s">
        <v>16</v>
      </c>
      <c r="C33" s="4">
        <v>832.1664</v>
      </c>
      <c r="D33" s="4" t="s">
        <v>17</v>
      </c>
      <c r="E33" s="4" t="s">
        <v>58</v>
      </c>
      <c r="F33" s="4">
        <v>23.65</v>
      </c>
      <c r="G33" s="4">
        <v>80.19</v>
      </c>
      <c r="H33" s="4">
        <v>9.3395407276E10</v>
      </c>
      <c r="I33" s="6">
        <v>1.02343E11</v>
      </c>
      <c r="J33" s="4" t="s">
        <v>119</v>
      </c>
      <c r="K33" s="4" t="s">
        <v>120</v>
      </c>
      <c r="L33" s="4">
        <v>5.91</v>
      </c>
      <c r="M33" s="4">
        <v>4918.1</v>
      </c>
      <c r="N33" s="4">
        <v>4918.0</v>
      </c>
      <c r="O33" s="4">
        <v>408194.0</v>
      </c>
      <c r="P33" s="4">
        <f t="shared" si="1"/>
        <v>116.7166667</v>
      </c>
      <c r="Q33" s="4" t="str">
        <f t="shared" si="2"/>
        <v>Underutilized</v>
      </c>
      <c r="R33" s="1" t="str">
        <f t="shared" si="3"/>
        <v>High</v>
      </c>
      <c r="S33" s="6">
        <f t="shared" si="4"/>
        <v>182.2955974</v>
      </c>
      <c r="T33" s="1" t="str">
        <f t="shared" si="5"/>
        <v>High Cost</v>
      </c>
      <c r="U33" s="4">
        <f t="shared" si="6"/>
        <v>0.01271944223</v>
      </c>
    </row>
    <row r="34">
      <c r="A34" s="4" t="s">
        <v>121</v>
      </c>
      <c r="B34" s="4" t="s">
        <v>122</v>
      </c>
      <c r="C34" s="4">
        <v>298.0653</v>
      </c>
      <c r="D34" s="4" t="s">
        <v>21</v>
      </c>
      <c r="E34" s="4" t="s">
        <v>123</v>
      </c>
      <c r="F34" s="4">
        <v>66.82</v>
      </c>
      <c r="G34" s="4">
        <v>57.94</v>
      </c>
      <c r="H34" s="4">
        <v>2.4527235493E10</v>
      </c>
      <c r="I34" s="4">
        <v>2.6241930001E10</v>
      </c>
      <c r="J34" s="5">
        <v>45329.524305555555</v>
      </c>
      <c r="K34" s="5">
        <v>45419.677777777775</v>
      </c>
      <c r="L34" s="4">
        <v>7.34</v>
      </c>
      <c r="M34" s="4">
        <v>2187.8</v>
      </c>
      <c r="N34" s="4">
        <v>2188.0</v>
      </c>
      <c r="O34" s="4">
        <v>181604.0</v>
      </c>
      <c r="P34" s="4">
        <f t="shared" si="1"/>
        <v>75.68333333</v>
      </c>
      <c r="Q34" s="4" t="str">
        <f t="shared" si="2"/>
        <v>Normal</v>
      </c>
      <c r="R34" s="1" t="str">
        <f t="shared" si="3"/>
        <v>Normal</v>
      </c>
      <c r="S34" s="4">
        <f t="shared" si="4"/>
        <v>47.28246992</v>
      </c>
      <c r="T34" s="1" t="str">
        <f t="shared" si="5"/>
        <v>High Cost</v>
      </c>
      <c r="U34" s="4">
        <f t="shared" si="6"/>
        <v>0.03434946367</v>
      </c>
    </row>
    <row r="35">
      <c r="A35" s="4" t="s">
        <v>124</v>
      </c>
      <c r="B35" s="4" t="s">
        <v>99</v>
      </c>
      <c r="C35" s="4">
        <v>868.8778</v>
      </c>
      <c r="D35" s="4" t="s">
        <v>17</v>
      </c>
      <c r="E35" s="4" t="s">
        <v>70</v>
      </c>
      <c r="F35" s="4">
        <v>72.08</v>
      </c>
      <c r="G35" s="4">
        <v>28.06</v>
      </c>
      <c r="H35" s="4">
        <v>1.3159648227E10</v>
      </c>
      <c r="I35" s="4">
        <v>1.6566379456E10</v>
      </c>
      <c r="J35" s="4" t="s">
        <v>125</v>
      </c>
      <c r="K35" s="4" t="s">
        <v>126</v>
      </c>
      <c r="L35" s="4">
        <v>2.33</v>
      </c>
      <c r="M35" s="4">
        <v>2024.49</v>
      </c>
      <c r="N35" s="4">
        <v>2024.0</v>
      </c>
      <c r="O35" s="4">
        <v>167992.0</v>
      </c>
      <c r="P35" s="4">
        <f t="shared" si="1"/>
        <v>53.66666667</v>
      </c>
      <c r="Q35" s="4" t="str">
        <f t="shared" si="2"/>
        <v>High</v>
      </c>
      <c r="R35" s="1" t="str">
        <f t="shared" si="3"/>
        <v>Underutilized</v>
      </c>
      <c r="S35" s="4">
        <f t="shared" si="4"/>
        <v>27.68452063</v>
      </c>
      <c r="T35" s="1" t="str">
        <f t="shared" si="5"/>
        <v>Normal Cost</v>
      </c>
      <c r="U35" s="4">
        <f t="shared" si="6"/>
        <v>0.02980499071</v>
      </c>
    </row>
    <row r="36">
      <c r="A36" s="4" t="s">
        <v>127</v>
      </c>
      <c r="B36" s="4" t="s">
        <v>128</v>
      </c>
      <c r="C36" s="4">
        <v>306.7861</v>
      </c>
      <c r="D36" s="4" t="s">
        <v>21</v>
      </c>
      <c r="E36" s="4" t="s">
        <v>18</v>
      </c>
      <c r="F36" s="4">
        <v>19.59</v>
      </c>
      <c r="G36" s="4">
        <v>95.71</v>
      </c>
      <c r="H36" s="4">
        <v>9.8160908124E10</v>
      </c>
      <c r="I36" s="6">
        <v>1.06232E11</v>
      </c>
      <c r="J36" s="5">
        <v>45572.96875</v>
      </c>
      <c r="K36" s="5">
        <v>45633.11875</v>
      </c>
      <c r="L36" s="4">
        <v>8.51</v>
      </c>
      <c r="M36" s="4">
        <v>2610.75</v>
      </c>
      <c r="N36" s="4">
        <v>2611.0</v>
      </c>
      <c r="O36" s="4">
        <v>216713.0</v>
      </c>
      <c r="P36" s="4">
        <f t="shared" si="1"/>
        <v>27.6</v>
      </c>
      <c r="Q36" s="4" t="str">
        <f t="shared" si="2"/>
        <v>Underutilized</v>
      </c>
      <c r="R36" s="1" t="str">
        <f t="shared" si="3"/>
        <v>High</v>
      </c>
      <c r="S36" s="6">
        <f t="shared" si="4"/>
        <v>190.3557294</v>
      </c>
      <c r="T36" s="1" t="str">
        <f t="shared" si="5"/>
        <v>High Cost</v>
      </c>
      <c r="U36" s="4">
        <f t="shared" si="6"/>
        <v>0.02660200357</v>
      </c>
    </row>
    <row r="37">
      <c r="A37" s="4" t="s">
        <v>129</v>
      </c>
      <c r="B37" s="4" t="s">
        <v>62</v>
      </c>
      <c r="C37" s="4">
        <v>31.9333</v>
      </c>
      <c r="D37" s="4" t="s">
        <v>42</v>
      </c>
      <c r="E37" s="4" t="s">
        <v>22</v>
      </c>
      <c r="F37" s="4">
        <v>5.7</v>
      </c>
      <c r="G37" s="4">
        <v>31.59</v>
      </c>
      <c r="H37" s="4">
        <v>3.5137713111E10</v>
      </c>
      <c r="I37" s="4">
        <v>4.3813630384E10</v>
      </c>
      <c r="J37" s="4" t="s">
        <v>130</v>
      </c>
      <c r="K37" s="4" t="s">
        <v>131</v>
      </c>
      <c r="L37" s="4">
        <v>1.05</v>
      </c>
      <c r="M37" s="4">
        <v>33.53</v>
      </c>
      <c r="N37" s="4">
        <v>34.0</v>
      </c>
      <c r="O37" s="4">
        <v>2822.0</v>
      </c>
      <c r="P37" s="4">
        <f t="shared" si="1"/>
        <v>31.93333333</v>
      </c>
      <c r="Q37" s="4" t="str">
        <f t="shared" si="2"/>
        <v>Underutilized</v>
      </c>
      <c r="R37" s="1" t="str">
        <f t="shared" si="3"/>
        <v>Underutilized</v>
      </c>
      <c r="S37" s="4">
        <f t="shared" si="4"/>
        <v>73.52916849</v>
      </c>
      <c r="T37" s="1" t="str">
        <f t="shared" si="5"/>
        <v>Normal Cost</v>
      </c>
      <c r="U37" s="4">
        <f t="shared" si="6"/>
        <v>0.66070163</v>
      </c>
    </row>
    <row r="38">
      <c r="A38" s="4" t="s">
        <v>132</v>
      </c>
      <c r="B38" s="4" t="s">
        <v>83</v>
      </c>
      <c r="C38" s="4">
        <v>715.0198</v>
      </c>
      <c r="D38" s="4" t="s">
        <v>21</v>
      </c>
      <c r="E38" s="4" t="s">
        <v>123</v>
      </c>
      <c r="F38" s="4">
        <v>44.97</v>
      </c>
      <c r="G38" s="4">
        <v>13.16</v>
      </c>
      <c r="H38" s="4">
        <v>4.7790743712E10</v>
      </c>
      <c r="I38" s="4">
        <v>5.069981764E10</v>
      </c>
      <c r="J38" s="4" t="s">
        <v>133</v>
      </c>
      <c r="K38" s="4" t="s">
        <v>134</v>
      </c>
      <c r="L38" s="4">
        <v>3.29</v>
      </c>
      <c r="M38" s="4">
        <v>2352.42</v>
      </c>
      <c r="N38" s="4">
        <v>2352.0</v>
      </c>
      <c r="O38" s="4">
        <v>195216.0</v>
      </c>
      <c r="P38" s="4">
        <f t="shared" si="1"/>
        <v>106.8666667</v>
      </c>
      <c r="Q38" s="4" t="str">
        <f t="shared" si="2"/>
        <v>Normal</v>
      </c>
      <c r="R38" s="1" t="str">
        <f t="shared" si="3"/>
        <v>Underutilized</v>
      </c>
      <c r="S38" s="4">
        <f t="shared" si="4"/>
        <v>91.72648317</v>
      </c>
      <c r="T38" s="1" t="str">
        <f t="shared" si="5"/>
        <v>High Cost</v>
      </c>
      <c r="U38" s="4">
        <f t="shared" si="6"/>
        <v>0.01488863618</v>
      </c>
    </row>
    <row r="39">
      <c r="A39" s="4" t="s">
        <v>135</v>
      </c>
      <c r="B39" s="4" t="s">
        <v>46</v>
      </c>
      <c r="C39" s="4">
        <v>749.8858</v>
      </c>
      <c r="D39" s="4" t="s">
        <v>21</v>
      </c>
      <c r="E39" s="4" t="s">
        <v>18</v>
      </c>
      <c r="F39" s="4">
        <v>84.06</v>
      </c>
      <c r="G39" s="4">
        <v>47.12</v>
      </c>
      <c r="H39" s="4">
        <v>5.8205533146E10</v>
      </c>
      <c r="I39" s="4">
        <v>6.3495177785E10</v>
      </c>
      <c r="J39" s="4" t="s">
        <v>136</v>
      </c>
      <c r="K39" s="4" t="s">
        <v>137</v>
      </c>
      <c r="L39" s="4">
        <v>2.03</v>
      </c>
      <c r="M39" s="4">
        <v>1522.27</v>
      </c>
      <c r="N39" s="4">
        <v>1522.0</v>
      </c>
      <c r="O39" s="4">
        <v>126326.0</v>
      </c>
      <c r="P39" s="4">
        <f t="shared" si="1"/>
        <v>112.0666667</v>
      </c>
      <c r="Q39" s="4" t="str">
        <f t="shared" si="2"/>
        <v>High</v>
      </c>
      <c r="R39" s="1" t="str">
        <f t="shared" si="3"/>
        <v>Normal</v>
      </c>
      <c r="S39" s="4">
        <f t="shared" si="4"/>
        <v>113.3426194</v>
      </c>
      <c r="T39" s="1" t="str">
        <f t="shared" si="5"/>
        <v>Normal Cost</v>
      </c>
      <c r="U39" s="4">
        <f t="shared" si="6"/>
        <v>0.0519212197</v>
      </c>
    </row>
    <row r="40">
      <c r="A40" s="4" t="s">
        <v>138</v>
      </c>
      <c r="B40" s="4" t="s">
        <v>139</v>
      </c>
      <c r="C40" s="4">
        <v>110.3167</v>
      </c>
      <c r="D40" s="4" t="s">
        <v>42</v>
      </c>
      <c r="E40" s="4" t="s">
        <v>74</v>
      </c>
      <c r="F40" s="4">
        <v>49.67</v>
      </c>
      <c r="G40" s="4">
        <v>26.17</v>
      </c>
      <c r="H40" s="4">
        <v>7.9950895147E10</v>
      </c>
      <c r="I40" s="4">
        <v>8.7873607051E10</v>
      </c>
      <c r="J40" s="5">
        <v>45359.41458333333</v>
      </c>
      <c r="K40" s="5">
        <v>45512.01111111111</v>
      </c>
      <c r="L40" s="4">
        <v>7.61</v>
      </c>
      <c r="M40" s="4">
        <v>839.51</v>
      </c>
      <c r="N40" s="4">
        <v>840.0</v>
      </c>
      <c r="O40" s="4">
        <v>69720.0</v>
      </c>
      <c r="P40" s="4">
        <f t="shared" si="1"/>
        <v>110.3166667</v>
      </c>
      <c r="Q40" s="4" t="str">
        <f t="shared" si="2"/>
        <v>Normal</v>
      </c>
      <c r="R40" s="1" t="str">
        <f t="shared" si="3"/>
        <v>Underutilized</v>
      </c>
      <c r="S40" s="4">
        <f t="shared" si="4"/>
        <v>156.2987475</v>
      </c>
      <c r="T40" s="1" t="str">
        <f t="shared" si="5"/>
        <v>Normal Cost</v>
      </c>
      <c r="U40" s="4">
        <f t="shared" si="6"/>
        <v>0.05438898451</v>
      </c>
    </row>
    <row r="41">
      <c r="A41" s="4" t="s">
        <v>140</v>
      </c>
      <c r="B41" s="4" t="s">
        <v>41</v>
      </c>
      <c r="C41" s="4">
        <v>55.5667</v>
      </c>
      <c r="D41" s="4" t="s">
        <v>42</v>
      </c>
      <c r="E41" s="4" t="s">
        <v>123</v>
      </c>
      <c r="F41" s="4">
        <v>4.03</v>
      </c>
      <c r="G41" s="4">
        <v>16.21</v>
      </c>
      <c r="H41" s="4">
        <v>3.9972807265E10</v>
      </c>
      <c r="I41" s="4">
        <v>4.2908382034E10</v>
      </c>
      <c r="J41" s="4" t="s">
        <v>141</v>
      </c>
      <c r="K41" s="4" t="s">
        <v>142</v>
      </c>
      <c r="L41" s="4">
        <v>3.2</v>
      </c>
      <c r="M41" s="4">
        <v>177.81</v>
      </c>
      <c r="N41" s="4">
        <v>178.0</v>
      </c>
      <c r="O41" s="4">
        <v>14774.0</v>
      </c>
      <c r="P41" s="4">
        <f t="shared" si="1"/>
        <v>55.56666667</v>
      </c>
      <c r="Q41" s="4" t="str">
        <f t="shared" si="2"/>
        <v>Underutilized</v>
      </c>
      <c r="R41" s="1" t="str">
        <f t="shared" si="3"/>
        <v>Underutilized</v>
      </c>
      <c r="S41" s="4">
        <f t="shared" si="4"/>
        <v>77.18912261</v>
      </c>
      <c r="T41" s="1" t="str">
        <f t="shared" si="5"/>
        <v>Normal Cost</v>
      </c>
      <c r="U41" s="4">
        <f t="shared" si="6"/>
        <v>0.06849871396</v>
      </c>
    </row>
    <row r="42">
      <c r="A42" s="4" t="s">
        <v>143</v>
      </c>
      <c r="B42" s="4" t="s">
        <v>112</v>
      </c>
      <c r="C42" s="4">
        <v>37.85</v>
      </c>
      <c r="D42" s="4" t="s">
        <v>42</v>
      </c>
      <c r="E42" s="4" t="s">
        <v>22</v>
      </c>
      <c r="F42" s="4">
        <v>30.13</v>
      </c>
      <c r="G42" s="4">
        <v>51.99</v>
      </c>
      <c r="H42" s="4">
        <v>4.7432776135E10</v>
      </c>
      <c r="I42" s="4">
        <v>5.238602738E10</v>
      </c>
      <c r="J42" s="4" t="s">
        <v>144</v>
      </c>
      <c r="K42" s="4" t="s">
        <v>145</v>
      </c>
      <c r="L42" s="4">
        <v>4.74</v>
      </c>
      <c r="M42" s="4">
        <v>179.41</v>
      </c>
      <c r="N42" s="4">
        <v>179.0</v>
      </c>
      <c r="O42" s="4">
        <v>14857.0</v>
      </c>
      <c r="P42" s="4">
        <f t="shared" si="1"/>
        <v>37.85</v>
      </c>
      <c r="Q42" s="4" t="str">
        <f t="shared" si="2"/>
        <v>Normal</v>
      </c>
      <c r="R42" s="1" t="str">
        <f t="shared" si="3"/>
        <v>Normal</v>
      </c>
      <c r="S42" s="4">
        <f t="shared" si="4"/>
        <v>92.96350508</v>
      </c>
      <c r="T42" s="1" t="str">
        <f t="shared" si="5"/>
        <v>Normal Cost</v>
      </c>
      <c r="U42" s="4">
        <f t="shared" si="6"/>
        <v>0.276368042</v>
      </c>
    </row>
    <row r="43">
      <c r="A43" s="4" t="s">
        <v>146</v>
      </c>
      <c r="B43" s="4" t="s">
        <v>147</v>
      </c>
      <c r="C43" s="4">
        <v>25.1167</v>
      </c>
      <c r="D43" s="4" t="s">
        <v>42</v>
      </c>
      <c r="E43" s="4" t="s">
        <v>105</v>
      </c>
      <c r="F43" s="4">
        <v>31.07</v>
      </c>
      <c r="G43" s="4">
        <v>40.3</v>
      </c>
      <c r="H43" s="4">
        <v>6.7988066933E10</v>
      </c>
      <c r="I43" s="4">
        <v>7.4171230563E10</v>
      </c>
      <c r="J43" s="5">
        <v>45633.986805555556</v>
      </c>
      <c r="K43" s="4" t="s">
        <v>148</v>
      </c>
      <c r="L43" s="4">
        <v>4.91</v>
      </c>
      <c r="M43" s="4">
        <v>123.32</v>
      </c>
      <c r="N43" s="4">
        <v>123.0</v>
      </c>
      <c r="O43" s="4">
        <v>10209.0</v>
      </c>
      <c r="P43" s="4">
        <f t="shared" si="1"/>
        <v>25.11666667</v>
      </c>
      <c r="Q43" s="4" t="str">
        <f t="shared" si="2"/>
        <v>Normal</v>
      </c>
      <c r="R43" s="1" t="str">
        <f t="shared" si="3"/>
        <v>Normal</v>
      </c>
      <c r="S43" s="4">
        <f t="shared" si="4"/>
        <v>132.3961629</v>
      </c>
      <c r="T43" s="1" t="str">
        <f t="shared" si="5"/>
        <v>Normal Cost</v>
      </c>
      <c r="U43" s="4">
        <f t="shared" si="6"/>
        <v>0.3495445195</v>
      </c>
    </row>
    <row r="44">
      <c r="A44" s="4" t="s">
        <v>149</v>
      </c>
      <c r="B44" s="4" t="s">
        <v>83</v>
      </c>
      <c r="C44" s="4">
        <v>222.3365</v>
      </c>
      <c r="D44" s="4" t="s">
        <v>17</v>
      </c>
      <c r="E44" s="4" t="s">
        <v>58</v>
      </c>
      <c r="F44" s="4">
        <v>45.3</v>
      </c>
      <c r="G44" s="4">
        <v>95.77</v>
      </c>
      <c r="H44" s="4">
        <v>3.2935662005E10</v>
      </c>
      <c r="I44" s="4">
        <v>4.0639831707E10</v>
      </c>
      <c r="J44" s="4" t="s">
        <v>150</v>
      </c>
      <c r="K44" s="4" t="s">
        <v>151</v>
      </c>
      <c r="L44" s="4">
        <v>3.17</v>
      </c>
      <c r="M44" s="4">
        <v>704.81</v>
      </c>
      <c r="N44" s="4">
        <v>705.0</v>
      </c>
      <c r="O44" s="4">
        <v>58515.0</v>
      </c>
      <c r="P44" s="4">
        <f t="shared" si="1"/>
        <v>33.6</v>
      </c>
      <c r="Q44" s="4" t="str">
        <f t="shared" si="2"/>
        <v>Normal</v>
      </c>
      <c r="R44" s="1" t="str">
        <f t="shared" si="3"/>
        <v>High</v>
      </c>
      <c r="S44" s="4">
        <f t="shared" si="4"/>
        <v>68.52251823</v>
      </c>
      <c r="T44" s="1" t="str">
        <f t="shared" si="5"/>
        <v>Normal Cost</v>
      </c>
      <c r="U44" s="4">
        <f t="shared" si="6"/>
        <v>0.1205417414</v>
      </c>
    </row>
    <row r="45">
      <c r="A45" s="4" t="s">
        <v>152</v>
      </c>
      <c r="B45" s="4" t="s">
        <v>20</v>
      </c>
      <c r="C45" s="4">
        <v>565.1884</v>
      </c>
      <c r="D45" s="4" t="s">
        <v>21</v>
      </c>
      <c r="E45" s="4" t="s">
        <v>74</v>
      </c>
      <c r="F45" s="4">
        <v>5.46</v>
      </c>
      <c r="G45" s="4">
        <v>98.89</v>
      </c>
      <c r="H45" s="4">
        <v>8.7565187937E10</v>
      </c>
      <c r="I45" s="4">
        <v>9.2048056617E10</v>
      </c>
      <c r="J45" s="5">
        <v>45330.03611111111</v>
      </c>
      <c r="K45" s="5">
        <v>45359.691666666666</v>
      </c>
      <c r="L45" s="4">
        <v>7.16</v>
      </c>
      <c r="M45" s="4">
        <v>4046.75</v>
      </c>
      <c r="N45" s="4">
        <v>4047.0</v>
      </c>
      <c r="O45" s="4">
        <v>335901.0</v>
      </c>
      <c r="P45" s="4">
        <f t="shared" si="1"/>
        <v>39.73333333</v>
      </c>
      <c r="Q45" s="4" t="str">
        <f t="shared" si="2"/>
        <v>Underutilized</v>
      </c>
      <c r="R45" s="1" t="str">
        <f t="shared" si="3"/>
        <v>High</v>
      </c>
      <c r="S45" s="4">
        <f t="shared" si="4"/>
        <v>167.2778694</v>
      </c>
      <c r="T45" s="1" t="str">
        <f t="shared" si="5"/>
        <v>High Cost</v>
      </c>
      <c r="U45" s="4">
        <f t="shared" si="6"/>
        <v>0.01553285045</v>
      </c>
    </row>
    <row r="46">
      <c r="A46" s="4" t="s">
        <v>153</v>
      </c>
      <c r="B46" s="4" t="s">
        <v>57</v>
      </c>
      <c r="C46" s="4">
        <v>668.343</v>
      </c>
      <c r="D46" s="4" t="s">
        <v>21</v>
      </c>
      <c r="E46" s="4" t="s">
        <v>105</v>
      </c>
      <c r="F46" s="4">
        <v>57.12</v>
      </c>
      <c r="G46" s="4">
        <v>76.38</v>
      </c>
      <c r="H46" s="4">
        <v>3.6394756934E10</v>
      </c>
      <c r="I46" s="4">
        <v>4.6156760944E10</v>
      </c>
      <c r="J46" s="5">
        <v>45299.14444444444</v>
      </c>
      <c r="K46" s="5">
        <v>45451.10763888889</v>
      </c>
      <c r="L46" s="4">
        <v>8.9</v>
      </c>
      <c r="M46" s="4">
        <v>5948.25</v>
      </c>
      <c r="N46" s="4">
        <v>5948.0</v>
      </c>
      <c r="O46" s="4">
        <v>493684.0</v>
      </c>
      <c r="P46" s="4">
        <f t="shared" si="1"/>
        <v>119.1166667</v>
      </c>
      <c r="Q46" s="4" t="str">
        <f t="shared" si="2"/>
        <v>Normal</v>
      </c>
      <c r="R46" s="1" t="str">
        <f t="shared" si="3"/>
        <v>High</v>
      </c>
      <c r="S46" s="4">
        <f t="shared" si="4"/>
        <v>76.88209217</v>
      </c>
      <c r="T46" s="1" t="str">
        <f t="shared" si="5"/>
        <v>High Cost</v>
      </c>
      <c r="U46" s="4">
        <f t="shared" si="6"/>
        <v>0.01352079468</v>
      </c>
    </row>
    <row r="47">
      <c r="A47" s="4" t="s">
        <v>154</v>
      </c>
      <c r="B47" s="4" t="s">
        <v>20</v>
      </c>
      <c r="C47" s="4">
        <v>502.7493</v>
      </c>
      <c r="D47" s="4" t="s">
        <v>17</v>
      </c>
      <c r="E47" s="4" t="s">
        <v>155</v>
      </c>
      <c r="F47" s="4">
        <v>62.01</v>
      </c>
      <c r="G47" s="4">
        <v>51.31</v>
      </c>
      <c r="H47" s="4">
        <v>7.0657848518E10</v>
      </c>
      <c r="I47" s="4">
        <v>7.7304088526E10</v>
      </c>
      <c r="J47" s="4" t="s">
        <v>156</v>
      </c>
      <c r="K47" s="4" t="s">
        <v>157</v>
      </c>
      <c r="L47" s="4">
        <v>2.24</v>
      </c>
      <c r="M47" s="4">
        <v>1126.16</v>
      </c>
      <c r="N47" s="4">
        <v>1126.0</v>
      </c>
      <c r="O47" s="4">
        <v>93458.0</v>
      </c>
      <c r="P47" s="4">
        <f t="shared" si="1"/>
        <v>28.23333333</v>
      </c>
      <c r="Q47" s="4" t="str">
        <f t="shared" si="2"/>
        <v>Normal</v>
      </c>
      <c r="R47" s="1" t="str">
        <f t="shared" si="3"/>
        <v>Normal</v>
      </c>
      <c r="S47" s="4">
        <f t="shared" si="4"/>
        <v>137.8002922</v>
      </c>
      <c r="T47" s="1" t="str">
        <f t="shared" si="5"/>
        <v>Normal Cost</v>
      </c>
      <c r="U47" s="4">
        <f t="shared" si="6"/>
        <v>0.06062616362</v>
      </c>
    </row>
    <row r="48">
      <c r="A48" s="4" t="s">
        <v>158</v>
      </c>
      <c r="B48" s="4" t="s">
        <v>128</v>
      </c>
      <c r="C48" s="4">
        <v>144.2559</v>
      </c>
      <c r="D48" s="4" t="s">
        <v>17</v>
      </c>
      <c r="E48" s="4" t="s">
        <v>123</v>
      </c>
      <c r="F48" s="4">
        <v>99.71</v>
      </c>
      <c r="G48" s="4">
        <v>0.93</v>
      </c>
      <c r="H48" s="4">
        <v>9.171731168E10</v>
      </c>
      <c r="I48" s="4">
        <v>9.5042899077E10</v>
      </c>
      <c r="J48" s="5">
        <v>45389.055555555555</v>
      </c>
      <c r="K48" s="5">
        <v>45511.42013888889</v>
      </c>
      <c r="L48" s="4">
        <v>4.99</v>
      </c>
      <c r="M48" s="4">
        <v>719.84</v>
      </c>
      <c r="N48" s="4">
        <v>720.0</v>
      </c>
      <c r="O48" s="4">
        <v>59760.0</v>
      </c>
      <c r="P48" s="4">
        <f t="shared" si="1"/>
        <v>104.75</v>
      </c>
      <c r="Q48" s="4" t="str">
        <f t="shared" si="2"/>
        <v>High</v>
      </c>
      <c r="R48" s="1" t="str">
        <f t="shared" si="3"/>
        <v>Underutilized</v>
      </c>
      <c r="S48" s="4">
        <f t="shared" si="4"/>
        <v>173.9340003</v>
      </c>
      <c r="T48" s="1" t="str">
        <f t="shared" si="5"/>
        <v>Normal Cost</v>
      </c>
      <c r="U48" s="4">
        <f t="shared" si="6"/>
        <v>0.08420348059</v>
      </c>
    </row>
    <row r="49">
      <c r="A49" s="4" t="s">
        <v>159</v>
      </c>
      <c r="B49" s="4" t="s">
        <v>36</v>
      </c>
      <c r="C49" s="4">
        <v>67.2368</v>
      </c>
      <c r="D49" s="4" t="s">
        <v>17</v>
      </c>
      <c r="E49" s="4" t="s">
        <v>37</v>
      </c>
      <c r="F49" s="4">
        <v>95.28</v>
      </c>
      <c r="G49" s="4">
        <v>57.91</v>
      </c>
      <c r="H49" s="4">
        <v>8.9003991655E10</v>
      </c>
      <c r="I49" s="4">
        <v>9.6601656791E10</v>
      </c>
      <c r="J49" s="5">
        <v>45633.89722222222</v>
      </c>
      <c r="K49" s="4" t="s">
        <v>160</v>
      </c>
      <c r="L49" s="4">
        <v>2.63</v>
      </c>
      <c r="M49" s="4">
        <v>176.83</v>
      </c>
      <c r="N49" s="4">
        <v>177.0</v>
      </c>
      <c r="O49" s="4">
        <v>14691.0</v>
      </c>
      <c r="P49" s="4">
        <f t="shared" si="1"/>
        <v>46.83333333</v>
      </c>
      <c r="Q49" s="4" t="str">
        <f t="shared" si="2"/>
        <v>High</v>
      </c>
      <c r="R49" s="1" t="str">
        <f t="shared" si="3"/>
        <v>Normal</v>
      </c>
      <c r="S49" s="4">
        <f t="shared" si="4"/>
        <v>172.8587304</v>
      </c>
      <c r="T49" s="1" t="str">
        <f t="shared" si="5"/>
        <v>Normal Cost</v>
      </c>
      <c r="U49" s="4">
        <f t="shared" si="6"/>
        <v>0.5213736301</v>
      </c>
    </row>
    <row r="50">
      <c r="A50" s="4" t="s">
        <v>161</v>
      </c>
      <c r="B50" s="4" t="s">
        <v>99</v>
      </c>
      <c r="C50" s="4">
        <v>992.0661</v>
      </c>
      <c r="D50" s="4" t="s">
        <v>21</v>
      </c>
      <c r="E50" s="4" t="s">
        <v>27</v>
      </c>
      <c r="F50" s="4">
        <v>59.72</v>
      </c>
      <c r="G50" s="4">
        <v>17.93</v>
      </c>
      <c r="H50" s="4">
        <v>4.9573513144E10</v>
      </c>
      <c r="I50" s="4">
        <v>5.7377379156E10</v>
      </c>
      <c r="J50" s="5">
        <v>45329.67152777778</v>
      </c>
      <c r="K50" s="5">
        <v>45389.07430555556</v>
      </c>
      <c r="L50" s="4">
        <v>4.63</v>
      </c>
      <c r="M50" s="4">
        <v>4593.27</v>
      </c>
      <c r="N50" s="4">
        <v>4593.0</v>
      </c>
      <c r="O50" s="4">
        <v>381219.0</v>
      </c>
      <c r="P50" s="4">
        <f t="shared" si="1"/>
        <v>33.66666667</v>
      </c>
      <c r="Q50" s="4" t="str">
        <f t="shared" si="2"/>
        <v>Normal</v>
      </c>
      <c r="R50" s="1" t="str">
        <f t="shared" si="3"/>
        <v>Underutilized</v>
      </c>
      <c r="S50" s="4">
        <f t="shared" si="4"/>
        <v>99.60578037</v>
      </c>
      <c r="T50" s="1" t="str">
        <f t="shared" si="5"/>
        <v>High Cost</v>
      </c>
      <c r="U50" s="4">
        <f t="shared" si="6"/>
        <v>0.01018443467</v>
      </c>
    </row>
    <row r="51">
      <c r="A51" s="4" t="s">
        <v>162</v>
      </c>
      <c r="B51" s="4" t="s">
        <v>99</v>
      </c>
      <c r="C51" s="4">
        <v>992.7546</v>
      </c>
      <c r="D51" s="4" t="s">
        <v>21</v>
      </c>
      <c r="E51" s="4" t="s">
        <v>27</v>
      </c>
      <c r="F51" s="4">
        <v>7.86</v>
      </c>
      <c r="G51" s="4">
        <v>24.27</v>
      </c>
      <c r="H51" s="4">
        <v>3.5775812684E10</v>
      </c>
      <c r="I51" s="4">
        <v>3.7743737345E10</v>
      </c>
      <c r="J51" s="4" t="s">
        <v>163</v>
      </c>
      <c r="K51" s="4" t="s">
        <v>164</v>
      </c>
      <c r="L51" s="4">
        <v>2.32</v>
      </c>
      <c r="M51" s="4">
        <v>2303.19</v>
      </c>
      <c r="N51" s="4">
        <v>2303.0</v>
      </c>
      <c r="O51" s="4">
        <v>191149.0</v>
      </c>
      <c r="P51" s="4">
        <f t="shared" si="1"/>
        <v>79.61666667</v>
      </c>
      <c r="Q51" s="4" t="str">
        <f t="shared" si="2"/>
        <v>Underutilized</v>
      </c>
      <c r="R51" s="1" t="str">
        <f t="shared" si="3"/>
        <v>Underutilized</v>
      </c>
      <c r="S51" s="4">
        <f t="shared" si="4"/>
        <v>68.47041662</v>
      </c>
      <c r="T51" s="1" t="str">
        <f t="shared" si="5"/>
        <v>High Cost</v>
      </c>
      <c r="U51" s="4">
        <f t="shared" si="6"/>
        <v>0.008404438422</v>
      </c>
    </row>
    <row r="52">
      <c r="A52" s="4" t="s">
        <v>165</v>
      </c>
      <c r="B52" s="4" t="s">
        <v>166</v>
      </c>
      <c r="C52" s="4">
        <v>760.0749</v>
      </c>
      <c r="D52" s="4" t="s">
        <v>17</v>
      </c>
      <c r="E52" s="4" t="s">
        <v>74</v>
      </c>
      <c r="F52" s="4">
        <v>98.05</v>
      </c>
      <c r="G52" s="4">
        <v>41.43</v>
      </c>
      <c r="H52" s="4">
        <v>4.6082827894E10</v>
      </c>
      <c r="I52" s="4">
        <v>4.7296152299E10</v>
      </c>
      <c r="J52" s="5">
        <v>45633.23888888889</v>
      </c>
      <c r="K52" s="4" t="s">
        <v>167</v>
      </c>
      <c r="L52" s="4">
        <v>6.96</v>
      </c>
      <c r="M52" s="4">
        <v>5290.12</v>
      </c>
      <c r="N52" s="4">
        <v>5290.0</v>
      </c>
      <c r="O52" s="4">
        <v>439070.0</v>
      </c>
      <c r="P52" s="4">
        <f t="shared" si="1"/>
        <v>116.0666667</v>
      </c>
      <c r="Q52" s="4" t="str">
        <f t="shared" si="2"/>
        <v>High</v>
      </c>
      <c r="R52" s="1" t="str">
        <f t="shared" si="3"/>
        <v>Normal</v>
      </c>
      <c r="S52" s="4">
        <f t="shared" si="4"/>
        <v>86.96595225</v>
      </c>
      <c r="T52" s="1" t="str">
        <f t="shared" si="5"/>
        <v>High Cost</v>
      </c>
      <c r="U52" s="4">
        <f t="shared" si="6"/>
        <v>0.0158835721</v>
      </c>
    </row>
    <row r="53">
      <c r="A53" s="4" t="s">
        <v>168</v>
      </c>
      <c r="B53" s="4" t="s">
        <v>169</v>
      </c>
      <c r="C53" s="4">
        <v>657.0231</v>
      </c>
      <c r="D53" s="4" t="s">
        <v>21</v>
      </c>
      <c r="E53" s="4" t="s">
        <v>70</v>
      </c>
      <c r="F53" s="4">
        <v>30.7</v>
      </c>
      <c r="G53" s="4">
        <v>10.91</v>
      </c>
      <c r="H53" s="4">
        <v>1.9271396797E10</v>
      </c>
      <c r="I53" s="4">
        <v>2.7245078419E10</v>
      </c>
      <c r="J53" s="4" t="s">
        <v>170</v>
      </c>
      <c r="K53" s="4" t="s">
        <v>171</v>
      </c>
      <c r="L53" s="4">
        <v>3.76</v>
      </c>
      <c r="M53" s="4">
        <v>2470.41</v>
      </c>
      <c r="N53" s="4">
        <v>2470.0</v>
      </c>
      <c r="O53" s="4">
        <v>205010.0</v>
      </c>
      <c r="P53" s="4">
        <f t="shared" si="1"/>
        <v>137.1833333</v>
      </c>
      <c r="Q53" s="4" t="str">
        <f t="shared" si="2"/>
        <v>Normal</v>
      </c>
      <c r="R53" s="1" t="str">
        <f t="shared" si="3"/>
        <v>Underutilized</v>
      </c>
      <c r="S53" s="4">
        <f t="shared" si="4"/>
        <v>43.32184346</v>
      </c>
      <c r="T53" s="1" t="str">
        <f t="shared" si="5"/>
        <v>High Cost</v>
      </c>
      <c r="U53" s="4">
        <f t="shared" si="6"/>
        <v>0.01014828545</v>
      </c>
    </row>
    <row r="54">
      <c r="A54" s="4" t="s">
        <v>172</v>
      </c>
      <c r="B54" s="4" t="s">
        <v>41</v>
      </c>
      <c r="C54" s="4">
        <v>32.4667</v>
      </c>
      <c r="D54" s="4" t="s">
        <v>42</v>
      </c>
      <c r="E54" s="4" t="s">
        <v>32</v>
      </c>
      <c r="F54" s="4">
        <v>19.26</v>
      </c>
      <c r="G54" s="4">
        <v>8.78</v>
      </c>
      <c r="H54" s="4">
        <v>4.946636304E10</v>
      </c>
      <c r="I54" s="4">
        <v>5.5999156322E10</v>
      </c>
      <c r="J54" s="5">
        <v>45634.694444444445</v>
      </c>
      <c r="K54" s="4" t="s">
        <v>173</v>
      </c>
      <c r="L54" s="4">
        <v>4.48</v>
      </c>
      <c r="M54" s="4">
        <v>145.45</v>
      </c>
      <c r="N54" s="4">
        <v>145.0</v>
      </c>
      <c r="O54" s="4">
        <v>12035.0</v>
      </c>
      <c r="P54" s="4">
        <f t="shared" si="1"/>
        <v>32.46666667</v>
      </c>
      <c r="Q54" s="4" t="str">
        <f t="shared" si="2"/>
        <v>Underutilized</v>
      </c>
      <c r="R54" s="1" t="str">
        <f t="shared" si="3"/>
        <v>Underutilized</v>
      </c>
      <c r="S54" s="4">
        <f t="shared" si="4"/>
        <v>98.22241903</v>
      </c>
      <c r="T54" s="1" t="str">
        <f t="shared" si="5"/>
        <v>Normal Cost</v>
      </c>
      <c r="U54" s="4">
        <f t="shared" si="6"/>
        <v>0.1164935604</v>
      </c>
    </row>
    <row r="55">
      <c r="A55" s="4" t="s">
        <v>174</v>
      </c>
      <c r="B55" s="4" t="s">
        <v>147</v>
      </c>
      <c r="C55" s="4">
        <v>65.3167</v>
      </c>
      <c r="D55" s="4" t="s">
        <v>42</v>
      </c>
      <c r="E55" s="4" t="s">
        <v>37</v>
      </c>
      <c r="F55" s="4">
        <v>68.32</v>
      </c>
      <c r="G55" s="4">
        <v>2.37</v>
      </c>
      <c r="H55" s="4">
        <v>3.2960902132E10</v>
      </c>
      <c r="I55" s="4">
        <v>4.2041161989E10</v>
      </c>
      <c r="J55" s="5">
        <v>45480.03680555556</v>
      </c>
      <c r="K55" s="5">
        <v>45542.75833333333</v>
      </c>
      <c r="L55" s="4">
        <v>6.64</v>
      </c>
      <c r="M55" s="4">
        <v>433.7</v>
      </c>
      <c r="N55" s="4">
        <v>434.0</v>
      </c>
      <c r="O55" s="4">
        <v>36022.0</v>
      </c>
      <c r="P55" s="4">
        <f t="shared" si="1"/>
        <v>65.31666667</v>
      </c>
      <c r="Q55" s="4" t="str">
        <f t="shared" si="2"/>
        <v>Normal</v>
      </c>
      <c r="R55" s="1" t="str">
        <f t="shared" si="3"/>
        <v>Underutilized</v>
      </c>
      <c r="S55" s="4">
        <f t="shared" si="4"/>
        <v>69.85111546</v>
      </c>
      <c r="T55" s="1" t="str">
        <f t="shared" si="5"/>
        <v>Normal Cost</v>
      </c>
      <c r="U55" s="4">
        <f t="shared" si="6"/>
        <v>0.09812059297</v>
      </c>
    </row>
    <row r="56">
      <c r="A56" s="4" t="s">
        <v>175</v>
      </c>
      <c r="B56" s="4" t="s">
        <v>60</v>
      </c>
      <c r="C56" s="4">
        <v>90.6</v>
      </c>
      <c r="D56" s="4" t="s">
        <v>42</v>
      </c>
      <c r="E56" s="4" t="s">
        <v>155</v>
      </c>
      <c r="F56" s="4">
        <v>76.61</v>
      </c>
      <c r="G56" s="4">
        <v>96.05</v>
      </c>
      <c r="H56" s="4">
        <v>7.4434872643E10</v>
      </c>
      <c r="I56" s="4">
        <v>8.4307604798E10</v>
      </c>
      <c r="J56" s="4" t="s">
        <v>176</v>
      </c>
      <c r="K56" s="4" t="s">
        <v>177</v>
      </c>
      <c r="L56" s="4">
        <v>2.1</v>
      </c>
      <c r="M56" s="4">
        <v>190.26</v>
      </c>
      <c r="N56" s="4">
        <v>190.0</v>
      </c>
      <c r="O56" s="4">
        <v>15770.0</v>
      </c>
      <c r="P56" s="4">
        <f t="shared" si="1"/>
        <v>90.6</v>
      </c>
      <c r="Q56" s="4" t="str">
        <f t="shared" si="2"/>
        <v>High</v>
      </c>
      <c r="R56" s="1" t="str">
        <f t="shared" si="3"/>
        <v>High</v>
      </c>
      <c r="S56" s="4">
        <f t="shared" si="4"/>
        <v>147.8404528</v>
      </c>
      <c r="T56" s="1" t="str">
        <f t="shared" si="5"/>
        <v>Normal Cost</v>
      </c>
      <c r="U56" s="4">
        <f t="shared" si="6"/>
        <v>0.5474318326</v>
      </c>
    </row>
    <row r="57">
      <c r="A57" s="4" t="s">
        <v>178</v>
      </c>
      <c r="B57" s="4" t="s">
        <v>26</v>
      </c>
      <c r="C57" s="4">
        <v>742.5462</v>
      </c>
      <c r="D57" s="4" t="s">
        <v>21</v>
      </c>
      <c r="E57" s="4" t="s">
        <v>70</v>
      </c>
      <c r="F57" s="4">
        <v>29.67</v>
      </c>
      <c r="G57" s="4">
        <v>96.85</v>
      </c>
      <c r="H57" s="4">
        <v>4.0121800532E10</v>
      </c>
      <c r="I57" s="4">
        <v>4.5367120844E10</v>
      </c>
      <c r="J57" s="4" t="s">
        <v>179</v>
      </c>
      <c r="K57" s="4" t="s">
        <v>180</v>
      </c>
      <c r="L57" s="4">
        <v>2.15</v>
      </c>
      <c r="M57" s="4">
        <v>1596.47</v>
      </c>
      <c r="N57" s="4">
        <v>1596.0</v>
      </c>
      <c r="O57" s="4">
        <v>132468.0</v>
      </c>
      <c r="P57" s="4">
        <f t="shared" si="1"/>
        <v>131.05</v>
      </c>
      <c r="Q57" s="4" t="str">
        <f t="shared" si="2"/>
        <v>Underutilized</v>
      </c>
      <c r="R57" s="1" t="str">
        <f t="shared" si="3"/>
        <v>High</v>
      </c>
      <c r="S57" s="4">
        <f t="shared" si="4"/>
        <v>79.61776236</v>
      </c>
      <c r="T57" s="1" t="str">
        <f t="shared" si="5"/>
        <v>Normal Cost</v>
      </c>
      <c r="U57" s="4">
        <f t="shared" si="6"/>
        <v>0.04775492949</v>
      </c>
    </row>
    <row r="58">
      <c r="A58" s="4" t="s">
        <v>181</v>
      </c>
      <c r="B58" s="4" t="s">
        <v>36</v>
      </c>
      <c r="C58" s="4">
        <v>961.1396</v>
      </c>
      <c r="D58" s="4" t="s">
        <v>17</v>
      </c>
      <c r="E58" s="4" t="s">
        <v>32</v>
      </c>
      <c r="F58" s="4">
        <v>55.96</v>
      </c>
      <c r="G58" s="4">
        <v>8.8</v>
      </c>
      <c r="H58" s="4">
        <v>1.3441390615E10</v>
      </c>
      <c r="I58" s="4">
        <v>1.5127259133E10</v>
      </c>
      <c r="J58" s="5">
        <v>45419.64513888889</v>
      </c>
      <c r="K58" s="5">
        <v>45603.31736111111</v>
      </c>
      <c r="L58" s="4">
        <v>8.81</v>
      </c>
      <c r="M58" s="4">
        <v>8467.64</v>
      </c>
      <c r="N58" s="4">
        <v>8468.0</v>
      </c>
      <c r="O58" s="4">
        <v>702844.0</v>
      </c>
      <c r="P58" s="4">
        <f t="shared" si="1"/>
        <v>136.1333333</v>
      </c>
      <c r="Q58" s="4" t="str">
        <f t="shared" si="2"/>
        <v>Normal</v>
      </c>
      <c r="R58" s="1" t="str">
        <f t="shared" si="3"/>
        <v>Underutilized</v>
      </c>
      <c r="S58" s="4">
        <f t="shared" si="4"/>
        <v>26.60662844</v>
      </c>
      <c r="T58" s="1" t="str">
        <f t="shared" si="5"/>
        <v>High Cost</v>
      </c>
      <c r="U58" s="4">
        <f t="shared" si="6"/>
        <v>0.004606996716</v>
      </c>
    </row>
    <row r="59">
      <c r="A59" s="4" t="s">
        <v>182</v>
      </c>
      <c r="B59" s="4" t="s">
        <v>183</v>
      </c>
      <c r="C59" s="4">
        <v>227.7202</v>
      </c>
      <c r="D59" s="4" t="s">
        <v>21</v>
      </c>
      <c r="E59" s="4" t="s">
        <v>123</v>
      </c>
      <c r="F59" s="4">
        <v>54.59</v>
      </c>
      <c r="G59" s="4">
        <v>42.02</v>
      </c>
      <c r="H59" s="4">
        <v>7.9528411554E10</v>
      </c>
      <c r="I59" s="4">
        <v>8.7175086484E10</v>
      </c>
      <c r="J59" s="5">
        <v>45450.0375</v>
      </c>
      <c r="K59" s="5">
        <v>45511.09722222222</v>
      </c>
      <c r="L59" s="4">
        <v>8.03</v>
      </c>
      <c r="M59" s="4">
        <v>1828.59</v>
      </c>
      <c r="N59" s="4">
        <v>1829.0</v>
      </c>
      <c r="O59" s="4">
        <v>151807.0</v>
      </c>
      <c r="P59" s="4">
        <f t="shared" si="1"/>
        <v>49.43333333</v>
      </c>
      <c r="Q59" s="4" t="str">
        <f t="shared" si="2"/>
        <v>Normal</v>
      </c>
      <c r="R59" s="1" t="str">
        <f t="shared" si="3"/>
        <v>Normal</v>
      </c>
      <c r="S59" s="4">
        <f t="shared" si="4"/>
        <v>155.254731</v>
      </c>
      <c r="T59" s="1" t="str">
        <f t="shared" si="5"/>
        <v>Normal Cost</v>
      </c>
      <c r="U59" s="4">
        <f t="shared" si="6"/>
        <v>0.0318200083</v>
      </c>
    </row>
    <row r="60">
      <c r="A60" s="4" t="s">
        <v>184</v>
      </c>
      <c r="B60" s="4" t="s">
        <v>99</v>
      </c>
      <c r="C60" s="4">
        <v>960.8627</v>
      </c>
      <c r="D60" s="4" t="s">
        <v>21</v>
      </c>
      <c r="E60" s="4" t="s">
        <v>18</v>
      </c>
      <c r="F60" s="4">
        <v>15.27</v>
      </c>
      <c r="G60" s="4">
        <v>94.05</v>
      </c>
      <c r="H60" s="4">
        <v>9.3545537622E10</v>
      </c>
      <c r="I60" s="4">
        <v>9.8590543085E10</v>
      </c>
      <c r="J60" s="5">
        <v>45390.09930555556</v>
      </c>
      <c r="K60" s="5">
        <v>45451.95347222222</v>
      </c>
      <c r="L60" s="4">
        <v>1.81</v>
      </c>
      <c r="M60" s="4">
        <v>1739.16</v>
      </c>
      <c r="N60" s="4">
        <v>1739.0</v>
      </c>
      <c r="O60" s="4">
        <v>144337.0</v>
      </c>
      <c r="P60" s="4">
        <f t="shared" si="1"/>
        <v>68.5</v>
      </c>
      <c r="Q60" s="4" t="str">
        <f t="shared" si="2"/>
        <v>Underutilized</v>
      </c>
      <c r="R60" s="1" t="str">
        <f t="shared" si="3"/>
        <v>High</v>
      </c>
      <c r="S60" s="4">
        <f t="shared" si="4"/>
        <v>178.9406694</v>
      </c>
      <c r="T60" s="1" t="str">
        <f t="shared" si="5"/>
        <v>Normal Cost</v>
      </c>
      <c r="U60" s="4">
        <f t="shared" si="6"/>
        <v>0.0378697077</v>
      </c>
    </row>
    <row r="61">
      <c r="A61" s="4" t="s">
        <v>185</v>
      </c>
      <c r="B61" s="4" t="s">
        <v>83</v>
      </c>
      <c r="C61" s="4">
        <v>339.41</v>
      </c>
      <c r="D61" s="4" t="s">
        <v>17</v>
      </c>
      <c r="E61" s="4" t="s">
        <v>105</v>
      </c>
      <c r="F61" s="4">
        <v>88.22</v>
      </c>
      <c r="G61" s="4">
        <v>64.11</v>
      </c>
      <c r="H61" s="4">
        <v>9.0527835813E10</v>
      </c>
      <c r="I61" s="4">
        <v>9.2142710021E10</v>
      </c>
      <c r="J61" s="5">
        <v>45358.535416666666</v>
      </c>
      <c r="K61" s="5">
        <v>45542.518055555556</v>
      </c>
      <c r="L61" s="4">
        <v>4.35</v>
      </c>
      <c r="M61" s="4">
        <v>1476.43</v>
      </c>
      <c r="N61" s="4">
        <v>1476.0</v>
      </c>
      <c r="O61" s="4">
        <v>122508.0</v>
      </c>
      <c r="P61" s="4">
        <f t="shared" si="1"/>
        <v>143.5833333</v>
      </c>
      <c r="Q61" s="4" t="str">
        <f t="shared" si="2"/>
        <v>High</v>
      </c>
      <c r="R61" s="1" t="str">
        <f t="shared" si="3"/>
        <v>Normal</v>
      </c>
      <c r="S61" s="4">
        <f t="shared" si="4"/>
        <v>170.1252031</v>
      </c>
      <c r="T61" s="1" t="str">
        <f t="shared" si="5"/>
        <v>Normal Cost</v>
      </c>
      <c r="U61" s="4">
        <f t="shared" si="6"/>
        <v>0.06217145003</v>
      </c>
    </row>
    <row r="62">
      <c r="A62" s="4" t="s">
        <v>186</v>
      </c>
      <c r="B62" s="4" t="s">
        <v>66</v>
      </c>
      <c r="C62" s="4">
        <v>132.8637</v>
      </c>
      <c r="D62" s="4" t="s">
        <v>17</v>
      </c>
      <c r="E62" s="4" t="s">
        <v>32</v>
      </c>
      <c r="F62" s="4">
        <v>68.3</v>
      </c>
      <c r="G62" s="4">
        <v>65.19</v>
      </c>
      <c r="H62" s="4">
        <v>6.7918645337E10</v>
      </c>
      <c r="I62" s="4">
        <v>7.3433835245E10</v>
      </c>
      <c r="J62" s="5">
        <v>45511.3125</v>
      </c>
      <c r="K62" s="5">
        <v>45542.888194444444</v>
      </c>
      <c r="L62" s="4">
        <v>1.39</v>
      </c>
      <c r="M62" s="4">
        <v>184.68</v>
      </c>
      <c r="N62" s="4">
        <v>185.0</v>
      </c>
      <c r="O62" s="4">
        <v>15355.0</v>
      </c>
      <c r="P62" s="4">
        <f t="shared" si="1"/>
        <v>37.81666667</v>
      </c>
      <c r="Q62" s="4" t="str">
        <f t="shared" si="2"/>
        <v>Normal</v>
      </c>
      <c r="R62" s="1" t="str">
        <f t="shared" si="3"/>
        <v>Normal</v>
      </c>
      <c r="S62" s="4">
        <f t="shared" si="4"/>
        <v>131.6447561</v>
      </c>
      <c r="T62" s="1" t="str">
        <f t="shared" si="5"/>
        <v>Normal Cost</v>
      </c>
      <c r="U62" s="4">
        <f t="shared" si="6"/>
        <v>0.4346792576</v>
      </c>
    </row>
    <row r="63">
      <c r="A63" s="4" t="s">
        <v>187</v>
      </c>
      <c r="B63" s="4" t="s">
        <v>166</v>
      </c>
      <c r="C63" s="4">
        <v>102.9044</v>
      </c>
      <c r="D63" s="4" t="s">
        <v>21</v>
      </c>
      <c r="E63" s="4" t="s">
        <v>155</v>
      </c>
      <c r="F63" s="4">
        <v>91.67</v>
      </c>
      <c r="G63" s="4">
        <v>72.89</v>
      </c>
      <c r="H63" s="4">
        <v>9.5888780202E10</v>
      </c>
      <c r="I63" s="6">
        <v>1.05066E11</v>
      </c>
      <c r="J63" s="4" t="s">
        <v>188</v>
      </c>
      <c r="K63" s="5">
        <v>45390.21111111111</v>
      </c>
      <c r="L63" s="4">
        <v>3.33</v>
      </c>
      <c r="M63" s="4">
        <v>342.67</v>
      </c>
      <c r="N63" s="4">
        <v>343.0</v>
      </c>
      <c r="O63" s="4">
        <v>28469.0</v>
      </c>
      <c r="P63" s="4">
        <f t="shared" si="1"/>
        <v>98.96666667</v>
      </c>
      <c r="Q63" s="4" t="str">
        <f t="shared" si="2"/>
        <v>High</v>
      </c>
      <c r="R63" s="1" t="str">
        <f t="shared" si="3"/>
        <v>Normal</v>
      </c>
      <c r="S63" s="6">
        <f t="shared" si="4"/>
        <v>187.1537233</v>
      </c>
      <c r="T63" s="1" t="str">
        <f t="shared" si="5"/>
        <v>Normal Cost</v>
      </c>
      <c r="U63" s="4">
        <f t="shared" si="6"/>
        <v>0.2890161228</v>
      </c>
    </row>
    <row r="64">
      <c r="A64" s="4" t="s">
        <v>189</v>
      </c>
      <c r="B64" s="4" t="s">
        <v>31</v>
      </c>
      <c r="C64" s="4">
        <v>271.0462</v>
      </c>
      <c r="D64" s="4" t="s">
        <v>21</v>
      </c>
      <c r="E64" s="4" t="s">
        <v>22</v>
      </c>
      <c r="F64" s="4">
        <v>74.75</v>
      </c>
      <c r="G64" s="4">
        <v>64.91</v>
      </c>
      <c r="H64" s="4">
        <v>4.4584192276E10</v>
      </c>
      <c r="I64" s="4">
        <v>4.7193477596E10</v>
      </c>
      <c r="J64" s="4" t="s">
        <v>190</v>
      </c>
      <c r="K64" s="4" t="s">
        <v>191</v>
      </c>
      <c r="L64" s="4">
        <v>4.93</v>
      </c>
      <c r="M64" s="4">
        <v>1336.26</v>
      </c>
      <c r="N64" s="4">
        <v>1336.0</v>
      </c>
      <c r="O64" s="4">
        <v>110888.0</v>
      </c>
      <c r="P64" s="4">
        <f t="shared" si="1"/>
        <v>130.7666667</v>
      </c>
      <c r="Q64" s="4" t="str">
        <f t="shared" si="2"/>
        <v>High</v>
      </c>
      <c r="R64" s="1" t="str">
        <f t="shared" si="3"/>
        <v>Normal</v>
      </c>
      <c r="S64" s="4">
        <f t="shared" si="4"/>
        <v>85.4746158</v>
      </c>
      <c r="T64" s="1" t="str">
        <f t="shared" si="5"/>
        <v>Normal Cost</v>
      </c>
      <c r="U64" s="4">
        <f t="shared" si="6"/>
        <v>0.06297345069</v>
      </c>
    </row>
    <row r="65">
      <c r="A65" s="4" t="s">
        <v>192</v>
      </c>
      <c r="B65" s="4" t="s">
        <v>169</v>
      </c>
      <c r="C65" s="4">
        <v>940.1312</v>
      </c>
      <c r="D65" s="4" t="s">
        <v>17</v>
      </c>
      <c r="E65" s="4" t="s">
        <v>74</v>
      </c>
      <c r="F65" s="4">
        <v>67.13</v>
      </c>
      <c r="G65" s="4">
        <v>85.12</v>
      </c>
      <c r="H65" s="4">
        <v>3.6054564196E10</v>
      </c>
      <c r="I65" s="4">
        <v>3.7215668282E10</v>
      </c>
      <c r="J65" s="4" t="s">
        <v>193</v>
      </c>
      <c r="K65" s="4" t="s">
        <v>194</v>
      </c>
      <c r="L65" s="4">
        <v>7.7</v>
      </c>
      <c r="M65" s="4">
        <v>7239.01</v>
      </c>
      <c r="N65" s="4">
        <v>7239.0</v>
      </c>
      <c r="O65" s="4">
        <v>600837.0</v>
      </c>
      <c r="P65" s="4">
        <f t="shared" si="1"/>
        <v>117.6666667</v>
      </c>
      <c r="Q65" s="4" t="str">
        <f t="shared" si="2"/>
        <v>Normal</v>
      </c>
      <c r="R65" s="1" t="str">
        <f t="shared" si="3"/>
        <v>High</v>
      </c>
      <c r="S65" s="4">
        <f t="shared" si="4"/>
        <v>68.23822155</v>
      </c>
      <c r="T65" s="1" t="str">
        <f t="shared" si="5"/>
        <v>High Cost</v>
      </c>
      <c r="U65" s="4">
        <f t="shared" si="6"/>
        <v>0.01266982559</v>
      </c>
    </row>
    <row r="66">
      <c r="A66" s="4" t="s">
        <v>195</v>
      </c>
      <c r="B66" s="4" t="s">
        <v>53</v>
      </c>
      <c r="C66" s="4">
        <v>789.3788</v>
      </c>
      <c r="D66" s="4" t="s">
        <v>21</v>
      </c>
      <c r="E66" s="4" t="s">
        <v>74</v>
      </c>
      <c r="F66" s="4">
        <v>32.32</v>
      </c>
      <c r="G66" s="4">
        <v>14.03</v>
      </c>
      <c r="H66" s="4">
        <v>9.7102223452E10</v>
      </c>
      <c r="I66" s="6">
        <v>1.03176E11</v>
      </c>
      <c r="J66" s="5">
        <v>45359.96527777778</v>
      </c>
      <c r="K66" s="5">
        <v>45420.73472222222</v>
      </c>
      <c r="L66" s="4">
        <v>6.17</v>
      </c>
      <c r="M66" s="4">
        <v>4870.47</v>
      </c>
      <c r="N66" s="4">
        <v>4870.0</v>
      </c>
      <c r="O66" s="4">
        <v>404210.0</v>
      </c>
      <c r="P66" s="4">
        <f t="shared" si="1"/>
        <v>42.46666667</v>
      </c>
      <c r="Q66" s="4" t="str">
        <f t="shared" si="2"/>
        <v>Normal</v>
      </c>
      <c r="R66" s="1" t="str">
        <f t="shared" si="3"/>
        <v>Underutilized</v>
      </c>
      <c r="S66" s="6">
        <f t="shared" si="4"/>
        <v>186.5236307</v>
      </c>
      <c r="T66" s="1" t="str">
        <f t="shared" si="5"/>
        <v>High Cost</v>
      </c>
      <c r="U66" s="4">
        <f t="shared" si="6"/>
        <v>0.005733405903</v>
      </c>
    </row>
    <row r="67">
      <c r="A67" s="4" t="s">
        <v>196</v>
      </c>
      <c r="B67" s="4" t="s">
        <v>60</v>
      </c>
      <c r="C67" s="4">
        <v>64.1167</v>
      </c>
      <c r="D67" s="4" t="s">
        <v>42</v>
      </c>
      <c r="E67" s="4" t="s">
        <v>123</v>
      </c>
      <c r="F67" s="4">
        <v>46.3</v>
      </c>
      <c r="G67" s="4">
        <v>93.62</v>
      </c>
      <c r="H67" s="4">
        <v>6.652379505E10</v>
      </c>
      <c r="I67" s="4">
        <v>6.806967369E10</v>
      </c>
      <c r="J67" s="4" t="s">
        <v>197</v>
      </c>
      <c r="K67" s="4" t="s">
        <v>198</v>
      </c>
      <c r="L67" s="4">
        <v>2.07</v>
      </c>
      <c r="M67" s="4">
        <v>132.72</v>
      </c>
      <c r="N67" s="4">
        <v>133.0</v>
      </c>
      <c r="O67" s="4">
        <v>11039.0</v>
      </c>
      <c r="P67" s="4">
        <f t="shared" si="1"/>
        <v>64.11666667</v>
      </c>
      <c r="Q67" s="4" t="str">
        <f t="shared" si="2"/>
        <v>Normal</v>
      </c>
      <c r="R67" s="1" t="str">
        <f t="shared" si="3"/>
        <v>High</v>
      </c>
      <c r="S67" s="4">
        <f t="shared" si="4"/>
        <v>125.3499358</v>
      </c>
      <c r="T67" s="1" t="str">
        <f t="shared" si="5"/>
        <v>Normal Cost</v>
      </c>
      <c r="U67" s="4">
        <f t="shared" si="6"/>
        <v>0.6337530573</v>
      </c>
    </row>
    <row r="68">
      <c r="A68" s="4" t="s">
        <v>199</v>
      </c>
      <c r="B68" s="4" t="s">
        <v>26</v>
      </c>
      <c r="C68" s="4">
        <v>804.4451</v>
      </c>
      <c r="D68" s="4" t="s">
        <v>17</v>
      </c>
      <c r="E68" s="4" t="s">
        <v>58</v>
      </c>
      <c r="F68" s="4">
        <v>99.56</v>
      </c>
      <c r="G68" s="4">
        <v>53.42</v>
      </c>
      <c r="H68" s="4">
        <v>5.0602995142E10</v>
      </c>
      <c r="I68" s="4">
        <v>5.948653596E10</v>
      </c>
      <c r="J68" s="5">
        <v>45419.05069444444</v>
      </c>
      <c r="K68" s="5">
        <v>45450.29791666667</v>
      </c>
      <c r="L68" s="4">
        <v>6.8</v>
      </c>
      <c r="M68" s="4">
        <v>5470.23</v>
      </c>
      <c r="N68" s="4">
        <v>5470.0</v>
      </c>
      <c r="O68" s="4">
        <v>454010.0</v>
      </c>
      <c r="P68" s="4">
        <f t="shared" si="1"/>
        <v>29.93333333</v>
      </c>
      <c r="Q68" s="4" t="str">
        <f t="shared" si="2"/>
        <v>High</v>
      </c>
      <c r="R68" s="1" t="str">
        <f t="shared" si="3"/>
        <v>Normal</v>
      </c>
      <c r="S68" s="4">
        <f t="shared" si="4"/>
        <v>102.5288655</v>
      </c>
      <c r="T68" s="1" t="str">
        <f t="shared" si="5"/>
        <v>High Cost</v>
      </c>
      <c r="U68" s="4">
        <f t="shared" si="6"/>
        <v>0.01684764653</v>
      </c>
    </row>
    <row r="69">
      <c r="A69" s="4" t="s">
        <v>200</v>
      </c>
      <c r="B69" s="4" t="s">
        <v>128</v>
      </c>
      <c r="C69" s="4">
        <v>16.8701</v>
      </c>
      <c r="D69" s="4" t="s">
        <v>17</v>
      </c>
      <c r="E69" s="4" t="s">
        <v>37</v>
      </c>
      <c r="F69" s="4">
        <v>35.67</v>
      </c>
      <c r="G69" s="4">
        <v>78.98</v>
      </c>
      <c r="H69" s="4">
        <v>8.4728951352E10</v>
      </c>
      <c r="I69" s="4">
        <v>8.6143096111E10</v>
      </c>
      <c r="J69" s="4" t="s">
        <v>201</v>
      </c>
      <c r="K69" s="5">
        <v>45359.37152777778</v>
      </c>
      <c r="L69" s="4">
        <v>9.35</v>
      </c>
      <c r="M69" s="4">
        <v>157.74</v>
      </c>
      <c r="N69" s="4">
        <v>158.0</v>
      </c>
      <c r="O69" s="4">
        <v>13114.0</v>
      </c>
      <c r="P69" s="4">
        <f t="shared" si="1"/>
        <v>133.0333333</v>
      </c>
      <c r="Q69" s="4" t="str">
        <f t="shared" si="2"/>
        <v>Normal</v>
      </c>
      <c r="R69" s="1" t="str">
        <f t="shared" si="3"/>
        <v>High</v>
      </c>
      <c r="S69" s="4">
        <f t="shared" si="4"/>
        <v>159.1369952</v>
      </c>
      <c r="T69" s="1" t="str">
        <f t="shared" si="5"/>
        <v>Normal Cost</v>
      </c>
      <c r="U69" s="4">
        <f t="shared" si="6"/>
        <v>0.4371282599</v>
      </c>
    </row>
    <row r="70">
      <c r="A70" s="4" t="s">
        <v>202</v>
      </c>
      <c r="B70" s="4" t="s">
        <v>183</v>
      </c>
      <c r="C70" s="4">
        <v>86.0206</v>
      </c>
      <c r="D70" s="4" t="s">
        <v>17</v>
      </c>
      <c r="E70" s="4" t="s">
        <v>105</v>
      </c>
      <c r="F70" s="4">
        <v>0.17</v>
      </c>
      <c r="G70" s="4">
        <v>34.07</v>
      </c>
      <c r="H70" s="4">
        <v>4.991176366E9</v>
      </c>
      <c r="I70" s="4">
        <v>8.627486927E9</v>
      </c>
      <c r="J70" s="4" t="s">
        <v>203</v>
      </c>
      <c r="K70" s="4" t="s">
        <v>204</v>
      </c>
      <c r="L70" s="4">
        <v>8.54</v>
      </c>
      <c r="M70" s="4">
        <v>734.62</v>
      </c>
      <c r="N70" s="4">
        <v>735.0</v>
      </c>
      <c r="O70" s="4">
        <v>61005.0</v>
      </c>
      <c r="P70" s="4">
        <f t="shared" si="1"/>
        <v>103.2833333</v>
      </c>
      <c r="Q70" s="4" t="str">
        <f t="shared" si="2"/>
        <v>Underutilized</v>
      </c>
      <c r="R70" s="1" t="str">
        <f t="shared" si="3"/>
        <v>Underutilized</v>
      </c>
      <c r="S70" s="4">
        <f t="shared" si="4"/>
        <v>12.68336856</v>
      </c>
      <c r="T70" s="1" t="str">
        <f t="shared" si="5"/>
        <v>Normal Cost</v>
      </c>
      <c r="U70" s="4">
        <f t="shared" si="6"/>
        <v>0.0280632735</v>
      </c>
    </row>
    <row r="71">
      <c r="A71" s="4" t="s">
        <v>205</v>
      </c>
      <c r="B71" s="4" t="s">
        <v>16</v>
      </c>
      <c r="C71" s="4">
        <v>107.9329</v>
      </c>
      <c r="D71" s="4" t="s">
        <v>17</v>
      </c>
      <c r="E71" s="4" t="s">
        <v>27</v>
      </c>
      <c r="F71" s="4">
        <v>97.14</v>
      </c>
      <c r="G71" s="4">
        <v>54.14</v>
      </c>
      <c r="H71" s="4">
        <v>9.1345077372E10</v>
      </c>
      <c r="I71" s="4">
        <v>9.5871025046E10</v>
      </c>
      <c r="J71" s="5">
        <v>45450.47083333333</v>
      </c>
      <c r="K71" s="5">
        <v>45633.08611111111</v>
      </c>
      <c r="L71" s="4">
        <v>4.22</v>
      </c>
      <c r="M71" s="4">
        <v>455.48</v>
      </c>
      <c r="N71" s="4">
        <v>455.0</v>
      </c>
      <c r="O71" s="4">
        <v>37765.0</v>
      </c>
      <c r="P71" s="4">
        <f t="shared" si="1"/>
        <v>134.7666667</v>
      </c>
      <c r="Q71" s="4" t="str">
        <f t="shared" si="2"/>
        <v>High</v>
      </c>
      <c r="R71" s="1" t="str">
        <f t="shared" si="3"/>
        <v>Normal</v>
      </c>
      <c r="S71" s="4">
        <f t="shared" si="4"/>
        <v>174.3585825</v>
      </c>
      <c r="T71" s="1" t="str">
        <f t="shared" si="5"/>
        <v>Normal Cost</v>
      </c>
      <c r="U71" s="4">
        <f t="shared" si="6"/>
        <v>0.200291275</v>
      </c>
    </row>
    <row r="72">
      <c r="A72" s="4" t="s">
        <v>206</v>
      </c>
      <c r="B72" s="4" t="s">
        <v>83</v>
      </c>
      <c r="C72" s="4">
        <v>410.0347</v>
      </c>
      <c r="D72" s="4" t="s">
        <v>17</v>
      </c>
      <c r="E72" s="4" t="s">
        <v>18</v>
      </c>
      <c r="F72" s="4">
        <v>24.22</v>
      </c>
      <c r="G72" s="4">
        <v>20.83</v>
      </c>
      <c r="H72" s="4">
        <v>6.9278146151E10</v>
      </c>
      <c r="I72" s="4">
        <v>7.2893012474E10</v>
      </c>
      <c r="J72" s="5">
        <v>45480.708333333336</v>
      </c>
      <c r="K72" s="5">
        <v>45633.30694444444</v>
      </c>
      <c r="L72" s="4">
        <v>5.01</v>
      </c>
      <c r="M72" s="4">
        <v>2054.27</v>
      </c>
      <c r="N72" s="4">
        <v>2054.0</v>
      </c>
      <c r="O72" s="4">
        <v>170482.0</v>
      </c>
      <c r="P72" s="4">
        <f t="shared" si="1"/>
        <v>110.3666667</v>
      </c>
      <c r="Q72" s="4" t="str">
        <f t="shared" si="2"/>
        <v>Underutilized</v>
      </c>
      <c r="R72" s="1" t="str">
        <f t="shared" si="3"/>
        <v>Underutilized</v>
      </c>
      <c r="S72" s="4">
        <f t="shared" si="4"/>
        <v>132.4072095</v>
      </c>
      <c r="T72" s="1" t="str">
        <f t="shared" si="5"/>
        <v>Normal Cost</v>
      </c>
      <c r="U72" s="4">
        <f t="shared" si="6"/>
        <v>0.01321253857</v>
      </c>
    </row>
    <row r="73">
      <c r="A73" s="4" t="s">
        <v>207</v>
      </c>
      <c r="B73" s="4" t="s">
        <v>112</v>
      </c>
      <c r="C73" s="4">
        <v>58.0667</v>
      </c>
      <c r="D73" s="4" t="s">
        <v>42</v>
      </c>
      <c r="E73" s="4" t="s">
        <v>27</v>
      </c>
      <c r="F73" s="4">
        <v>21.65</v>
      </c>
      <c r="G73" s="4">
        <v>16.41</v>
      </c>
      <c r="H73" s="4">
        <v>6.419077674E9</v>
      </c>
      <c r="I73" s="4">
        <v>1.2557263383E10</v>
      </c>
      <c r="J73" s="4" t="s">
        <v>208</v>
      </c>
      <c r="K73" s="4" t="s">
        <v>209</v>
      </c>
      <c r="L73" s="4">
        <v>3.48</v>
      </c>
      <c r="M73" s="4">
        <v>202.07</v>
      </c>
      <c r="N73" s="4">
        <v>202.0</v>
      </c>
      <c r="O73" s="4">
        <v>16766.0</v>
      </c>
      <c r="P73" s="4">
        <f t="shared" si="1"/>
        <v>58.06666667</v>
      </c>
      <c r="Q73" s="4" t="str">
        <f t="shared" si="2"/>
        <v>Underutilized</v>
      </c>
      <c r="R73" s="1" t="str">
        <f t="shared" si="3"/>
        <v>Underutilized</v>
      </c>
      <c r="S73" s="4">
        <f t="shared" si="4"/>
        <v>17.67309481</v>
      </c>
      <c r="T73" s="1" t="str">
        <f t="shared" si="5"/>
        <v>Normal Cost</v>
      </c>
      <c r="U73" s="4">
        <f t="shared" si="6"/>
        <v>0.113503519</v>
      </c>
    </row>
    <row r="74">
      <c r="A74" s="4" t="s">
        <v>210</v>
      </c>
      <c r="B74" s="4" t="s">
        <v>79</v>
      </c>
      <c r="C74" s="4">
        <v>868.3373</v>
      </c>
      <c r="D74" s="4" t="s">
        <v>21</v>
      </c>
      <c r="E74" s="4" t="s">
        <v>32</v>
      </c>
      <c r="F74" s="4">
        <v>48.26</v>
      </c>
      <c r="G74" s="4">
        <v>26.13</v>
      </c>
      <c r="H74" s="4">
        <v>8.6582029073E10</v>
      </c>
      <c r="I74" s="4">
        <v>9.1881245355E10</v>
      </c>
      <c r="J74" s="4" t="s">
        <v>211</v>
      </c>
      <c r="K74" s="4" t="s">
        <v>212</v>
      </c>
      <c r="L74" s="4">
        <v>8.91</v>
      </c>
      <c r="M74" s="4">
        <v>7736.89</v>
      </c>
      <c r="N74" s="4">
        <v>7737.0</v>
      </c>
      <c r="O74" s="4">
        <v>642171.0</v>
      </c>
      <c r="P74" s="4">
        <f t="shared" si="1"/>
        <v>111.75</v>
      </c>
      <c r="Q74" s="4" t="str">
        <f t="shared" si="2"/>
        <v>Normal</v>
      </c>
      <c r="R74" s="1" t="str">
        <f t="shared" si="3"/>
        <v>Underutilized</v>
      </c>
      <c r="S74" s="4">
        <f t="shared" si="4"/>
        <v>166.2068762</v>
      </c>
      <c r="T74" s="1" t="str">
        <f t="shared" si="5"/>
        <v>High Cost</v>
      </c>
      <c r="U74" s="4">
        <f t="shared" si="6"/>
        <v>0.005792070959</v>
      </c>
    </row>
    <row r="75">
      <c r="A75" s="4" t="s">
        <v>213</v>
      </c>
      <c r="B75" s="4" t="s">
        <v>60</v>
      </c>
      <c r="C75" s="4">
        <v>103.5667</v>
      </c>
      <c r="D75" s="4" t="s">
        <v>42</v>
      </c>
      <c r="E75" s="4" t="s">
        <v>32</v>
      </c>
      <c r="F75" s="4">
        <v>64.54</v>
      </c>
      <c r="G75" s="4">
        <v>62.33</v>
      </c>
      <c r="H75" s="4">
        <v>7.6959968688E10</v>
      </c>
      <c r="I75" s="4">
        <v>8.4668376889E10</v>
      </c>
      <c r="J75" s="5">
        <v>45330.99652777778</v>
      </c>
      <c r="K75" s="5">
        <v>45481.31180555555</v>
      </c>
      <c r="L75" s="4">
        <v>4.88</v>
      </c>
      <c r="M75" s="4">
        <v>505.41</v>
      </c>
      <c r="N75" s="4">
        <v>505.0</v>
      </c>
      <c r="O75" s="4">
        <v>41915.0</v>
      </c>
      <c r="P75" s="4">
        <f t="shared" si="1"/>
        <v>103.5666667</v>
      </c>
      <c r="Q75" s="4" t="str">
        <f t="shared" si="2"/>
        <v>Normal</v>
      </c>
      <c r="R75" s="1" t="str">
        <f t="shared" si="3"/>
        <v>Normal</v>
      </c>
      <c r="S75" s="4">
        <f t="shared" si="4"/>
        <v>150.5281269</v>
      </c>
      <c r="T75" s="1" t="str">
        <f t="shared" si="5"/>
        <v>Normal Cost</v>
      </c>
      <c r="U75" s="4">
        <f t="shared" si="6"/>
        <v>0.1513420017</v>
      </c>
    </row>
    <row r="76">
      <c r="A76" s="4" t="s">
        <v>214</v>
      </c>
      <c r="B76" s="4" t="s">
        <v>66</v>
      </c>
      <c r="C76" s="4">
        <v>511.4297</v>
      </c>
      <c r="D76" s="4" t="s">
        <v>21</v>
      </c>
      <c r="E76" s="4" t="s">
        <v>18</v>
      </c>
      <c r="F76" s="4">
        <v>14.87</v>
      </c>
      <c r="G76" s="4">
        <v>73.22</v>
      </c>
      <c r="H76" s="4">
        <v>6.0637102983E10</v>
      </c>
      <c r="I76" s="4">
        <v>6.8397913897E10</v>
      </c>
      <c r="J76" s="4" t="s">
        <v>215</v>
      </c>
      <c r="K76" s="4" t="s">
        <v>216</v>
      </c>
      <c r="L76" s="4">
        <v>2.0</v>
      </c>
      <c r="M76" s="4">
        <v>1022.86</v>
      </c>
      <c r="N76" s="4">
        <v>1023.0</v>
      </c>
      <c r="O76" s="4">
        <v>84909.0</v>
      </c>
      <c r="P76" s="4">
        <f t="shared" si="1"/>
        <v>41.91666667</v>
      </c>
      <c r="Q76" s="4" t="str">
        <f t="shared" si="2"/>
        <v>Underutilized</v>
      </c>
      <c r="R76" s="1" t="str">
        <f t="shared" si="3"/>
        <v>Normal</v>
      </c>
      <c r="S76" s="4">
        <f t="shared" si="4"/>
        <v>120.1732241</v>
      </c>
      <c r="T76" s="1" t="str">
        <f t="shared" si="5"/>
        <v>Normal Cost</v>
      </c>
      <c r="U76" s="4">
        <f t="shared" si="6"/>
        <v>0.05187318188</v>
      </c>
    </row>
    <row r="77">
      <c r="A77" s="4" t="s">
        <v>217</v>
      </c>
      <c r="B77" s="4" t="s">
        <v>46</v>
      </c>
      <c r="C77" s="4">
        <v>536.385</v>
      </c>
      <c r="D77" s="4" t="s">
        <v>21</v>
      </c>
      <c r="E77" s="4" t="s">
        <v>37</v>
      </c>
      <c r="F77" s="4">
        <v>58.59</v>
      </c>
      <c r="G77" s="4">
        <v>56.39</v>
      </c>
      <c r="H77" s="4">
        <v>1.1254718888E10</v>
      </c>
      <c r="I77" s="4">
        <v>1.5903336432E10</v>
      </c>
      <c r="J77" s="4" t="s">
        <v>218</v>
      </c>
      <c r="K77" s="5">
        <v>45331.972916666666</v>
      </c>
      <c r="L77" s="4">
        <v>1.37</v>
      </c>
      <c r="M77" s="4">
        <v>734.85</v>
      </c>
      <c r="N77" s="4">
        <v>735.0</v>
      </c>
      <c r="O77" s="4">
        <v>61005.0</v>
      </c>
      <c r="P77" s="4">
        <f t="shared" si="1"/>
        <v>119.45</v>
      </c>
      <c r="Q77" s="4" t="str">
        <f t="shared" si="2"/>
        <v>Normal</v>
      </c>
      <c r="R77" s="1" t="str">
        <f t="shared" si="3"/>
        <v>Normal</v>
      </c>
      <c r="S77" s="4">
        <f t="shared" si="4"/>
        <v>25.29291</v>
      </c>
      <c r="T77" s="1" t="str">
        <f t="shared" si="5"/>
        <v>Normal Cost</v>
      </c>
      <c r="U77" s="4">
        <f t="shared" si="6"/>
        <v>0.0942381772</v>
      </c>
    </row>
    <row r="78">
      <c r="A78" s="4" t="s">
        <v>219</v>
      </c>
      <c r="B78" s="4" t="s">
        <v>62</v>
      </c>
      <c r="C78" s="4">
        <v>50.7833</v>
      </c>
      <c r="D78" s="4" t="s">
        <v>42</v>
      </c>
      <c r="E78" s="4" t="s">
        <v>32</v>
      </c>
      <c r="F78" s="4">
        <v>62.22</v>
      </c>
      <c r="G78" s="4">
        <v>76.15</v>
      </c>
      <c r="H78" s="4">
        <v>2.0012839291E10</v>
      </c>
      <c r="I78" s="4">
        <v>2.4993496937E10</v>
      </c>
      <c r="J78" s="4" t="s">
        <v>220</v>
      </c>
      <c r="K78" s="4" t="s">
        <v>221</v>
      </c>
      <c r="L78" s="4">
        <v>3.31</v>
      </c>
      <c r="M78" s="4">
        <v>168.09</v>
      </c>
      <c r="N78" s="4">
        <v>168.0</v>
      </c>
      <c r="O78" s="4">
        <v>13944.0</v>
      </c>
      <c r="P78" s="4">
        <f t="shared" si="1"/>
        <v>50.78333333</v>
      </c>
      <c r="Q78" s="4" t="str">
        <f t="shared" si="2"/>
        <v>Normal</v>
      </c>
      <c r="R78" s="1" t="str">
        <f t="shared" si="3"/>
        <v>High</v>
      </c>
      <c r="S78" s="4">
        <f t="shared" si="4"/>
        <v>41.91541693</v>
      </c>
      <c r="T78" s="1" t="str">
        <f t="shared" si="5"/>
        <v>Normal Cost</v>
      </c>
      <c r="U78" s="4">
        <f t="shared" si="6"/>
        <v>0.4961632243</v>
      </c>
    </row>
    <row r="79">
      <c r="A79" s="4" t="s">
        <v>222</v>
      </c>
      <c r="B79" s="4" t="s">
        <v>183</v>
      </c>
      <c r="C79" s="4">
        <v>755.6246</v>
      </c>
      <c r="D79" s="4" t="s">
        <v>21</v>
      </c>
      <c r="E79" s="4" t="s">
        <v>22</v>
      </c>
      <c r="F79" s="4">
        <v>40.49</v>
      </c>
      <c r="G79" s="4">
        <v>63.72</v>
      </c>
      <c r="H79" s="4">
        <v>9.4863560207E10</v>
      </c>
      <c r="I79" s="6">
        <v>1.02431E11</v>
      </c>
      <c r="J79" s="5">
        <v>45572.013194444444</v>
      </c>
      <c r="K79" s="4" t="s">
        <v>223</v>
      </c>
      <c r="L79" s="4">
        <v>7.33</v>
      </c>
      <c r="M79" s="4">
        <v>5538.73</v>
      </c>
      <c r="N79" s="4">
        <v>5539.0</v>
      </c>
      <c r="O79" s="4">
        <v>459737.0</v>
      </c>
      <c r="P79" s="4">
        <f t="shared" si="1"/>
        <v>78.45</v>
      </c>
      <c r="Q79" s="4" t="str">
        <f t="shared" si="2"/>
        <v>Normal</v>
      </c>
      <c r="R79" s="1" t="str">
        <f t="shared" si="3"/>
        <v>Normal</v>
      </c>
      <c r="S79" s="6">
        <f t="shared" si="4"/>
        <v>183.7448778</v>
      </c>
      <c r="T79" s="1" t="str">
        <f t="shared" si="5"/>
        <v>High Cost</v>
      </c>
      <c r="U79" s="4">
        <f t="shared" si="6"/>
        <v>0.01133365381</v>
      </c>
    </row>
    <row r="80">
      <c r="A80" s="4" t="s">
        <v>224</v>
      </c>
      <c r="B80" s="4" t="s">
        <v>122</v>
      </c>
      <c r="C80" s="4">
        <v>500.0325</v>
      </c>
      <c r="D80" s="4" t="s">
        <v>17</v>
      </c>
      <c r="E80" s="4" t="s">
        <v>70</v>
      </c>
      <c r="F80" s="4">
        <v>8.38</v>
      </c>
      <c r="G80" s="4">
        <v>45.3</v>
      </c>
      <c r="H80" s="4">
        <v>3.95751099E10</v>
      </c>
      <c r="I80" s="4">
        <v>4.8363862744E10</v>
      </c>
      <c r="J80" s="4" t="s">
        <v>225</v>
      </c>
      <c r="K80" s="4" t="s">
        <v>226</v>
      </c>
      <c r="L80" s="4">
        <v>2.46</v>
      </c>
      <c r="M80" s="4">
        <v>1230.08</v>
      </c>
      <c r="N80" s="4">
        <v>1230.0</v>
      </c>
      <c r="O80" s="4">
        <v>102090.0</v>
      </c>
      <c r="P80" s="4">
        <f t="shared" si="1"/>
        <v>100.0833333</v>
      </c>
      <c r="Q80" s="4" t="str">
        <f t="shared" si="2"/>
        <v>Underutilized</v>
      </c>
      <c r="R80" s="1" t="str">
        <f t="shared" si="3"/>
        <v>Normal</v>
      </c>
      <c r="S80" s="4">
        <f t="shared" si="4"/>
        <v>81.89955041</v>
      </c>
      <c r="T80" s="1" t="str">
        <f t="shared" si="5"/>
        <v>Normal Cost</v>
      </c>
      <c r="U80" s="4">
        <f t="shared" si="6"/>
        <v>0.02629052797</v>
      </c>
    </row>
    <row r="81">
      <c r="A81" s="4" t="s">
        <v>227</v>
      </c>
      <c r="B81" s="4" t="s">
        <v>83</v>
      </c>
      <c r="C81" s="4">
        <v>647.2573</v>
      </c>
      <c r="D81" s="4" t="s">
        <v>17</v>
      </c>
      <c r="E81" s="4" t="s">
        <v>22</v>
      </c>
      <c r="F81" s="4">
        <v>83.58</v>
      </c>
      <c r="G81" s="4">
        <v>21.8</v>
      </c>
      <c r="H81" s="4">
        <v>6.9192548519E10</v>
      </c>
      <c r="I81" s="4">
        <v>7.4267252272E10</v>
      </c>
      <c r="J81" s="4" t="s">
        <v>228</v>
      </c>
      <c r="K81" s="4" t="s">
        <v>229</v>
      </c>
      <c r="L81" s="4">
        <v>5.94</v>
      </c>
      <c r="M81" s="4">
        <v>3844.71</v>
      </c>
      <c r="N81" s="4">
        <v>3845.0</v>
      </c>
      <c r="O81" s="4">
        <v>319135.0</v>
      </c>
      <c r="P81" s="4">
        <f t="shared" si="1"/>
        <v>87.01666667</v>
      </c>
      <c r="Q81" s="4" t="str">
        <f t="shared" si="2"/>
        <v>High</v>
      </c>
      <c r="R81" s="1" t="str">
        <f t="shared" si="3"/>
        <v>Underutilized</v>
      </c>
      <c r="S81" s="4">
        <f t="shared" si="4"/>
        <v>133.607351</v>
      </c>
      <c r="T81" s="1" t="str">
        <f t="shared" si="5"/>
        <v>High Cost</v>
      </c>
      <c r="U81" s="4">
        <f t="shared" si="6"/>
        <v>0.01651025428</v>
      </c>
    </row>
    <row r="82">
      <c r="A82" s="4" t="s">
        <v>230</v>
      </c>
      <c r="B82" s="4" t="s">
        <v>36</v>
      </c>
      <c r="C82" s="4">
        <v>325.0195</v>
      </c>
      <c r="D82" s="4" t="s">
        <v>17</v>
      </c>
      <c r="E82" s="4" t="s">
        <v>27</v>
      </c>
      <c r="F82" s="4">
        <v>7.74</v>
      </c>
      <c r="G82" s="4">
        <v>32.63</v>
      </c>
      <c r="H82" s="4">
        <v>4.134917123E9</v>
      </c>
      <c r="I82" s="4">
        <v>1.1405712912E10</v>
      </c>
      <c r="J82" s="5">
        <v>45359.69652777778</v>
      </c>
      <c r="K82" s="5">
        <v>45512.91875</v>
      </c>
      <c r="L82" s="4">
        <v>9.87</v>
      </c>
      <c r="M82" s="4">
        <v>3207.94</v>
      </c>
      <c r="N82" s="4">
        <v>3208.0</v>
      </c>
      <c r="O82" s="4">
        <v>266264.0</v>
      </c>
      <c r="P82" s="4">
        <f t="shared" si="1"/>
        <v>125.3333333</v>
      </c>
      <c r="Q82" s="4" t="str">
        <f t="shared" si="2"/>
        <v>Underutilized</v>
      </c>
      <c r="R82" s="1" t="str">
        <f t="shared" si="3"/>
        <v>Underutilized</v>
      </c>
      <c r="S82" s="4">
        <f t="shared" si="4"/>
        <v>14.47333958</v>
      </c>
      <c r="T82" s="1" t="str">
        <f t="shared" si="5"/>
        <v>High Cost</v>
      </c>
      <c r="U82" s="4">
        <f t="shared" si="6"/>
        <v>0.007580822041</v>
      </c>
    </row>
    <row r="83">
      <c r="A83" s="4" t="s">
        <v>231</v>
      </c>
      <c r="B83" s="4" t="s">
        <v>16</v>
      </c>
      <c r="C83" s="4">
        <v>876.9623</v>
      </c>
      <c r="D83" s="4" t="s">
        <v>17</v>
      </c>
      <c r="E83" s="4" t="s">
        <v>58</v>
      </c>
      <c r="F83" s="4">
        <v>69.75</v>
      </c>
      <c r="G83" s="4">
        <v>67.91</v>
      </c>
      <c r="H83" s="4">
        <v>4.8325139711E10</v>
      </c>
      <c r="I83" s="4">
        <v>4.8893087132E10</v>
      </c>
      <c r="J83" s="5">
        <v>45450.69027777778</v>
      </c>
      <c r="K83" s="5">
        <v>45542.39791666667</v>
      </c>
      <c r="L83" s="4">
        <v>9.61</v>
      </c>
      <c r="M83" s="4">
        <v>8427.61</v>
      </c>
      <c r="N83" s="4">
        <v>8428.0</v>
      </c>
      <c r="O83" s="4">
        <v>699524.0</v>
      </c>
      <c r="P83" s="4">
        <f t="shared" si="1"/>
        <v>64.98333333</v>
      </c>
      <c r="Q83" s="4" t="str">
        <f t="shared" si="2"/>
        <v>Normal</v>
      </c>
      <c r="R83" s="1" t="str">
        <f t="shared" si="3"/>
        <v>Normal</v>
      </c>
      <c r="S83" s="4">
        <f t="shared" si="4"/>
        <v>90.54152932</v>
      </c>
      <c r="T83" s="1" t="str">
        <f t="shared" si="5"/>
        <v>High Cost</v>
      </c>
      <c r="U83" s="4">
        <f t="shared" si="6"/>
        <v>0.009839548036</v>
      </c>
    </row>
    <row r="84">
      <c r="A84" s="4" t="s">
        <v>232</v>
      </c>
      <c r="B84" s="4" t="s">
        <v>169</v>
      </c>
      <c r="C84" s="4">
        <v>324.1135</v>
      </c>
      <c r="D84" s="4" t="s">
        <v>21</v>
      </c>
      <c r="E84" s="4" t="s">
        <v>22</v>
      </c>
      <c r="F84" s="4">
        <v>53.21</v>
      </c>
      <c r="G84" s="4">
        <v>24.7</v>
      </c>
      <c r="H84" s="4">
        <v>5.6424730118E10</v>
      </c>
      <c r="I84" s="4">
        <v>6.4549627602E10</v>
      </c>
      <c r="J84" s="4" t="s">
        <v>233</v>
      </c>
      <c r="K84" s="4" t="s">
        <v>234</v>
      </c>
      <c r="L84" s="4">
        <v>9.12</v>
      </c>
      <c r="M84" s="4">
        <v>2955.92</v>
      </c>
      <c r="N84" s="4">
        <v>2956.0</v>
      </c>
      <c r="O84" s="4">
        <v>245348.0</v>
      </c>
      <c r="P84" s="4">
        <f t="shared" si="1"/>
        <v>86.5</v>
      </c>
      <c r="Q84" s="4" t="str">
        <f t="shared" si="2"/>
        <v>Normal</v>
      </c>
      <c r="R84" s="1" t="str">
        <f t="shared" si="3"/>
        <v>Underutilized</v>
      </c>
      <c r="S84" s="4">
        <f t="shared" si="4"/>
        <v>112.6661503</v>
      </c>
      <c r="T84" s="1" t="str">
        <f t="shared" si="5"/>
        <v>High Cost</v>
      </c>
      <c r="U84" s="4">
        <f t="shared" si="6"/>
        <v>0.01587744754</v>
      </c>
    </row>
    <row r="85">
      <c r="A85" s="4" t="s">
        <v>235</v>
      </c>
      <c r="B85" s="4" t="s">
        <v>46</v>
      </c>
      <c r="C85" s="4">
        <v>269.1385</v>
      </c>
      <c r="D85" s="4" t="s">
        <v>21</v>
      </c>
      <c r="E85" s="4" t="s">
        <v>105</v>
      </c>
      <c r="F85" s="4">
        <v>0.15</v>
      </c>
      <c r="G85" s="4">
        <v>73.37</v>
      </c>
      <c r="H85" s="4">
        <v>8.9921435525E10</v>
      </c>
      <c r="I85" s="4">
        <v>9.6947138575E10</v>
      </c>
      <c r="J85" s="4" t="s">
        <v>236</v>
      </c>
      <c r="K85" s="4" t="s">
        <v>237</v>
      </c>
      <c r="L85" s="4">
        <v>4.86</v>
      </c>
      <c r="M85" s="4">
        <v>1308.01</v>
      </c>
      <c r="N85" s="4">
        <v>1308.0</v>
      </c>
      <c r="O85" s="4">
        <v>108564.0</v>
      </c>
      <c r="P85" s="4">
        <f t="shared" si="1"/>
        <v>55.55</v>
      </c>
      <c r="Q85" s="4" t="str">
        <f t="shared" si="2"/>
        <v>Underutilized</v>
      </c>
      <c r="R85" s="1" t="str">
        <f t="shared" si="3"/>
        <v>Normal</v>
      </c>
      <c r="S85" s="4">
        <f t="shared" si="4"/>
        <v>174.0349215</v>
      </c>
      <c r="T85" s="1" t="str">
        <f t="shared" si="5"/>
        <v>Normal Cost</v>
      </c>
      <c r="U85" s="4">
        <f t="shared" si="6"/>
        <v>0.03386021149</v>
      </c>
    </row>
    <row r="86">
      <c r="A86" s="4" t="s">
        <v>238</v>
      </c>
      <c r="B86" s="4" t="s">
        <v>53</v>
      </c>
      <c r="C86" s="4">
        <v>955.6515</v>
      </c>
      <c r="D86" s="4" t="s">
        <v>21</v>
      </c>
      <c r="E86" s="4" t="s">
        <v>27</v>
      </c>
      <c r="F86" s="4">
        <v>17.81</v>
      </c>
      <c r="G86" s="4">
        <v>79.33</v>
      </c>
      <c r="H86" s="4">
        <v>1.9838594075E10</v>
      </c>
      <c r="I86" s="4">
        <v>1.9871372484E10</v>
      </c>
      <c r="J86" s="4" t="s">
        <v>239</v>
      </c>
      <c r="K86" s="4" t="s">
        <v>240</v>
      </c>
      <c r="L86" s="4">
        <v>2.79</v>
      </c>
      <c r="M86" s="4">
        <v>2666.27</v>
      </c>
      <c r="N86" s="4">
        <v>2666.0</v>
      </c>
      <c r="O86" s="4">
        <v>221278.0</v>
      </c>
      <c r="P86" s="4">
        <f t="shared" si="1"/>
        <v>42.18333333</v>
      </c>
      <c r="Q86" s="4" t="str">
        <f t="shared" si="2"/>
        <v>Underutilized</v>
      </c>
      <c r="R86" s="1" t="str">
        <f t="shared" si="3"/>
        <v>High</v>
      </c>
      <c r="S86" s="4">
        <f t="shared" si="4"/>
        <v>36.98278829</v>
      </c>
      <c r="T86" s="1" t="str">
        <f t="shared" si="5"/>
        <v>High Cost</v>
      </c>
      <c r="U86" s="4">
        <f t="shared" si="6"/>
        <v>0.02194976455</v>
      </c>
    </row>
    <row r="87">
      <c r="A87" s="4" t="s">
        <v>241</v>
      </c>
      <c r="B87" s="4" t="s">
        <v>66</v>
      </c>
      <c r="C87" s="4">
        <v>251.7631</v>
      </c>
      <c r="D87" s="4" t="s">
        <v>21</v>
      </c>
      <c r="E87" s="4" t="s">
        <v>74</v>
      </c>
      <c r="F87" s="4">
        <v>48.02</v>
      </c>
      <c r="G87" s="4">
        <v>36.94</v>
      </c>
      <c r="H87" s="4">
        <v>1.7720150775E10</v>
      </c>
      <c r="I87" s="4">
        <v>2.1629763823E10</v>
      </c>
      <c r="J87" s="5">
        <v>45480.58541666667</v>
      </c>
      <c r="K87" s="5">
        <v>45603.46527777778</v>
      </c>
      <c r="L87" s="4">
        <v>5.91</v>
      </c>
      <c r="M87" s="4">
        <v>1487.92</v>
      </c>
      <c r="N87" s="4">
        <v>1488.0</v>
      </c>
      <c r="O87" s="4">
        <v>123504.0</v>
      </c>
      <c r="P87" s="4">
        <f t="shared" si="1"/>
        <v>93.11666667</v>
      </c>
      <c r="Q87" s="4" t="str">
        <f t="shared" si="2"/>
        <v>Normal</v>
      </c>
      <c r="R87" s="1" t="str">
        <f t="shared" si="3"/>
        <v>Underutilized</v>
      </c>
      <c r="S87" s="4">
        <f t="shared" si="4"/>
        <v>36.64746377</v>
      </c>
      <c r="T87" s="1" t="str">
        <f t="shared" si="5"/>
        <v>Normal Cost</v>
      </c>
      <c r="U87" s="4">
        <f t="shared" si="6"/>
        <v>0.0343956471</v>
      </c>
    </row>
    <row r="88">
      <c r="A88" s="4" t="s">
        <v>242</v>
      </c>
      <c r="B88" s="4" t="s">
        <v>79</v>
      </c>
      <c r="C88" s="4">
        <v>474.1196</v>
      </c>
      <c r="D88" s="4" t="s">
        <v>21</v>
      </c>
      <c r="E88" s="4" t="s">
        <v>74</v>
      </c>
      <c r="F88" s="4">
        <v>99.31</v>
      </c>
      <c r="G88" s="4">
        <v>49.17</v>
      </c>
      <c r="H88" s="4">
        <v>2.3586761723E10</v>
      </c>
      <c r="I88" s="4">
        <v>2.3997356455E10</v>
      </c>
      <c r="J88" s="4" t="s">
        <v>243</v>
      </c>
      <c r="K88" s="4" t="s">
        <v>244</v>
      </c>
      <c r="L88" s="4">
        <v>9.93</v>
      </c>
      <c r="M88" s="4">
        <v>4708.01</v>
      </c>
      <c r="N88" s="4">
        <v>4708.0</v>
      </c>
      <c r="O88" s="4">
        <v>390764.0</v>
      </c>
      <c r="P88" s="4">
        <f t="shared" si="1"/>
        <v>90.11666667</v>
      </c>
      <c r="Q88" s="4" t="str">
        <f t="shared" si="2"/>
        <v>High</v>
      </c>
      <c r="R88" s="1" t="str">
        <f t="shared" si="3"/>
        <v>Normal</v>
      </c>
      <c r="S88" s="4">
        <f t="shared" si="4"/>
        <v>44.31616345</v>
      </c>
      <c r="T88" s="1" t="str">
        <f t="shared" si="5"/>
        <v>High Cost</v>
      </c>
      <c r="U88" s="4">
        <f t="shared" si="6"/>
        <v>0.01899867951</v>
      </c>
    </row>
    <row r="89">
      <c r="A89" s="4" t="s">
        <v>245</v>
      </c>
      <c r="B89" s="4" t="s">
        <v>183</v>
      </c>
      <c r="C89" s="4">
        <v>992.5085</v>
      </c>
      <c r="D89" s="4" t="s">
        <v>17</v>
      </c>
      <c r="E89" s="4" t="s">
        <v>74</v>
      </c>
      <c r="F89" s="4">
        <v>43.51</v>
      </c>
      <c r="G89" s="4">
        <v>62.0</v>
      </c>
      <c r="H89" s="4">
        <v>1.9452817894E10</v>
      </c>
      <c r="I89" s="4">
        <v>2.0430806523E10</v>
      </c>
      <c r="J89" s="5">
        <v>45634.20486111111</v>
      </c>
      <c r="K89" s="4" t="s">
        <v>246</v>
      </c>
      <c r="L89" s="4">
        <v>7.17</v>
      </c>
      <c r="M89" s="4">
        <v>7116.29</v>
      </c>
      <c r="N89" s="4">
        <v>7116.0</v>
      </c>
      <c r="O89" s="4">
        <v>590628.0</v>
      </c>
      <c r="P89" s="4">
        <f t="shared" si="1"/>
        <v>63.68333333</v>
      </c>
      <c r="Q89" s="4" t="str">
        <f t="shared" si="2"/>
        <v>Normal</v>
      </c>
      <c r="R89" s="1" t="str">
        <f t="shared" si="3"/>
        <v>Normal</v>
      </c>
      <c r="S89" s="4">
        <f t="shared" si="4"/>
        <v>37.14451978</v>
      </c>
      <c r="T89" s="1" t="str">
        <f t="shared" si="5"/>
        <v>High Cost</v>
      </c>
      <c r="U89" s="4">
        <f t="shared" si="6"/>
        <v>0.008932018123</v>
      </c>
    </row>
    <row r="90">
      <c r="A90" s="4" t="s">
        <v>247</v>
      </c>
      <c r="B90" s="4" t="s">
        <v>122</v>
      </c>
      <c r="C90" s="4">
        <v>531.6863</v>
      </c>
      <c r="D90" s="4" t="s">
        <v>21</v>
      </c>
      <c r="E90" s="4" t="s">
        <v>123</v>
      </c>
      <c r="F90" s="4">
        <v>53.93</v>
      </c>
      <c r="G90" s="4">
        <v>12.52</v>
      </c>
      <c r="H90" s="4">
        <v>3.696418486E9</v>
      </c>
      <c r="I90" s="4">
        <v>1.27766583E10</v>
      </c>
      <c r="J90" s="5">
        <v>45329.78194444445</v>
      </c>
      <c r="K90" s="5">
        <v>45480.10208333333</v>
      </c>
      <c r="L90" s="4">
        <v>9.6</v>
      </c>
      <c r="M90" s="4">
        <v>5104.19</v>
      </c>
      <c r="N90" s="4">
        <v>5104.0</v>
      </c>
      <c r="O90" s="4">
        <v>423632.0</v>
      </c>
      <c r="P90" s="4">
        <f t="shared" si="1"/>
        <v>103.6833333</v>
      </c>
      <c r="Q90" s="4" t="str">
        <f t="shared" si="2"/>
        <v>Normal</v>
      </c>
      <c r="R90" s="1" t="str">
        <f t="shared" si="3"/>
        <v>Underutilized</v>
      </c>
      <c r="S90" s="4">
        <f t="shared" si="4"/>
        <v>15.34174828</v>
      </c>
      <c r="T90" s="1" t="str">
        <f t="shared" si="5"/>
        <v>High Cost</v>
      </c>
      <c r="U90" s="4">
        <f t="shared" si="6"/>
        <v>0.007842891944</v>
      </c>
    </row>
    <row r="91">
      <c r="A91" s="4" t="s">
        <v>248</v>
      </c>
      <c r="B91" s="4" t="s">
        <v>41</v>
      </c>
      <c r="C91" s="4">
        <v>26.6167</v>
      </c>
      <c r="D91" s="4" t="s">
        <v>42</v>
      </c>
      <c r="E91" s="4" t="s">
        <v>74</v>
      </c>
      <c r="F91" s="4">
        <v>14.82</v>
      </c>
      <c r="G91" s="4">
        <v>44.84</v>
      </c>
      <c r="H91" s="4">
        <v>8.8644466509E10</v>
      </c>
      <c r="I91" s="4">
        <v>8.8993172945E10</v>
      </c>
      <c r="J91" s="5">
        <v>45512.20625</v>
      </c>
      <c r="K91" s="5">
        <v>45543.31527777778</v>
      </c>
      <c r="L91" s="4">
        <v>6.88</v>
      </c>
      <c r="M91" s="4">
        <v>183.12</v>
      </c>
      <c r="N91" s="4">
        <v>183.0</v>
      </c>
      <c r="O91" s="4">
        <v>15189.0</v>
      </c>
      <c r="P91" s="4">
        <f t="shared" si="1"/>
        <v>26.61666667</v>
      </c>
      <c r="Q91" s="4" t="str">
        <f t="shared" si="2"/>
        <v>Underutilized</v>
      </c>
      <c r="R91" s="1" t="str">
        <f t="shared" si="3"/>
        <v>Normal</v>
      </c>
      <c r="S91" s="4">
        <f t="shared" si="4"/>
        <v>165.4379437</v>
      </c>
      <c r="T91" s="1" t="str">
        <f t="shared" si="5"/>
        <v>Normal Cost</v>
      </c>
      <c r="U91" s="4">
        <f t="shared" si="6"/>
        <v>0.1963921259</v>
      </c>
    </row>
    <row r="92">
      <c r="A92" s="4" t="s">
        <v>249</v>
      </c>
      <c r="B92" s="4" t="s">
        <v>79</v>
      </c>
      <c r="C92" s="4">
        <v>555.9826</v>
      </c>
      <c r="D92" s="4" t="s">
        <v>17</v>
      </c>
      <c r="E92" s="4" t="s">
        <v>27</v>
      </c>
      <c r="F92" s="4">
        <v>2.24</v>
      </c>
      <c r="G92" s="4">
        <v>9.65</v>
      </c>
      <c r="H92" s="4">
        <v>3.0995393336E10</v>
      </c>
      <c r="I92" s="4">
        <v>3.4105264509E10</v>
      </c>
      <c r="J92" s="4" t="s">
        <v>250</v>
      </c>
      <c r="K92" s="4" t="s">
        <v>251</v>
      </c>
      <c r="L92" s="4">
        <v>4.35</v>
      </c>
      <c r="M92" s="4">
        <v>2418.52</v>
      </c>
      <c r="N92" s="4">
        <v>2419.0</v>
      </c>
      <c r="O92" s="4">
        <v>200777.0</v>
      </c>
      <c r="P92" s="4">
        <f t="shared" si="1"/>
        <v>51.98333333</v>
      </c>
      <c r="Q92" s="4" t="str">
        <f t="shared" si="2"/>
        <v>Underutilized</v>
      </c>
      <c r="R92" s="1" t="str">
        <f t="shared" si="3"/>
        <v>Underutilized</v>
      </c>
      <c r="S92" s="4">
        <f t="shared" si="4"/>
        <v>60.62971227</v>
      </c>
      <c r="T92" s="1" t="str">
        <f t="shared" si="5"/>
        <v>High Cost</v>
      </c>
      <c r="U92" s="4">
        <f t="shared" si="6"/>
        <v>0.002960996528</v>
      </c>
    </row>
    <row r="93">
      <c r="A93" s="4" t="s">
        <v>252</v>
      </c>
      <c r="B93" s="4" t="s">
        <v>183</v>
      </c>
      <c r="C93" s="4">
        <v>335.4807</v>
      </c>
      <c r="D93" s="4" t="s">
        <v>21</v>
      </c>
      <c r="E93" s="4" t="s">
        <v>105</v>
      </c>
      <c r="F93" s="4">
        <v>74.51</v>
      </c>
      <c r="G93" s="4">
        <v>0.51</v>
      </c>
      <c r="H93" s="4">
        <v>4.3819259319E10</v>
      </c>
      <c r="I93" s="4">
        <v>4.5650656604E10</v>
      </c>
      <c r="J93" s="4" t="s">
        <v>253</v>
      </c>
      <c r="K93" s="4" t="s">
        <v>254</v>
      </c>
      <c r="L93" s="4">
        <v>9.23</v>
      </c>
      <c r="M93" s="4">
        <v>3096.49</v>
      </c>
      <c r="N93" s="4">
        <v>3096.0</v>
      </c>
      <c r="O93" s="4">
        <v>256968.0</v>
      </c>
      <c r="P93" s="4">
        <f t="shared" si="1"/>
        <v>137.2666667</v>
      </c>
      <c r="Q93" s="4" t="str">
        <f t="shared" si="2"/>
        <v>High</v>
      </c>
      <c r="R93" s="1" t="str">
        <f t="shared" si="3"/>
        <v>Underutilized</v>
      </c>
      <c r="S93" s="4">
        <f t="shared" si="4"/>
        <v>83.32535245</v>
      </c>
      <c r="T93" s="1" t="str">
        <f t="shared" si="5"/>
        <v>High Cost</v>
      </c>
      <c r="U93" s="4">
        <f t="shared" si="6"/>
        <v>0.01459714828</v>
      </c>
    </row>
    <row r="94">
      <c r="A94" s="4" t="s">
        <v>255</v>
      </c>
      <c r="B94" s="4" t="s">
        <v>166</v>
      </c>
      <c r="C94" s="4">
        <v>906.43</v>
      </c>
      <c r="D94" s="4" t="s">
        <v>17</v>
      </c>
      <c r="E94" s="4" t="s">
        <v>54</v>
      </c>
      <c r="F94" s="4">
        <v>97.03</v>
      </c>
      <c r="G94" s="4">
        <v>1.48</v>
      </c>
      <c r="H94" s="4">
        <v>1.6632427891E10</v>
      </c>
      <c r="I94" s="4">
        <v>1.7804809971E10</v>
      </c>
      <c r="J94" s="5">
        <v>45542.38958333333</v>
      </c>
      <c r="K94" s="4" t="s">
        <v>256</v>
      </c>
      <c r="L94" s="4">
        <v>3.33</v>
      </c>
      <c r="M94" s="4">
        <v>3018.41</v>
      </c>
      <c r="N94" s="4">
        <v>3018.0</v>
      </c>
      <c r="O94" s="4">
        <v>250494.0</v>
      </c>
      <c r="P94" s="4">
        <f t="shared" si="1"/>
        <v>113.5166667</v>
      </c>
      <c r="Q94" s="4" t="str">
        <f t="shared" si="2"/>
        <v>High</v>
      </c>
      <c r="R94" s="1" t="str">
        <f t="shared" si="3"/>
        <v>Underutilized</v>
      </c>
      <c r="S94" s="4">
        <f t="shared" si="4"/>
        <v>32.07217703</v>
      </c>
      <c r="T94" s="1" t="str">
        <f t="shared" si="5"/>
        <v>High Cost</v>
      </c>
      <c r="U94" s="4">
        <f t="shared" si="6"/>
        <v>0.01966314562</v>
      </c>
    </row>
    <row r="95">
      <c r="A95" s="4" t="s">
        <v>257</v>
      </c>
      <c r="B95" s="4" t="s">
        <v>31</v>
      </c>
      <c r="C95" s="4">
        <v>385.5739</v>
      </c>
      <c r="D95" s="4" t="s">
        <v>17</v>
      </c>
      <c r="E95" s="4" t="s">
        <v>54</v>
      </c>
      <c r="F95" s="4">
        <v>69.4</v>
      </c>
      <c r="G95" s="4">
        <v>27.67</v>
      </c>
      <c r="H95" s="4">
        <v>6.2397005339E10</v>
      </c>
      <c r="I95" s="4">
        <v>7.2290287263E10</v>
      </c>
      <c r="J95" s="4" t="s">
        <v>258</v>
      </c>
      <c r="K95" s="4" t="s">
        <v>259</v>
      </c>
      <c r="L95" s="4">
        <v>4.56</v>
      </c>
      <c r="M95" s="4">
        <v>1758.22</v>
      </c>
      <c r="N95" s="4">
        <v>1758.0</v>
      </c>
      <c r="O95" s="4">
        <v>145914.0</v>
      </c>
      <c r="P95" s="4">
        <f t="shared" si="1"/>
        <v>108.2</v>
      </c>
      <c r="Q95" s="4" t="str">
        <f t="shared" si="2"/>
        <v>Normal</v>
      </c>
      <c r="R95" s="1" t="str">
        <f t="shared" si="3"/>
        <v>Underutilized</v>
      </c>
      <c r="S95" s="4">
        <f t="shared" si="4"/>
        <v>125.4373161</v>
      </c>
      <c r="T95" s="1" t="str">
        <f t="shared" si="5"/>
        <v>Normal Cost</v>
      </c>
      <c r="U95" s="4">
        <f t="shared" si="6"/>
        <v>0.03326274381</v>
      </c>
    </row>
    <row r="96">
      <c r="A96" s="4" t="s">
        <v>260</v>
      </c>
      <c r="B96" s="4" t="s">
        <v>41</v>
      </c>
      <c r="C96" s="4">
        <v>127.3833</v>
      </c>
      <c r="D96" s="4" t="s">
        <v>42</v>
      </c>
      <c r="E96" s="4" t="s">
        <v>155</v>
      </c>
      <c r="F96" s="4">
        <v>9.36</v>
      </c>
      <c r="G96" s="4">
        <v>66.82</v>
      </c>
      <c r="H96" s="4">
        <v>1.1088197445E10</v>
      </c>
      <c r="I96" s="4">
        <v>1.7528929285E10</v>
      </c>
      <c r="J96" s="5">
        <v>45573.72222222222</v>
      </c>
      <c r="K96" s="4" t="s">
        <v>261</v>
      </c>
      <c r="L96" s="4">
        <v>9.75</v>
      </c>
      <c r="M96" s="4">
        <v>1241.99</v>
      </c>
      <c r="N96" s="4">
        <v>1242.0</v>
      </c>
      <c r="O96" s="4">
        <v>103086.0</v>
      </c>
      <c r="P96" s="4">
        <f t="shared" si="1"/>
        <v>127.3833333</v>
      </c>
      <c r="Q96" s="4" t="str">
        <f t="shared" si="2"/>
        <v>Underutilized</v>
      </c>
      <c r="R96" s="1" t="str">
        <f t="shared" si="3"/>
        <v>Normal</v>
      </c>
      <c r="S96" s="4">
        <f t="shared" si="4"/>
        <v>26.65177614</v>
      </c>
      <c r="T96" s="1" t="str">
        <f t="shared" si="5"/>
        <v>Normal Cost</v>
      </c>
      <c r="U96" s="4">
        <f t="shared" si="6"/>
        <v>0.03694973129</v>
      </c>
    </row>
    <row r="97">
      <c r="A97" s="4" t="s">
        <v>262</v>
      </c>
      <c r="B97" s="4" t="s">
        <v>36</v>
      </c>
      <c r="C97" s="4">
        <v>587.1242</v>
      </c>
      <c r="D97" s="4" t="s">
        <v>21</v>
      </c>
      <c r="E97" s="4" t="s">
        <v>22</v>
      </c>
      <c r="F97" s="4">
        <v>24.73</v>
      </c>
      <c r="G97" s="4">
        <v>11.63</v>
      </c>
      <c r="H97" s="4">
        <v>3.8218995247E10</v>
      </c>
      <c r="I97" s="4">
        <v>4.6836316447E10</v>
      </c>
      <c r="J97" s="5">
        <v>45329.04027777778</v>
      </c>
      <c r="K97" s="5">
        <v>45450.05069444444</v>
      </c>
      <c r="L97" s="4">
        <v>6.25</v>
      </c>
      <c r="M97" s="4">
        <v>3669.53</v>
      </c>
      <c r="N97" s="4">
        <v>3670.0</v>
      </c>
      <c r="O97" s="4">
        <v>304610.0</v>
      </c>
      <c r="P97" s="4">
        <f t="shared" si="1"/>
        <v>96.25</v>
      </c>
      <c r="Q97" s="4" t="str">
        <f t="shared" si="2"/>
        <v>Underutilized</v>
      </c>
      <c r="R97" s="1" t="str">
        <f t="shared" si="3"/>
        <v>Underutilized</v>
      </c>
      <c r="S97" s="4">
        <f t="shared" si="4"/>
        <v>79.21393187</v>
      </c>
      <c r="T97" s="1" t="str">
        <f t="shared" si="5"/>
        <v>High Cost</v>
      </c>
      <c r="U97" s="4">
        <f t="shared" si="6"/>
        <v>0.005968287318</v>
      </c>
    </row>
    <row r="98">
      <c r="A98" s="4" t="s">
        <v>263</v>
      </c>
      <c r="B98" s="4" t="s">
        <v>128</v>
      </c>
      <c r="C98" s="4">
        <v>385.5698</v>
      </c>
      <c r="D98" s="4" t="s">
        <v>17</v>
      </c>
      <c r="E98" s="4" t="s">
        <v>22</v>
      </c>
      <c r="F98" s="4">
        <v>92.06</v>
      </c>
      <c r="G98" s="4">
        <v>55.33</v>
      </c>
      <c r="H98" s="4">
        <v>2.8186130091E10</v>
      </c>
      <c r="I98" s="4">
        <v>3.6292243677E10</v>
      </c>
      <c r="J98" s="4" t="s">
        <v>264</v>
      </c>
      <c r="K98" s="4" t="s">
        <v>265</v>
      </c>
      <c r="L98" s="4">
        <v>7.44</v>
      </c>
      <c r="M98" s="4">
        <v>2868.64</v>
      </c>
      <c r="N98" s="4">
        <v>2869.0</v>
      </c>
      <c r="O98" s="4">
        <v>238127.0</v>
      </c>
      <c r="P98" s="4">
        <f t="shared" si="1"/>
        <v>69.63333333</v>
      </c>
      <c r="Q98" s="4" t="str">
        <f t="shared" si="2"/>
        <v>High</v>
      </c>
      <c r="R98" s="1" t="str">
        <f t="shared" si="3"/>
        <v>Normal</v>
      </c>
      <c r="S98" s="4">
        <f t="shared" si="4"/>
        <v>60.05016506</v>
      </c>
      <c r="T98" s="1" t="str">
        <f t="shared" si="5"/>
        <v>High Cost</v>
      </c>
      <c r="U98" s="4">
        <f t="shared" si="6"/>
        <v>0.03094777157</v>
      </c>
    </row>
    <row r="99">
      <c r="A99" s="4" t="s">
        <v>266</v>
      </c>
      <c r="B99" s="4" t="s">
        <v>147</v>
      </c>
      <c r="C99" s="4">
        <v>85.8</v>
      </c>
      <c r="D99" s="4" t="s">
        <v>42</v>
      </c>
      <c r="E99" s="4" t="s">
        <v>70</v>
      </c>
      <c r="F99" s="4">
        <v>56.82</v>
      </c>
      <c r="G99" s="4">
        <v>65.99</v>
      </c>
      <c r="H99" s="4">
        <v>3.3548048805E10</v>
      </c>
      <c r="I99" s="4">
        <v>3.6196607093E10</v>
      </c>
      <c r="J99" s="4" t="s">
        <v>267</v>
      </c>
      <c r="K99" s="5">
        <v>45389.35763888889</v>
      </c>
      <c r="L99" s="4">
        <v>2.15</v>
      </c>
      <c r="M99" s="4">
        <v>184.47</v>
      </c>
      <c r="N99" s="4">
        <v>184.0</v>
      </c>
      <c r="O99" s="4">
        <v>15272.0</v>
      </c>
      <c r="P99" s="4">
        <f t="shared" si="1"/>
        <v>85.8</v>
      </c>
      <c r="Q99" s="4" t="str">
        <f t="shared" si="2"/>
        <v>Normal</v>
      </c>
      <c r="R99" s="1" t="str">
        <f t="shared" si="3"/>
        <v>Normal</v>
      </c>
      <c r="S99" s="4">
        <f t="shared" si="4"/>
        <v>64.9547725</v>
      </c>
      <c r="T99" s="1" t="str">
        <f t="shared" si="5"/>
        <v>Normal Cost</v>
      </c>
      <c r="U99" s="4">
        <f t="shared" si="6"/>
        <v>0.4020756941</v>
      </c>
    </row>
    <row r="100">
      <c r="A100" s="4" t="s">
        <v>268</v>
      </c>
      <c r="B100" s="4" t="s">
        <v>41</v>
      </c>
      <c r="C100" s="4">
        <v>135.0333</v>
      </c>
      <c r="D100" s="4" t="s">
        <v>42</v>
      </c>
      <c r="E100" s="4" t="s">
        <v>27</v>
      </c>
      <c r="F100" s="4">
        <v>88.6</v>
      </c>
      <c r="G100" s="4">
        <v>1.48</v>
      </c>
      <c r="H100" s="4">
        <v>1.5437392711E10</v>
      </c>
      <c r="I100" s="4">
        <v>1.869210546E10</v>
      </c>
      <c r="J100" s="5">
        <v>45634.9375</v>
      </c>
      <c r="K100" s="4" t="s">
        <v>269</v>
      </c>
      <c r="L100" s="4">
        <v>2.27</v>
      </c>
      <c r="M100" s="4">
        <v>306.53</v>
      </c>
      <c r="N100" s="4">
        <v>307.0</v>
      </c>
      <c r="O100" s="4">
        <v>25481.0</v>
      </c>
      <c r="P100" s="4">
        <f t="shared" si="1"/>
        <v>135.0333333</v>
      </c>
      <c r="Q100" s="4" t="str">
        <f t="shared" si="2"/>
        <v>High</v>
      </c>
      <c r="R100" s="1" t="str">
        <f t="shared" si="3"/>
        <v>Underutilized</v>
      </c>
      <c r="S100" s="4">
        <f t="shared" si="4"/>
        <v>31.78557211</v>
      </c>
      <c r="T100" s="1" t="str">
        <f t="shared" si="5"/>
        <v>Normal Cost</v>
      </c>
      <c r="U100" s="4">
        <f t="shared" si="6"/>
        <v>0.1767591539</v>
      </c>
    </row>
    <row r="101">
      <c r="A101" s="4" t="s">
        <v>270</v>
      </c>
      <c r="B101" s="4" t="s">
        <v>57</v>
      </c>
      <c r="C101" s="4">
        <v>597.679</v>
      </c>
      <c r="D101" s="4" t="s">
        <v>17</v>
      </c>
      <c r="E101" s="4" t="s">
        <v>155</v>
      </c>
      <c r="F101" s="4">
        <v>35.52</v>
      </c>
      <c r="G101" s="4">
        <v>38.97</v>
      </c>
      <c r="H101" s="4">
        <v>2.044183245E10</v>
      </c>
      <c r="I101" s="4">
        <v>2.9605942425E10</v>
      </c>
      <c r="J101" s="4" t="s">
        <v>271</v>
      </c>
      <c r="K101" s="5">
        <v>45299.59583333333</v>
      </c>
      <c r="L101" s="4">
        <v>8.21</v>
      </c>
      <c r="M101" s="4">
        <v>4906.94</v>
      </c>
      <c r="N101" s="4">
        <v>4907.0</v>
      </c>
      <c r="O101" s="4">
        <v>407281.0</v>
      </c>
      <c r="P101" s="4">
        <f t="shared" si="1"/>
        <v>48.21666667</v>
      </c>
      <c r="Q101" s="4" t="str">
        <f t="shared" si="2"/>
        <v>Normal</v>
      </c>
      <c r="R101" s="1" t="str">
        <f t="shared" si="3"/>
        <v>Underutilized</v>
      </c>
      <c r="S101" s="4">
        <f t="shared" si="4"/>
        <v>46.61062255</v>
      </c>
      <c r="T101" s="1" t="str">
        <f t="shared" si="5"/>
        <v>High Cost</v>
      </c>
      <c r="U101" s="4">
        <f t="shared" si="6"/>
        <v>0.009144791925</v>
      </c>
    </row>
    <row r="102">
      <c r="A102" s="4" t="s">
        <v>272</v>
      </c>
      <c r="B102" s="4" t="s">
        <v>273</v>
      </c>
      <c r="C102" s="4">
        <v>359.8386</v>
      </c>
      <c r="D102" s="4" t="s">
        <v>21</v>
      </c>
      <c r="E102" s="4" t="s">
        <v>54</v>
      </c>
      <c r="F102" s="4">
        <v>95.36</v>
      </c>
      <c r="G102" s="4">
        <v>86.53</v>
      </c>
      <c r="H102" s="4">
        <v>7.6642890596E10</v>
      </c>
      <c r="I102" s="4">
        <v>8.5066947042E10</v>
      </c>
      <c r="J102" s="4" t="s">
        <v>274</v>
      </c>
      <c r="K102" s="4" t="s">
        <v>275</v>
      </c>
      <c r="L102" s="4">
        <v>2.38</v>
      </c>
      <c r="M102" s="4">
        <v>856.42</v>
      </c>
      <c r="N102" s="4">
        <v>856.0</v>
      </c>
      <c r="O102" s="4">
        <v>71048.0</v>
      </c>
      <c r="P102" s="4">
        <f t="shared" si="1"/>
        <v>104.5</v>
      </c>
      <c r="Q102" s="4" t="str">
        <f t="shared" si="2"/>
        <v>High</v>
      </c>
      <c r="R102" s="1" t="str">
        <f t="shared" si="3"/>
        <v>High</v>
      </c>
      <c r="S102" s="4">
        <f t="shared" si="4"/>
        <v>150.6040223</v>
      </c>
      <c r="T102" s="1" t="str">
        <f t="shared" si="5"/>
        <v>Normal Cost</v>
      </c>
      <c r="U102" s="4">
        <f t="shared" si="6"/>
        <v>0.1280050107</v>
      </c>
    </row>
    <row r="103">
      <c r="A103" s="4" t="s">
        <v>276</v>
      </c>
      <c r="B103" s="4" t="s">
        <v>99</v>
      </c>
      <c r="C103" s="4">
        <v>419.7798</v>
      </c>
      <c r="D103" s="4" t="s">
        <v>21</v>
      </c>
      <c r="E103" s="4" t="s">
        <v>27</v>
      </c>
      <c r="F103" s="4">
        <v>32.05</v>
      </c>
      <c r="G103" s="4">
        <v>19.1</v>
      </c>
      <c r="H103" s="4">
        <v>4.6826161996E10</v>
      </c>
      <c r="I103" s="4">
        <v>5.2000297359E10</v>
      </c>
      <c r="J103" s="4" t="s">
        <v>277</v>
      </c>
      <c r="K103" s="4" t="s">
        <v>278</v>
      </c>
      <c r="L103" s="4">
        <v>3.69</v>
      </c>
      <c r="M103" s="4">
        <v>1548.99</v>
      </c>
      <c r="N103" s="4">
        <v>1549.0</v>
      </c>
      <c r="O103" s="4">
        <v>128567.0</v>
      </c>
      <c r="P103" s="4">
        <f t="shared" si="1"/>
        <v>48.85</v>
      </c>
      <c r="Q103" s="4" t="str">
        <f t="shared" si="2"/>
        <v>Normal</v>
      </c>
      <c r="R103" s="1" t="str">
        <f t="shared" si="3"/>
        <v>Underutilized</v>
      </c>
      <c r="S103" s="4">
        <f t="shared" si="4"/>
        <v>92.03931257</v>
      </c>
      <c r="T103" s="1" t="str">
        <f t="shared" si="5"/>
        <v>Normal Cost</v>
      </c>
      <c r="U103" s="4">
        <f t="shared" si="6"/>
        <v>0.01989235185</v>
      </c>
    </row>
    <row r="104">
      <c r="A104" s="4" t="s">
        <v>279</v>
      </c>
      <c r="B104" s="4" t="s">
        <v>122</v>
      </c>
      <c r="C104" s="4">
        <v>491.2257</v>
      </c>
      <c r="D104" s="4" t="s">
        <v>21</v>
      </c>
      <c r="E104" s="4" t="s">
        <v>18</v>
      </c>
      <c r="F104" s="4">
        <v>43.21</v>
      </c>
      <c r="G104" s="4">
        <v>68.35</v>
      </c>
      <c r="H104" s="4">
        <v>8.6188507705E10</v>
      </c>
      <c r="I104" s="4">
        <v>8.9910078944E10</v>
      </c>
      <c r="J104" s="4" t="s">
        <v>280</v>
      </c>
      <c r="K104" s="4" t="s">
        <v>281</v>
      </c>
      <c r="L104" s="4">
        <v>4.67</v>
      </c>
      <c r="M104" s="4">
        <v>2294.02</v>
      </c>
      <c r="N104" s="4">
        <v>2294.0</v>
      </c>
      <c r="O104" s="4">
        <v>190402.0</v>
      </c>
      <c r="P104" s="4">
        <f t="shared" si="1"/>
        <v>63.2</v>
      </c>
      <c r="Q104" s="4" t="str">
        <f t="shared" si="2"/>
        <v>Normal</v>
      </c>
      <c r="R104" s="1" t="str">
        <f t="shared" si="3"/>
        <v>Normal</v>
      </c>
      <c r="S104" s="4">
        <f t="shared" si="4"/>
        <v>164.0045891</v>
      </c>
      <c r="T104" s="1" t="str">
        <f t="shared" si="5"/>
        <v>High Cost</v>
      </c>
      <c r="U104" s="4">
        <f t="shared" si="6"/>
        <v>0.02929591076</v>
      </c>
    </row>
    <row r="105">
      <c r="A105" s="4" t="s">
        <v>282</v>
      </c>
      <c r="B105" s="4" t="s">
        <v>60</v>
      </c>
      <c r="C105" s="4">
        <v>91.8667</v>
      </c>
      <c r="D105" s="4" t="s">
        <v>42</v>
      </c>
      <c r="E105" s="4" t="s">
        <v>54</v>
      </c>
      <c r="F105" s="4">
        <v>32.28</v>
      </c>
      <c r="G105" s="4">
        <v>84.95</v>
      </c>
      <c r="H105" s="4">
        <v>9.0325073305E10</v>
      </c>
      <c r="I105" s="4">
        <v>9.6842013834E10</v>
      </c>
      <c r="J105" s="4" t="s">
        <v>283</v>
      </c>
      <c r="K105" s="4" t="s">
        <v>284</v>
      </c>
      <c r="L105" s="4">
        <v>9.97</v>
      </c>
      <c r="M105" s="4">
        <v>915.91</v>
      </c>
      <c r="N105" s="4">
        <v>916.0</v>
      </c>
      <c r="O105" s="4">
        <v>76028.0</v>
      </c>
      <c r="P105" s="4">
        <f t="shared" si="1"/>
        <v>91.86666667</v>
      </c>
      <c r="Q105" s="4" t="str">
        <f t="shared" si="2"/>
        <v>Normal</v>
      </c>
      <c r="R105" s="1" t="str">
        <f t="shared" si="3"/>
        <v>High</v>
      </c>
      <c r="S105" s="4">
        <f t="shared" si="4"/>
        <v>174.3129335</v>
      </c>
      <c r="T105" s="1" t="str">
        <f t="shared" si="5"/>
        <v>Normal Cost</v>
      </c>
      <c r="U105" s="4">
        <f t="shared" si="6"/>
        <v>0.07709659599</v>
      </c>
    </row>
    <row r="106">
      <c r="A106" s="4" t="s">
        <v>285</v>
      </c>
      <c r="B106" s="4" t="s">
        <v>46</v>
      </c>
      <c r="C106" s="4">
        <v>450.6231</v>
      </c>
      <c r="D106" s="4" t="s">
        <v>17</v>
      </c>
      <c r="E106" s="4" t="s">
        <v>123</v>
      </c>
      <c r="F106" s="4">
        <v>60.91</v>
      </c>
      <c r="G106" s="4">
        <v>22.03</v>
      </c>
      <c r="H106" s="4">
        <v>9.8546508449E10</v>
      </c>
      <c r="I106" s="6">
        <v>1.03155E11</v>
      </c>
      <c r="J106" s="5">
        <v>45330.65972222222</v>
      </c>
      <c r="K106" s="5">
        <v>45420.364583333336</v>
      </c>
      <c r="L106" s="4">
        <v>5.7</v>
      </c>
      <c r="M106" s="4">
        <v>2568.55</v>
      </c>
      <c r="N106" s="4">
        <v>2569.0</v>
      </c>
      <c r="O106" s="4">
        <v>213227.0</v>
      </c>
      <c r="P106" s="4">
        <f t="shared" si="1"/>
        <v>64.91666667</v>
      </c>
      <c r="Q106" s="4" t="str">
        <f t="shared" si="2"/>
        <v>Normal</v>
      </c>
      <c r="R106" s="1" t="str">
        <f t="shared" si="3"/>
        <v>Underutilized</v>
      </c>
      <c r="S106" s="6">
        <f t="shared" si="4"/>
        <v>187.8491682</v>
      </c>
      <c r="T106" s="1" t="str">
        <f t="shared" si="5"/>
        <v>High Cost</v>
      </c>
      <c r="U106" s="4">
        <f t="shared" si="6"/>
        <v>0.01944875649</v>
      </c>
    </row>
    <row r="107">
      <c r="A107" s="4" t="s">
        <v>286</v>
      </c>
      <c r="B107" s="4" t="s">
        <v>36</v>
      </c>
      <c r="C107" s="4">
        <v>531.0639</v>
      </c>
      <c r="D107" s="4" t="s">
        <v>17</v>
      </c>
      <c r="E107" s="4" t="s">
        <v>70</v>
      </c>
      <c r="F107" s="4">
        <v>75.38</v>
      </c>
      <c r="G107" s="4">
        <v>12.43</v>
      </c>
      <c r="H107" s="4">
        <v>3.9898883632E10</v>
      </c>
      <c r="I107" s="4">
        <v>4.893209691E10</v>
      </c>
      <c r="J107" s="5">
        <v>45298.4125</v>
      </c>
      <c r="K107" s="5">
        <v>45419.44097222222</v>
      </c>
      <c r="L107" s="4">
        <v>2.85</v>
      </c>
      <c r="M107" s="4">
        <v>1513.53</v>
      </c>
      <c r="N107" s="4">
        <v>1514.0</v>
      </c>
      <c r="O107" s="4">
        <v>125662.0</v>
      </c>
      <c r="P107" s="4">
        <f t="shared" si="1"/>
        <v>96.68333333</v>
      </c>
      <c r="Q107" s="4" t="str">
        <f t="shared" si="2"/>
        <v>High</v>
      </c>
      <c r="R107" s="1" t="str">
        <f t="shared" si="3"/>
        <v>Underutilized</v>
      </c>
      <c r="S107" s="4">
        <f t="shared" si="4"/>
        <v>82.7302975</v>
      </c>
      <c r="T107" s="1" t="str">
        <f t="shared" si="5"/>
        <v>Normal Cost</v>
      </c>
      <c r="U107" s="4">
        <f t="shared" si="6"/>
        <v>0.03493896325</v>
      </c>
    </row>
    <row r="108">
      <c r="A108" s="4" t="s">
        <v>287</v>
      </c>
      <c r="B108" s="4" t="s">
        <v>46</v>
      </c>
      <c r="C108" s="4">
        <v>478.0201</v>
      </c>
      <c r="D108" s="4" t="s">
        <v>21</v>
      </c>
      <c r="E108" s="4" t="s">
        <v>37</v>
      </c>
      <c r="F108" s="4">
        <v>45.44</v>
      </c>
      <c r="G108" s="4">
        <v>58.32</v>
      </c>
      <c r="H108" s="4">
        <v>4.7088754447E10</v>
      </c>
      <c r="I108" s="4">
        <v>4.7787130207E10</v>
      </c>
      <c r="J108" s="4" t="s">
        <v>288</v>
      </c>
      <c r="K108" s="4" t="s">
        <v>289</v>
      </c>
      <c r="L108" s="4">
        <v>4.51</v>
      </c>
      <c r="M108" s="4">
        <v>2155.87</v>
      </c>
      <c r="N108" s="4">
        <v>2156.0</v>
      </c>
      <c r="O108" s="4">
        <v>178948.0</v>
      </c>
      <c r="P108" s="4">
        <f t="shared" si="1"/>
        <v>63.6</v>
      </c>
      <c r="Q108" s="4" t="str">
        <f t="shared" si="2"/>
        <v>Normal</v>
      </c>
      <c r="R108" s="1" t="str">
        <f t="shared" si="3"/>
        <v>Normal</v>
      </c>
      <c r="S108" s="4">
        <f t="shared" si="4"/>
        <v>88.36005316</v>
      </c>
      <c r="T108" s="1" t="str">
        <f t="shared" si="5"/>
        <v>High Cost</v>
      </c>
      <c r="U108" s="4">
        <f t="shared" si="6"/>
        <v>0.02899166238</v>
      </c>
    </row>
    <row r="109">
      <c r="A109" s="4" t="s">
        <v>290</v>
      </c>
      <c r="B109" s="4" t="s">
        <v>139</v>
      </c>
      <c r="C109" s="4">
        <v>129.2667</v>
      </c>
      <c r="D109" s="4" t="s">
        <v>42</v>
      </c>
      <c r="E109" s="4" t="s">
        <v>27</v>
      </c>
      <c r="F109" s="4">
        <v>48.49</v>
      </c>
      <c r="G109" s="4">
        <v>79.99</v>
      </c>
      <c r="H109" s="4">
        <v>1.8073950898E10</v>
      </c>
      <c r="I109" s="4">
        <v>2.5067618553E10</v>
      </c>
      <c r="J109" s="4" t="s">
        <v>291</v>
      </c>
      <c r="K109" s="4" t="s">
        <v>292</v>
      </c>
      <c r="L109" s="4">
        <v>2.79</v>
      </c>
      <c r="M109" s="4">
        <v>360.65</v>
      </c>
      <c r="N109" s="4">
        <v>361.0</v>
      </c>
      <c r="O109" s="4">
        <v>29963.0</v>
      </c>
      <c r="P109" s="4">
        <f t="shared" si="1"/>
        <v>129.2666667</v>
      </c>
      <c r="Q109" s="4" t="str">
        <f t="shared" si="2"/>
        <v>Normal</v>
      </c>
      <c r="R109" s="1" t="str">
        <f t="shared" si="3"/>
        <v>High</v>
      </c>
      <c r="S109" s="4">
        <f t="shared" si="4"/>
        <v>40.17871753</v>
      </c>
      <c r="T109" s="1" t="str">
        <f t="shared" si="5"/>
        <v>Normal Cost</v>
      </c>
      <c r="U109" s="4">
        <f t="shared" si="6"/>
        <v>0.2143977572</v>
      </c>
    </row>
    <row r="110">
      <c r="A110" s="4" t="s">
        <v>293</v>
      </c>
      <c r="B110" s="4" t="s">
        <v>20</v>
      </c>
      <c r="C110" s="4">
        <v>527.3959</v>
      </c>
      <c r="D110" s="4" t="s">
        <v>21</v>
      </c>
      <c r="E110" s="4" t="s">
        <v>74</v>
      </c>
      <c r="F110" s="4">
        <v>53.57</v>
      </c>
      <c r="G110" s="4">
        <v>54.26</v>
      </c>
      <c r="H110" s="4">
        <v>1.0768910855E10</v>
      </c>
      <c r="I110" s="4">
        <v>1.2865903297E10</v>
      </c>
      <c r="J110" s="4" t="s">
        <v>294</v>
      </c>
      <c r="K110" s="4" t="s">
        <v>295</v>
      </c>
      <c r="L110" s="4">
        <v>2.63</v>
      </c>
      <c r="M110" s="4">
        <v>1387.05</v>
      </c>
      <c r="N110" s="4">
        <v>1387.0</v>
      </c>
      <c r="O110" s="4">
        <v>115121.0</v>
      </c>
      <c r="P110" s="4">
        <f t="shared" si="1"/>
        <v>29.36666667</v>
      </c>
      <c r="Q110" s="4" t="str">
        <f t="shared" si="2"/>
        <v>Normal</v>
      </c>
      <c r="R110" s="1" t="str">
        <f t="shared" si="3"/>
        <v>Normal</v>
      </c>
      <c r="S110" s="4">
        <f t="shared" si="4"/>
        <v>22.01163597</v>
      </c>
      <c r="T110" s="1" t="str">
        <f t="shared" si="5"/>
        <v>Normal Cost</v>
      </c>
      <c r="U110" s="4">
        <f t="shared" si="6"/>
        <v>0.04683333189</v>
      </c>
    </row>
    <row r="111">
      <c r="A111" s="4" t="s">
        <v>296</v>
      </c>
      <c r="B111" s="4" t="s">
        <v>26</v>
      </c>
      <c r="C111" s="4">
        <v>868.9443</v>
      </c>
      <c r="D111" s="4" t="s">
        <v>21</v>
      </c>
      <c r="E111" s="4" t="s">
        <v>18</v>
      </c>
      <c r="F111" s="4">
        <v>7.93</v>
      </c>
      <c r="G111" s="4">
        <v>58.75</v>
      </c>
      <c r="H111" s="4">
        <v>2.1532985039E10</v>
      </c>
      <c r="I111" s="4">
        <v>2.6104172138E10</v>
      </c>
      <c r="J111" s="5">
        <v>45419.89861111111</v>
      </c>
      <c r="K111" s="5">
        <v>45511.28125</v>
      </c>
      <c r="L111" s="4">
        <v>6.41</v>
      </c>
      <c r="M111" s="4">
        <v>5569.93</v>
      </c>
      <c r="N111" s="4">
        <v>5570.0</v>
      </c>
      <c r="O111" s="4">
        <v>462310.0</v>
      </c>
      <c r="P111" s="4">
        <f t="shared" si="1"/>
        <v>57.18333333</v>
      </c>
      <c r="Q111" s="4" t="str">
        <f t="shared" si="2"/>
        <v>Underutilized</v>
      </c>
      <c r="R111" s="1" t="str">
        <f t="shared" si="3"/>
        <v>Normal</v>
      </c>
      <c r="S111" s="4">
        <f t="shared" si="4"/>
        <v>44.36555987</v>
      </c>
      <c r="T111" s="1" t="str">
        <f t="shared" si="5"/>
        <v>High Cost</v>
      </c>
      <c r="U111" s="4">
        <f t="shared" si="6"/>
        <v>0.007211611257</v>
      </c>
    </row>
    <row r="112">
      <c r="A112" s="4" t="s">
        <v>297</v>
      </c>
      <c r="B112" s="4" t="s">
        <v>60</v>
      </c>
      <c r="C112" s="4">
        <v>74.9833</v>
      </c>
      <c r="D112" s="4" t="s">
        <v>42</v>
      </c>
      <c r="E112" s="4" t="s">
        <v>58</v>
      </c>
      <c r="F112" s="4">
        <v>59.0</v>
      </c>
      <c r="G112" s="4">
        <v>10.81</v>
      </c>
      <c r="H112" s="4">
        <v>6.5244828596E10</v>
      </c>
      <c r="I112" s="4">
        <v>7.4874600281E10</v>
      </c>
      <c r="J112" s="4" t="s">
        <v>298</v>
      </c>
      <c r="K112" s="4" t="s">
        <v>299</v>
      </c>
      <c r="L112" s="4">
        <v>4.35</v>
      </c>
      <c r="M112" s="4">
        <v>326.18</v>
      </c>
      <c r="N112" s="4">
        <v>326.0</v>
      </c>
      <c r="O112" s="4">
        <v>27058.0</v>
      </c>
      <c r="P112" s="4">
        <f t="shared" si="1"/>
        <v>74.98333333</v>
      </c>
      <c r="Q112" s="4" t="str">
        <f t="shared" si="2"/>
        <v>Normal</v>
      </c>
      <c r="R112" s="1" t="str">
        <f t="shared" si="3"/>
        <v>Underutilized</v>
      </c>
      <c r="S112" s="4">
        <f t="shared" si="4"/>
        <v>130.4963873</v>
      </c>
      <c r="T112" s="1" t="str">
        <f t="shared" si="5"/>
        <v>Normal Cost</v>
      </c>
      <c r="U112" s="4">
        <f t="shared" si="6"/>
        <v>0.1290006652</v>
      </c>
    </row>
    <row r="113">
      <c r="A113" s="4" t="s">
        <v>300</v>
      </c>
      <c r="B113" s="4" t="s">
        <v>166</v>
      </c>
      <c r="C113" s="4">
        <v>152.2884</v>
      </c>
      <c r="D113" s="4" t="s">
        <v>21</v>
      </c>
      <c r="E113" s="4" t="s">
        <v>54</v>
      </c>
      <c r="F113" s="4">
        <v>97.7</v>
      </c>
      <c r="G113" s="4">
        <v>32.34</v>
      </c>
      <c r="H113" s="4">
        <v>1.2626016997E10</v>
      </c>
      <c r="I113" s="4">
        <v>1.5447062894E10</v>
      </c>
      <c r="J113" s="4" t="s">
        <v>301</v>
      </c>
      <c r="K113" s="4" t="s">
        <v>302</v>
      </c>
      <c r="L113" s="4">
        <v>4.58</v>
      </c>
      <c r="M113" s="4">
        <v>697.48</v>
      </c>
      <c r="N113" s="4">
        <v>697.0</v>
      </c>
      <c r="O113" s="4">
        <v>57851.0</v>
      </c>
      <c r="P113" s="4">
        <f t="shared" si="1"/>
        <v>114.2666667</v>
      </c>
      <c r="Q113" s="4" t="str">
        <f t="shared" si="2"/>
        <v>High</v>
      </c>
      <c r="R113" s="1" t="str">
        <f t="shared" si="3"/>
        <v>Underutilized</v>
      </c>
      <c r="S113" s="4">
        <f t="shared" si="4"/>
        <v>26.14509304</v>
      </c>
      <c r="T113" s="1" t="str">
        <f t="shared" si="5"/>
        <v>Normal Cost</v>
      </c>
      <c r="U113" s="4">
        <f t="shared" si="6"/>
        <v>0.1123921799</v>
      </c>
    </row>
    <row r="114">
      <c r="A114" s="4" t="s">
        <v>303</v>
      </c>
      <c r="B114" s="4" t="s">
        <v>122</v>
      </c>
      <c r="C114" s="4">
        <v>323.1606</v>
      </c>
      <c r="D114" s="4" t="s">
        <v>17</v>
      </c>
      <c r="E114" s="4" t="s">
        <v>32</v>
      </c>
      <c r="F114" s="4">
        <v>3.71</v>
      </c>
      <c r="G114" s="4">
        <v>74.27</v>
      </c>
      <c r="H114" s="4">
        <v>6.6009372373E10</v>
      </c>
      <c r="I114" s="4">
        <v>6.7621477871E10</v>
      </c>
      <c r="J114" s="4" t="s">
        <v>304</v>
      </c>
      <c r="K114" s="4" t="s">
        <v>305</v>
      </c>
      <c r="L114" s="4">
        <v>2.52</v>
      </c>
      <c r="M114" s="4">
        <v>814.36</v>
      </c>
      <c r="N114" s="4">
        <v>814.0</v>
      </c>
      <c r="O114" s="4">
        <v>67562.0</v>
      </c>
      <c r="P114" s="4">
        <f t="shared" si="1"/>
        <v>29.71666667</v>
      </c>
      <c r="Q114" s="4" t="str">
        <f t="shared" si="2"/>
        <v>Underutilized</v>
      </c>
      <c r="R114" s="1" t="str">
        <f t="shared" si="3"/>
        <v>Normal</v>
      </c>
      <c r="S114" s="4">
        <f t="shared" si="4"/>
        <v>124.4534275</v>
      </c>
      <c r="T114" s="1" t="str">
        <f t="shared" si="5"/>
        <v>Normal Cost</v>
      </c>
      <c r="U114" s="4">
        <f t="shared" si="6"/>
        <v>0.0577099553</v>
      </c>
    </row>
    <row r="115">
      <c r="A115" s="4" t="s">
        <v>306</v>
      </c>
      <c r="B115" s="4" t="s">
        <v>60</v>
      </c>
      <c r="C115" s="4">
        <v>130.15</v>
      </c>
      <c r="D115" s="4" t="s">
        <v>42</v>
      </c>
      <c r="E115" s="4" t="s">
        <v>123</v>
      </c>
      <c r="F115" s="4">
        <v>95.19</v>
      </c>
      <c r="G115" s="4">
        <v>7.84</v>
      </c>
      <c r="H115" s="4">
        <v>5.905788046E9</v>
      </c>
      <c r="I115" s="4">
        <v>1.4895918364E10</v>
      </c>
      <c r="J115" s="4" t="s">
        <v>307</v>
      </c>
      <c r="K115" s="5">
        <v>45331.775</v>
      </c>
      <c r="L115" s="4">
        <v>7.69</v>
      </c>
      <c r="M115" s="4">
        <v>1000.85</v>
      </c>
      <c r="N115" s="4">
        <v>1001.0</v>
      </c>
      <c r="O115" s="4">
        <v>83083.0</v>
      </c>
      <c r="P115" s="4">
        <f t="shared" si="1"/>
        <v>130.15</v>
      </c>
      <c r="Q115" s="4" t="str">
        <f t="shared" si="2"/>
        <v>High</v>
      </c>
      <c r="R115" s="1" t="str">
        <f t="shared" si="3"/>
        <v>Underutilized</v>
      </c>
      <c r="S115" s="4">
        <f t="shared" si="4"/>
        <v>19.37309877</v>
      </c>
      <c r="T115" s="1" t="str">
        <f t="shared" si="5"/>
        <v>Normal Cost</v>
      </c>
      <c r="U115" s="4">
        <f t="shared" si="6"/>
        <v>0.0620042608</v>
      </c>
    </row>
    <row r="116">
      <c r="A116" s="4" t="s">
        <v>308</v>
      </c>
      <c r="B116" s="4" t="s">
        <v>273</v>
      </c>
      <c r="C116" s="4">
        <v>376.4622</v>
      </c>
      <c r="D116" s="4" t="s">
        <v>21</v>
      </c>
      <c r="E116" s="4" t="s">
        <v>105</v>
      </c>
      <c r="F116" s="4">
        <v>13.08</v>
      </c>
      <c r="G116" s="4">
        <v>0.58</v>
      </c>
      <c r="H116" s="4">
        <v>4.2831912294E10</v>
      </c>
      <c r="I116" s="4">
        <v>4.3777704078E10</v>
      </c>
      <c r="J116" s="5">
        <v>45359.39722222222</v>
      </c>
      <c r="K116" s="5">
        <v>45451.67638888889</v>
      </c>
      <c r="L116" s="4">
        <v>9.62</v>
      </c>
      <c r="M116" s="4">
        <v>3621.57</v>
      </c>
      <c r="N116" s="4">
        <v>3622.0</v>
      </c>
      <c r="O116" s="4">
        <v>300626.0</v>
      </c>
      <c r="P116" s="4">
        <f t="shared" si="1"/>
        <v>78.7</v>
      </c>
      <c r="Q116" s="4" t="str">
        <f t="shared" si="2"/>
        <v>Underutilized</v>
      </c>
      <c r="R116" s="1" t="str">
        <f t="shared" si="3"/>
        <v>Underutilized</v>
      </c>
      <c r="S116" s="4">
        <f t="shared" si="4"/>
        <v>80.66149091</v>
      </c>
      <c r="T116" s="1" t="str">
        <f t="shared" si="5"/>
        <v>High Cost</v>
      </c>
      <c r="U116" s="4">
        <f t="shared" si="6"/>
        <v>0.002271925915</v>
      </c>
    </row>
    <row r="117">
      <c r="A117" s="4" t="s">
        <v>309</v>
      </c>
      <c r="B117" s="4" t="s">
        <v>16</v>
      </c>
      <c r="C117" s="4">
        <v>824.8213</v>
      </c>
      <c r="D117" s="4" t="s">
        <v>21</v>
      </c>
      <c r="E117" s="4" t="s">
        <v>22</v>
      </c>
      <c r="F117" s="4">
        <v>87.46</v>
      </c>
      <c r="G117" s="4">
        <v>12.53</v>
      </c>
      <c r="H117" s="4">
        <v>3.9375271299E10</v>
      </c>
      <c r="I117" s="4">
        <v>4.606394922E10</v>
      </c>
      <c r="J117" s="5">
        <v>45512.90625</v>
      </c>
      <c r="K117" s="5">
        <v>45604.11944444444</v>
      </c>
      <c r="L117" s="4">
        <v>4.21</v>
      </c>
      <c r="M117" s="4">
        <v>3472.5</v>
      </c>
      <c r="N117" s="4">
        <v>3472.0</v>
      </c>
      <c r="O117" s="4">
        <v>288176.0</v>
      </c>
      <c r="P117" s="4">
        <f t="shared" si="1"/>
        <v>53.11666667</v>
      </c>
      <c r="Q117" s="4" t="str">
        <f t="shared" si="2"/>
        <v>High</v>
      </c>
      <c r="R117" s="1" t="str">
        <f t="shared" si="3"/>
        <v>Underutilized</v>
      </c>
      <c r="S117" s="4">
        <f t="shared" si="4"/>
        <v>79.57147483</v>
      </c>
      <c r="T117" s="1" t="str">
        <f t="shared" si="5"/>
        <v>High Cost</v>
      </c>
      <c r="U117" s="4">
        <f t="shared" si="6"/>
        <v>0.01734877297</v>
      </c>
    </row>
    <row r="118">
      <c r="A118" s="4" t="s">
        <v>310</v>
      </c>
      <c r="B118" s="4" t="s">
        <v>60</v>
      </c>
      <c r="C118" s="4">
        <v>54.4</v>
      </c>
      <c r="D118" s="4" t="s">
        <v>42</v>
      </c>
      <c r="E118" s="4" t="s">
        <v>70</v>
      </c>
      <c r="F118" s="4">
        <v>20.38</v>
      </c>
      <c r="G118" s="4">
        <v>81.34</v>
      </c>
      <c r="H118" s="4">
        <v>9.4605229974E10</v>
      </c>
      <c r="I118" s="6">
        <v>1.00479E11</v>
      </c>
      <c r="J118" s="5">
        <v>45542.72222222222</v>
      </c>
      <c r="K118" s="5">
        <v>45603.98888888889</v>
      </c>
      <c r="L118" s="4">
        <v>7.52</v>
      </c>
      <c r="M118" s="4">
        <v>409.09</v>
      </c>
      <c r="N118" s="4">
        <v>409.0</v>
      </c>
      <c r="O118" s="4">
        <v>33947.0</v>
      </c>
      <c r="P118" s="4">
        <f t="shared" si="1"/>
        <v>54.4</v>
      </c>
      <c r="Q118" s="4" t="str">
        <f t="shared" si="2"/>
        <v>Underutilized</v>
      </c>
      <c r="R118" s="1" t="str">
        <f t="shared" si="3"/>
        <v>High</v>
      </c>
      <c r="S118" s="6">
        <f t="shared" si="4"/>
        <v>181.6863473</v>
      </c>
      <c r="T118" s="1" t="str">
        <f t="shared" si="5"/>
        <v>Normal Cost</v>
      </c>
      <c r="U118" s="4">
        <f t="shared" si="6"/>
        <v>0.149821781</v>
      </c>
    </row>
    <row r="119">
      <c r="A119" s="4" t="s">
        <v>311</v>
      </c>
      <c r="B119" s="4" t="s">
        <v>147</v>
      </c>
      <c r="C119" s="4">
        <v>96.0667</v>
      </c>
      <c r="D119" s="4" t="s">
        <v>42</v>
      </c>
      <c r="E119" s="4" t="s">
        <v>70</v>
      </c>
      <c r="F119" s="4">
        <v>61.98</v>
      </c>
      <c r="G119" s="4">
        <v>47.25</v>
      </c>
      <c r="H119" s="4">
        <v>7.1692174147E10</v>
      </c>
      <c r="I119" s="4">
        <v>7.8570702375E10</v>
      </c>
      <c r="J119" s="4" t="s">
        <v>312</v>
      </c>
      <c r="K119" s="4" t="s">
        <v>313</v>
      </c>
      <c r="L119" s="4">
        <v>3.69</v>
      </c>
      <c r="M119" s="4">
        <v>354.49</v>
      </c>
      <c r="N119" s="4">
        <v>354.0</v>
      </c>
      <c r="O119" s="4">
        <v>29382.0</v>
      </c>
      <c r="P119" s="4">
        <f t="shared" si="1"/>
        <v>96.06666667</v>
      </c>
      <c r="Q119" s="4" t="str">
        <f t="shared" si="2"/>
        <v>Normal</v>
      </c>
      <c r="R119" s="1" t="str">
        <f t="shared" si="3"/>
        <v>Normal</v>
      </c>
      <c r="S119" s="4">
        <f t="shared" si="4"/>
        <v>139.943209</v>
      </c>
      <c r="T119" s="1" t="str">
        <f t="shared" si="5"/>
        <v>Normal Cost</v>
      </c>
      <c r="U119" s="4">
        <f t="shared" si="6"/>
        <v>0.1858791097</v>
      </c>
    </row>
    <row r="120">
      <c r="A120" s="4" t="s">
        <v>314</v>
      </c>
      <c r="B120" s="4" t="s">
        <v>273</v>
      </c>
      <c r="C120" s="4">
        <v>272.1443</v>
      </c>
      <c r="D120" s="4" t="s">
        <v>21</v>
      </c>
      <c r="E120" s="4" t="s">
        <v>123</v>
      </c>
      <c r="F120" s="4">
        <v>78.11</v>
      </c>
      <c r="G120" s="4">
        <v>49.2</v>
      </c>
      <c r="H120" s="4">
        <v>7.550665529E10</v>
      </c>
      <c r="I120" s="4">
        <v>8.2281017569E10</v>
      </c>
      <c r="J120" s="4" t="s">
        <v>315</v>
      </c>
      <c r="K120" s="4" t="s">
        <v>316</v>
      </c>
      <c r="L120" s="4">
        <v>9.53</v>
      </c>
      <c r="M120" s="4">
        <v>2593.54</v>
      </c>
      <c r="N120" s="4">
        <v>2594.0</v>
      </c>
      <c r="O120" s="4">
        <v>215302.0</v>
      </c>
      <c r="P120" s="4">
        <f t="shared" si="1"/>
        <v>47.53333333</v>
      </c>
      <c r="Q120" s="4" t="str">
        <f t="shared" si="2"/>
        <v>High</v>
      </c>
      <c r="R120" s="1" t="str">
        <f t="shared" si="3"/>
        <v>Normal</v>
      </c>
      <c r="S120" s="4">
        <f t="shared" si="4"/>
        <v>146.9512217</v>
      </c>
      <c r="T120" s="1" t="str">
        <f t="shared" si="5"/>
        <v>High Cost</v>
      </c>
      <c r="U120" s="4">
        <f t="shared" si="6"/>
        <v>0.0295654476</v>
      </c>
    </row>
    <row r="121">
      <c r="A121" s="4" t="s">
        <v>317</v>
      </c>
      <c r="B121" s="4" t="s">
        <v>99</v>
      </c>
      <c r="C121" s="4">
        <v>467.4799</v>
      </c>
      <c r="D121" s="4" t="s">
        <v>17</v>
      </c>
      <c r="E121" s="4" t="s">
        <v>123</v>
      </c>
      <c r="F121" s="4">
        <v>46.41</v>
      </c>
      <c r="G121" s="4">
        <v>97.44</v>
      </c>
      <c r="H121" s="4">
        <v>7.498329203E10</v>
      </c>
      <c r="I121" s="4">
        <v>7.6754044332E10</v>
      </c>
      <c r="J121" s="4" t="s">
        <v>318</v>
      </c>
      <c r="K121" s="4" t="s">
        <v>319</v>
      </c>
      <c r="L121" s="4">
        <v>5.94</v>
      </c>
      <c r="M121" s="4">
        <v>2776.83</v>
      </c>
      <c r="N121" s="4">
        <v>2777.0</v>
      </c>
      <c r="O121" s="4">
        <v>230491.0</v>
      </c>
      <c r="P121" s="4">
        <f t="shared" si="1"/>
        <v>105.6666667</v>
      </c>
      <c r="Q121" s="4" t="str">
        <f t="shared" si="2"/>
        <v>Normal</v>
      </c>
      <c r="R121" s="1" t="str">
        <f t="shared" si="3"/>
        <v>High</v>
      </c>
      <c r="S121" s="4">
        <f t="shared" si="4"/>
        <v>141.3164068</v>
      </c>
      <c r="T121" s="1" t="str">
        <f t="shared" si="5"/>
        <v>High Cost</v>
      </c>
      <c r="U121" s="4">
        <f t="shared" si="6"/>
        <v>0.03120512298</v>
      </c>
    </row>
    <row r="122">
      <c r="A122" s="4" t="s">
        <v>320</v>
      </c>
      <c r="B122" s="4" t="s">
        <v>83</v>
      </c>
      <c r="C122" s="4">
        <v>473.736</v>
      </c>
      <c r="D122" s="4" t="s">
        <v>17</v>
      </c>
      <c r="E122" s="4" t="s">
        <v>74</v>
      </c>
      <c r="F122" s="4">
        <v>1.34</v>
      </c>
      <c r="G122" s="4">
        <v>40.77</v>
      </c>
      <c r="H122" s="4">
        <v>1.240181363E10</v>
      </c>
      <c r="I122" s="4">
        <v>1.8213069052E10</v>
      </c>
      <c r="J122" s="4" t="s">
        <v>321</v>
      </c>
      <c r="K122" s="4" t="s">
        <v>322</v>
      </c>
      <c r="L122" s="4">
        <v>4.72</v>
      </c>
      <c r="M122" s="4">
        <v>2236.03</v>
      </c>
      <c r="N122" s="4">
        <v>2236.0</v>
      </c>
      <c r="O122" s="4">
        <v>185588.0</v>
      </c>
      <c r="P122" s="4">
        <f t="shared" si="1"/>
        <v>141</v>
      </c>
      <c r="Q122" s="4" t="str">
        <f t="shared" si="2"/>
        <v>Underutilized</v>
      </c>
      <c r="R122" s="1" t="str">
        <f t="shared" si="3"/>
        <v>Normal</v>
      </c>
      <c r="S122" s="4">
        <f t="shared" si="4"/>
        <v>28.51233136</v>
      </c>
      <c r="T122" s="1" t="str">
        <f t="shared" si="5"/>
        <v>High Cost</v>
      </c>
      <c r="U122" s="4">
        <f t="shared" si="6"/>
        <v>0.01134502231</v>
      </c>
    </row>
    <row r="123">
      <c r="A123" s="4" t="s">
        <v>323</v>
      </c>
      <c r="B123" s="4" t="s">
        <v>122</v>
      </c>
      <c r="C123" s="4">
        <v>229.216</v>
      </c>
      <c r="D123" s="4" t="s">
        <v>17</v>
      </c>
      <c r="E123" s="4" t="s">
        <v>54</v>
      </c>
      <c r="F123" s="4">
        <v>82.75</v>
      </c>
      <c r="G123" s="4">
        <v>72.53</v>
      </c>
      <c r="H123" s="4">
        <v>8.719227748E9</v>
      </c>
      <c r="I123" s="4">
        <v>1.5568269776E10</v>
      </c>
      <c r="J123" s="4" t="s">
        <v>324</v>
      </c>
      <c r="K123" s="4" t="s">
        <v>325</v>
      </c>
      <c r="L123" s="4">
        <v>6.32</v>
      </c>
      <c r="M123" s="4">
        <v>1448.65</v>
      </c>
      <c r="N123" s="4">
        <v>1449.0</v>
      </c>
      <c r="O123" s="4">
        <v>120267.0</v>
      </c>
      <c r="P123" s="4">
        <f t="shared" si="1"/>
        <v>63.45</v>
      </c>
      <c r="Q123" s="4" t="str">
        <f t="shared" si="2"/>
        <v>High</v>
      </c>
      <c r="R123" s="1" t="str">
        <f t="shared" si="3"/>
        <v>Normal</v>
      </c>
      <c r="S123" s="4">
        <f t="shared" si="4"/>
        <v>22.61949473</v>
      </c>
      <c r="T123" s="1" t="str">
        <f t="shared" si="5"/>
        <v>Normal Cost</v>
      </c>
      <c r="U123" s="4">
        <f t="shared" si="6"/>
        <v>0.06455636209</v>
      </c>
    </row>
    <row r="124">
      <c r="A124" s="4" t="s">
        <v>326</v>
      </c>
      <c r="B124" s="4" t="s">
        <v>79</v>
      </c>
      <c r="C124" s="4">
        <v>737.7243</v>
      </c>
      <c r="D124" s="4" t="s">
        <v>21</v>
      </c>
      <c r="E124" s="4" t="s">
        <v>123</v>
      </c>
      <c r="F124" s="4">
        <v>84.02</v>
      </c>
      <c r="G124" s="4">
        <v>10.6</v>
      </c>
      <c r="H124" s="4">
        <v>4.1209869585E10</v>
      </c>
      <c r="I124" s="4">
        <v>4.2827664168E10</v>
      </c>
      <c r="J124" s="4" t="s">
        <v>327</v>
      </c>
      <c r="K124" s="4" t="s">
        <v>328</v>
      </c>
      <c r="L124" s="4">
        <v>6.65</v>
      </c>
      <c r="M124" s="4">
        <v>4905.87</v>
      </c>
      <c r="N124" s="4">
        <v>4906.0</v>
      </c>
      <c r="O124" s="4">
        <v>407198.0</v>
      </c>
      <c r="P124" s="4">
        <f t="shared" si="1"/>
        <v>123.3</v>
      </c>
      <c r="Q124" s="4" t="str">
        <f t="shared" si="2"/>
        <v>High</v>
      </c>
      <c r="R124" s="1" t="str">
        <f t="shared" si="3"/>
        <v>Underutilized</v>
      </c>
      <c r="S124" s="4">
        <f t="shared" si="4"/>
        <v>78.2660523</v>
      </c>
      <c r="T124" s="1" t="str">
        <f t="shared" si="5"/>
        <v>High Cost</v>
      </c>
      <c r="U124" s="4">
        <f t="shared" si="6"/>
        <v>0.01161842642</v>
      </c>
    </row>
    <row r="125">
      <c r="A125" s="4" t="s">
        <v>329</v>
      </c>
      <c r="B125" s="4" t="s">
        <v>26</v>
      </c>
      <c r="C125" s="4">
        <v>480.9411</v>
      </c>
      <c r="D125" s="4" t="s">
        <v>21</v>
      </c>
      <c r="E125" s="4" t="s">
        <v>123</v>
      </c>
      <c r="F125" s="4">
        <v>77.93</v>
      </c>
      <c r="G125" s="4">
        <v>82.64</v>
      </c>
      <c r="H125" s="4">
        <v>9.465505252E9</v>
      </c>
      <c r="I125" s="4">
        <v>1.4108034396E10</v>
      </c>
      <c r="J125" s="4" t="s">
        <v>330</v>
      </c>
      <c r="K125" s="5">
        <v>45359.06180555555</v>
      </c>
      <c r="L125" s="4">
        <v>2.22</v>
      </c>
      <c r="M125" s="4">
        <v>1067.69</v>
      </c>
      <c r="N125" s="4">
        <v>1068.0</v>
      </c>
      <c r="O125" s="4">
        <v>88644.0</v>
      </c>
      <c r="P125" s="4">
        <f t="shared" si="1"/>
        <v>90.23333333</v>
      </c>
      <c r="Q125" s="4" t="str">
        <f t="shared" si="2"/>
        <v>High</v>
      </c>
      <c r="R125" s="1" t="str">
        <f t="shared" si="3"/>
        <v>High</v>
      </c>
      <c r="S125" s="4">
        <f t="shared" si="4"/>
        <v>21.95456964</v>
      </c>
      <c r="T125" s="1" t="str">
        <f t="shared" si="5"/>
        <v>Normal Cost</v>
      </c>
      <c r="U125" s="4">
        <f t="shared" si="6"/>
        <v>0.09057014575</v>
      </c>
    </row>
    <row r="126">
      <c r="A126" s="4" t="s">
        <v>331</v>
      </c>
      <c r="B126" s="4" t="s">
        <v>26</v>
      </c>
      <c r="C126" s="4">
        <v>188.1078</v>
      </c>
      <c r="D126" s="4" t="s">
        <v>17</v>
      </c>
      <c r="E126" s="4" t="s">
        <v>74</v>
      </c>
      <c r="F126" s="4">
        <v>56.02</v>
      </c>
      <c r="G126" s="4">
        <v>94.9</v>
      </c>
      <c r="H126" s="4">
        <v>5.553336123E10</v>
      </c>
      <c r="I126" s="4">
        <v>6.376378601E10</v>
      </c>
      <c r="J126" s="4" t="s">
        <v>332</v>
      </c>
      <c r="K126" s="4" t="s">
        <v>333</v>
      </c>
      <c r="L126" s="4">
        <v>8.1</v>
      </c>
      <c r="M126" s="4">
        <v>1523.67</v>
      </c>
      <c r="N126" s="4">
        <v>1524.0</v>
      </c>
      <c r="O126" s="4">
        <v>126492.0</v>
      </c>
      <c r="P126" s="4">
        <f t="shared" si="1"/>
        <v>67.3</v>
      </c>
      <c r="Q126" s="4" t="str">
        <f t="shared" si="2"/>
        <v>Normal</v>
      </c>
      <c r="R126" s="1" t="str">
        <f t="shared" si="3"/>
        <v>High</v>
      </c>
      <c r="S126" s="4">
        <f t="shared" si="4"/>
        <v>111.1041263</v>
      </c>
      <c r="T126" s="1" t="str">
        <f t="shared" si="5"/>
        <v>Normal Cost</v>
      </c>
      <c r="U126" s="4">
        <f t="shared" si="6"/>
        <v>0.05965594662</v>
      </c>
    </row>
    <row r="127">
      <c r="A127" s="4" t="s">
        <v>334</v>
      </c>
      <c r="B127" s="4" t="s">
        <v>57</v>
      </c>
      <c r="C127" s="4">
        <v>131.4516</v>
      </c>
      <c r="D127" s="4" t="s">
        <v>21</v>
      </c>
      <c r="E127" s="4" t="s">
        <v>18</v>
      </c>
      <c r="F127" s="4">
        <v>29.46</v>
      </c>
      <c r="G127" s="4">
        <v>51.03</v>
      </c>
      <c r="H127" s="4">
        <v>7.043800643E9</v>
      </c>
      <c r="I127" s="4">
        <v>1.5105140024E10</v>
      </c>
      <c r="J127" s="4" t="s">
        <v>335</v>
      </c>
      <c r="K127" s="4" t="s">
        <v>336</v>
      </c>
      <c r="L127" s="4">
        <v>3.72</v>
      </c>
      <c r="M127" s="4">
        <v>489.0</v>
      </c>
      <c r="N127" s="4">
        <v>489.0</v>
      </c>
      <c r="O127" s="4">
        <v>40587.0</v>
      </c>
      <c r="P127" s="4">
        <f t="shared" si="1"/>
        <v>32.31666667</v>
      </c>
      <c r="Q127" s="4" t="str">
        <f t="shared" si="2"/>
        <v>Underutilized</v>
      </c>
      <c r="R127" s="1" t="str">
        <f t="shared" si="3"/>
        <v>Normal</v>
      </c>
      <c r="S127" s="4">
        <f t="shared" si="4"/>
        <v>20.62780845</v>
      </c>
      <c r="T127" s="1" t="str">
        <f t="shared" si="5"/>
        <v>Normal Cost</v>
      </c>
      <c r="U127" s="4">
        <f t="shared" si="6"/>
        <v>0.09915736566</v>
      </c>
    </row>
    <row r="128">
      <c r="A128" s="4" t="s">
        <v>337</v>
      </c>
      <c r="B128" s="4" t="s">
        <v>46</v>
      </c>
      <c r="C128" s="4">
        <v>334.1195</v>
      </c>
      <c r="D128" s="4" t="s">
        <v>21</v>
      </c>
      <c r="E128" s="4" t="s">
        <v>37</v>
      </c>
      <c r="F128" s="4">
        <v>89.13</v>
      </c>
      <c r="G128" s="4">
        <v>2.68</v>
      </c>
      <c r="H128" s="4">
        <v>8.4348089965E10</v>
      </c>
      <c r="I128" s="4">
        <v>9.1125972851E10</v>
      </c>
      <c r="J128" s="5">
        <v>45450.85625</v>
      </c>
      <c r="K128" s="5">
        <v>45572.42916666667</v>
      </c>
      <c r="L128" s="4">
        <v>7.71</v>
      </c>
      <c r="M128" s="4">
        <v>2576.06</v>
      </c>
      <c r="N128" s="4">
        <v>2576.0</v>
      </c>
      <c r="O128" s="4">
        <v>213808.0</v>
      </c>
      <c r="P128" s="4">
        <f t="shared" si="1"/>
        <v>85.75</v>
      </c>
      <c r="Q128" s="4" t="str">
        <f t="shared" si="2"/>
        <v>High</v>
      </c>
      <c r="R128" s="1" t="str">
        <f t="shared" si="3"/>
        <v>Underutilized</v>
      </c>
      <c r="S128" s="4">
        <f t="shared" si="4"/>
        <v>163.422956</v>
      </c>
      <c r="T128" s="1" t="str">
        <f t="shared" si="5"/>
        <v>High Cost</v>
      </c>
      <c r="U128" s="4">
        <f t="shared" si="6"/>
        <v>0.02147019756</v>
      </c>
    </row>
    <row r="129">
      <c r="A129" s="4" t="s">
        <v>338</v>
      </c>
      <c r="B129" s="4" t="s">
        <v>273</v>
      </c>
      <c r="C129" s="4">
        <v>934.7773</v>
      </c>
      <c r="D129" s="4" t="s">
        <v>21</v>
      </c>
      <c r="E129" s="4" t="s">
        <v>22</v>
      </c>
      <c r="F129" s="4">
        <v>60.89</v>
      </c>
      <c r="G129" s="4">
        <v>34.97</v>
      </c>
      <c r="H129" s="4">
        <v>2.8268074454E10</v>
      </c>
      <c r="I129" s="4">
        <v>3.0822480444E10</v>
      </c>
      <c r="J129" s="4" t="s">
        <v>339</v>
      </c>
      <c r="K129" s="5">
        <v>45299.072222222225</v>
      </c>
      <c r="L129" s="4">
        <v>5.97</v>
      </c>
      <c r="M129" s="4">
        <v>5580.62</v>
      </c>
      <c r="N129" s="4">
        <v>5581.0</v>
      </c>
      <c r="O129" s="4">
        <v>463223.0</v>
      </c>
      <c r="P129" s="4">
        <f t="shared" si="1"/>
        <v>33.03333333</v>
      </c>
      <c r="Q129" s="4" t="str">
        <f t="shared" si="2"/>
        <v>Normal</v>
      </c>
      <c r="R129" s="1" t="str">
        <f t="shared" si="3"/>
        <v>Underutilized</v>
      </c>
      <c r="S129" s="4">
        <f t="shared" si="4"/>
        <v>55.03236772</v>
      </c>
      <c r="T129" s="1" t="str">
        <f t="shared" si="5"/>
        <v>High Cost</v>
      </c>
      <c r="U129" s="4">
        <f t="shared" si="6"/>
        <v>0.01034706826</v>
      </c>
    </row>
    <row r="130">
      <c r="A130" s="4" t="s">
        <v>340</v>
      </c>
      <c r="B130" s="4" t="s">
        <v>112</v>
      </c>
      <c r="C130" s="4">
        <v>132.65</v>
      </c>
      <c r="D130" s="4" t="s">
        <v>42</v>
      </c>
      <c r="E130" s="4" t="s">
        <v>22</v>
      </c>
      <c r="F130" s="4">
        <v>76.25</v>
      </c>
      <c r="G130" s="4">
        <v>35.21</v>
      </c>
      <c r="H130" s="4">
        <v>2.2472644762E10</v>
      </c>
      <c r="I130" s="4">
        <v>2.4049584401E10</v>
      </c>
      <c r="J130" s="4" t="s">
        <v>341</v>
      </c>
      <c r="K130" s="4" t="s">
        <v>342</v>
      </c>
      <c r="L130" s="4">
        <v>4.11</v>
      </c>
      <c r="M130" s="4">
        <v>545.19</v>
      </c>
      <c r="N130" s="4">
        <v>545.0</v>
      </c>
      <c r="O130" s="4">
        <v>45235.0</v>
      </c>
      <c r="P130" s="4">
        <f t="shared" si="1"/>
        <v>132.65</v>
      </c>
      <c r="Q130" s="4" t="str">
        <f t="shared" si="2"/>
        <v>High</v>
      </c>
      <c r="R130" s="1" t="str">
        <f t="shared" si="3"/>
        <v>Underutilized</v>
      </c>
      <c r="S130" s="4">
        <f t="shared" si="4"/>
        <v>43.32720224</v>
      </c>
      <c r="T130" s="1" t="str">
        <f t="shared" si="5"/>
        <v>Normal Cost</v>
      </c>
      <c r="U130" s="4">
        <f t="shared" si="6"/>
        <v>0.1232010611</v>
      </c>
    </row>
    <row r="131">
      <c r="A131" s="4" t="s">
        <v>343</v>
      </c>
      <c r="B131" s="4" t="s">
        <v>169</v>
      </c>
      <c r="C131" s="4">
        <v>955.8838</v>
      </c>
      <c r="D131" s="4" t="s">
        <v>21</v>
      </c>
      <c r="E131" s="4" t="s">
        <v>22</v>
      </c>
      <c r="F131" s="4">
        <v>73.05</v>
      </c>
      <c r="G131" s="4">
        <v>60.61</v>
      </c>
      <c r="H131" s="4">
        <v>2.4165580908E10</v>
      </c>
      <c r="I131" s="4">
        <v>3.2583510276E10</v>
      </c>
      <c r="J131" s="4" t="s">
        <v>344</v>
      </c>
      <c r="K131" s="4" t="s">
        <v>345</v>
      </c>
      <c r="L131" s="4">
        <v>2.08</v>
      </c>
      <c r="M131" s="4">
        <v>1988.24</v>
      </c>
      <c r="N131" s="4">
        <v>1988.0</v>
      </c>
      <c r="O131" s="4">
        <v>165004.0</v>
      </c>
      <c r="P131" s="4">
        <f t="shared" si="1"/>
        <v>128.75</v>
      </c>
      <c r="Q131" s="4" t="str">
        <f t="shared" si="2"/>
        <v>High</v>
      </c>
      <c r="R131" s="1" t="str">
        <f t="shared" si="3"/>
        <v>Normal</v>
      </c>
      <c r="S131" s="4">
        <f t="shared" si="4"/>
        <v>52.85170971</v>
      </c>
      <c r="T131" s="1" t="str">
        <f t="shared" si="5"/>
        <v>Normal Cost</v>
      </c>
      <c r="U131" s="4">
        <f t="shared" si="6"/>
        <v>0.04050204844</v>
      </c>
    </row>
    <row r="132">
      <c r="A132" s="4" t="s">
        <v>346</v>
      </c>
      <c r="B132" s="4" t="s">
        <v>60</v>
      </c>
      <c r="C132" s="4">
        <v>84.4333</v>
      </c>
      <c r="D132" s="4" t="s">
        <v>42</v>
      </c>
      <c r="E132" s="4" t="s">
        <v>22</v>
      </c>
      <c r="F132" s="4">
        <v>16.18</v>
      </c>
      <c r="G132" s="4">
        <v>49.56</v>
      </c>
      <c r="H132" s="4">
        <v>4.338182587E9</v>
      </c>
      <c r="I132" s="4">
        <v>8.628537868E9</v>
      </c>
      <c r="J132" s="4" t="s">
        <v>347</v>
      </c>
      <c r="K132" s="4" t="s">
        <v>348</v>
      </c>
      <c r="L132" s="4">
        <v>3.51</v>
      </c>
      <c r="M132" s="4">
        <v>296.36</v>
      </c>
      <c r="N132" s="4">
        <v>296.0</v>
      </c>
      <c r="O132" s="4">
        <v>24568.0</v>
      </c>
      <c r="P132" s="4">
        <f t="shared" si="1"/>
        <v>84.43333333</v>
      </c>
      <c r="Q132" s="4" t="str">
        <f t="shared" si="2"/>
        <v>Underutilized</v>
      </c>
      <c r="R132" s="1" t="str">
        <f t="shared" si="3"/>
        <v>Normal</v>
      </c>
      <c r="S132" s="4">
        <f t="shared" si="4"/>
        <v>12.07619948</v>
      </c>
      <c r="T132" s="1" t="str">
        <f t="shared" si="5"/>
        <v>Normal Cost</v>
      </c>
      <c r="U132" s="4">
        <f t="shared" si="6"/>
        <v>0.1337919245</v>
      </c>
    </row>
    <row r="133">
      <c r="A133" s="4" t="s">
        <v>349</v>
      </c>
      <c r="B133" s="4" t="s">
        <v>350</v>
      </c>
      <c r="C133" s="4">
        <v>945.9349</v>
      </c>
      <c r="D133" s="4" t="s">
        <v>21</v>
      </c>
      <c r="E133" s="4" t="s">
        <v>27</v>
      </c>
      <c r="F133" s="4">
        <v>2.21</v>
      </c>
      <c r="G133" s="4">
        <v>98.03</v>
      </c>
      <c r="H133" s="4">
        <v>1.2046826888E10</v>
      </c>
      <c r="I133" s="4">
        <v>1.7548421383E10</v>
      </c>
      <c r="J133" s="4" t="s">
        <v>351</v>
      </c>
      <c r="K133" s="4" t="s">
        <v>352</v>
      </c>
      <c r="L133" s="4">
        <v>4.87</v>
      </c>
      <c r="M133" s="4">
        <v>4606.7</v>
      </c>
      <c r="N133" s="4">
        <v>4607.0</v>
      </c>
      <c r="O133" s="4">
        <v>382381.0</v>
      </c>
      <c r="P133" s="4">
        <f t="shared" si="1"/>
        <v>131.95</v>
      </c>
      <c r="Q133" s="4" t="str">
        <f t="shared" si="2"/>
        <v>Underutilized</v>
      </c>
      <c r="R133" s="1" t="str">
        <f t="shared" si="3"/>
        <v>High</v>
      </c>
      <c r="S133" s="4">
        <f t="shared" si="4"/>
        <v>27.56272282</v>
      </c>
      <c r="T133" s="1" t="str">
        <f t="shared" si="5"/>
        <v>High Cost</v>
      </c>
      <c r="U133" s="4">
        <f t="shared" si="6"/>
        <v>0.01310734581</v>
      </c>
    </row>
    <row r="134">
      <c r="A134" s="4" t="s">
        <v>353</v>
      </c>
      <c r="B134" s="4" t="s">
        <v>62</v>
      </c>
      <c r="C134" s="4">
        <v>78.7333</v>
      </c>
      <c r="D134" s="4" t="s">
        <v>42</v>
      </c>
      <c r="E134" s="4" t="s">
        <v>54</v>
      </c>
      <c r="F134" s="4">
        <v>28.89</v>
      </c>
      <c r="G134" s="4">
        <v>13.96</v>
      </c>
      <c r="H134" s="4">
        <v>3.6974776658E10</v>
      </c>
      <c r="I134" s="4">
        <v>4.42120276E10</v>
      </c>
      <c r="J134" s="4" t="s">
        <v>354</v>
      </c>
      <c r="K134" s="4" t="s">
        <v>355</v>
      </c>
      <c r="L134" s="4">
        <v>3.38</v>
      </c>
      <c r="M134" s="4">
        <v>266.12</v>
      </c>
      <c r="N134" s="4">
        <v>266.0</v>
      </c>
      <c r="O134" s="4">
        <v>22078.0</v>
      </c>
      <c r="P134" s="4">
        <f t="shared" si="1"/>
        <v>78.73333333</v>
      </c>
      <c r="Q134" s="4" t="str">
        <f t="shared" si="2"/>
        <v>Underutilized</v>
      </c>
      <c r="R134" s="1" t="str">
        <f t="shared" si="3"/>
        <v>Underutilized</v>
      </c>
      <c r="S134" s="4">
        <f t="shared" si="4"/>
        <v>75.61110357</v>
      </c>
      <c r="T134" s="1" t="str">
        <f t="shared" si="5"/>
        <v>Normal Cost</v>
      </c>
      <c r="U134" s="4">
        <f t="shared" si="6"/>
        <v>0.09704230456</v>
      </c>
    </row>
    <row r="135">
      <c r="A135" s="4" t="s">
        <v>356</v>
      </c>
      <c r="B135" s="4" t="s">
        <v>166</v>
      </c>
      <c r="C135" s="4">
        <v>747.5286</v>
      </c>
      <c r="D135" s="4" t="s">
        <v>21</v>
      </c>
      <c r="E135" s="4" t="s">
        <v>37</v>
      </c>
      <c r="F135" s="4">
        <v>99.27</v>
      </c>
      <c r="G135" s="4">
        <v>57.33</v>
      </c>
      <c r="H135" s="4">
        <v>8.9313187681E10</v>
      </c>
      <c r="I135" s="4">
        <v>9.413091081E10</v>
      </c>
      <c r="J135" s="5">
        <v>45451.589583333334</v>
      </c>
      <c r="K135" s="5">
        <v>45512.46875</v>
      </c>
      <c r="L135" s="4">
        <v>5.84</v>
      </c>
      <c r="M135" s="4">
        <v>4365.57</v>
      </c>
      <c r="N135" s="4">
        <v>4366.0</v>
      </c>
      <c r="O135" s="4">
        <v>362378.0</v>
      </c>
      <c r="P135" s="4">
        <f t="shared" si="1"/>
        <v>45.1</v>
      </c>
      <c r="Q135" s="4" t="str">
        <f t="shared" si="2"/>
        <v>High</v>
      </c>
      <c r="R135" s="1" t="str">
        <f t="shared" si="3"/>
        <v>Normal</v>
      </c>
      <c r="S135" s="4">
        <f t="shared" si="4"/>
        <v>170.8456301</v>
      </c>
      <c r="T135" s="1" t="str">
        <f t="shared" si="5"/>
        <v>High Cost</v>
      </c>
      <c r="U135" s="4">
        <f t="shared" si="6"/>
        <v>0.02160727196</v>
      </c>
    </row>
    <row r="136">
      <c r="A136" s="4" t="s">
        <v>357</v>
      </c>
      <c r="B136" s="4" t="s">
        <v>57</v>
      </c>
      <c r="C136" s="4">
        <v>597.1564</v>
      </c>
      <c r="D136" s="4" t="s">
        <v>17</v>
      </c>
      <c r="E136" s="4" t="s">
        <v>70</v>
      </c>
      <c r="F136" s="4">
        <v>59.22</v>
      </c>
      <c r="G136" s="4">
        <v>56.06</v>
      </c>
      <c r="H136" s="4">
        <v>1.4203586534E10</v>
      </c>
      <c r="I136" s="4">
        <v>1.6388689847E10</v>
      </c>
      <c r="J136" s="5">
        <v>45512.260416666664</v>
      </c>
      <c r="K136" s="4" t="s">
        <v>358</v>
      </c>
      <c r="L136" s="4">
        <v>4.38</v>
      </c>
      <c r="M136" s="4">
        <v>2615.55</v>
      </c>
      <c r="N136" s="4">
        <v>2616.0</v>
      </c>
      <c r="O136" s="4">
        <v>217128.0</v>
      </c>
      <c r="P136" s="4">
        <f t="shared" si="1"/>
        <v>142.1833333</v>
      </c>
      <c r="Q136" s="4" t="str">
        <f t="shared" si="2"/>
        <v>Normal</v>
      </c>
      <c r="R136" s="1" t="str">
        <f t="shared" si="3"/>
        <v>Normal</v>
      </c>
      <c r="S136" s="4">
        <f t="shared" si="4"/>
        <v>28.4912776</v>
      </c>
      <c r="T136" s="1" t="str">
        <f t="shared" si="5"/>
        <v>High Cost</v>
      </c>
      <c r="U136" s="4">
        <f t="shared" si="6"/>
        <v>0.02654655319</v>
      </c>
    </row>
    <row r="137">
      <c r="A137" s="4" t="s">
        <v>359</v>
      </c>
      <c r="B137" s="4" t="s">
        <v>53</v>
      </c>
      <c r="C137" s="4">
        <v>458.406</v>
      </c>
      <c r="D137" s="4" t="s">
        <v>17</v>
      </c>
      <c r="E137" s="4" t="s">
        <v>155</v>
      </c>
      <c r="F137" s="4">
        <v>86.76</v>
      </c>
      <c r="G137" s="4">
        <v>39.16</v>
      </c>
      <c r="H137" s="4">
        <v>3.871554594E9</v>
      </c>
      <c r="I137" s="4">
        <v>7.171572125E9</v>
      </c>
      <c r="J137" s="4" t="s">
        <v>360</v>
      </c>
      <c r="K137" s="4" t="s">
        <v>361</v>
      </c>
      <c r="L137" s="4">
        <v>8.14</v>
      </c>
      <c r="M137" s="4">
        <v>3731.42</v>
      </c>
      <c r="N137" s="4">
        <v>3731.0</v>
      </c>
      <c r="O137" s="4">
        <v>309673.0</v>
      </c>
      <c r="P137" s="4">
        <f t="shared" si="1"/>
        <v>70.33333333</v>
      </c>
      <c r="Q137" s="4" t="str">
        <f t="shared" si="2"/>
        <v>High</v>
      </c>
      <c r="R137" s="1" t="str">
        <f t="shared" si="3"/>
        <v>Underutilized</v>
      </c>
      <c r="S137" s="4">
        <f t="shared" si="4"/>
        <v>10.28471321</v>
      </c>
      <c r="T137" s="1" t="str">
        <f t="shared" si="5"/>
        <v>High Cost</v>
      </c>
      <c r="U137" s="4">
        <f t="shared" si="6"/>
        <v>0.02033112348</v>
      </c>
    </row>
    <row r="138">
      <c r="A138" s="4" t="s">
        <v>362</v>
      </c>
      <c r="B138" s="4" t="s">
        <v>46</v>
      </c>
      <c r="C138" s="4">
        <v>624.6729</v>
      </c>
      <c r="D138" s="4" t="s">
        <v>17</v>
      </c>
      <c r="E138" s="4" t="s">
        <v>58</v>
      </c>
      <c r="F138" s="4">
        <v>37.12</v>
      </c>
      <c r="G138" s="4">
        <v>15.38</v>
      </c>
      <c r="H138" s="4">
        <v>3.6700200498E10</v>
      </c>
      <c r="I138" s="4">
        <v>3.9984223729E10</v>
      </c>
      <c r="J138" s="5">
        <v>45330.24930555555</v>
      </c>
      <c r="K138" s="5">
        <v>45451.15833333333</v>
      </c>
      <c r="L138" s="4">
        <v>4.7</v>
      </c>
      <c r="M138" s="4">
        <v>2935.96</v>
      </c>
      <c r="N138" s="4">
        <v>2936.0</v>
      </c>
      <c r="O138" s="4">
        <v>243688.0</v>
      </c>
      <c r="P138" s="4">
        <f t="shared" si="1"/>
        <v>93.81666667</v>
      </c>
      <c r="Q138" s="4" t="str">
        <f t="shared" si="2"/>
        <v>Normal</v>
      </c>
      <c r="R138" s="1" t="str">
        <f t="shared" si="3"/>
        <v>Underutilized</v>
      </c>
      <c r="S138" s="4">
        <f t="shared" si="4"/>
        <v>71.4179354</v>
      </c>
      <c r="T138" s="1" t="str">
        <f t="shared" si="5"/>
        <v>High Cost</v>
      </c>
      <c r="U138" s="4">
        <f t="shared" si="6"/>
        <v>0.01077197072</v>
      </c>
    </row>
    <row r="139">
      <c r="A139" s="4" t="s">
        <v>363</v>
      </c>
      <c r="B139" s="4" t="s">
        <v>273</v>
      </c>
      <c r="C139" s="4">
        <v>748.3421</v>
      </c>
      <c r="D139" s="4" t="s">
        <v>21</v>
      </c>
      <c r="E139" s="4" t="s">
        <v>27</v>
      </c>
      <c r="F139" s="4">
        <v>70.54</v>
      </c>
      <c r="G139" s="4">
        <v>72.19</v>
      </c>
      <c r="H139" s="4">
        <v>4.7338870319E10</v>
      </c>
      <c r="I139" s="4">
        <v>4.8505753593E10</v>
      </c>
      <c r="J139" s="4" t="s">
        <v>364</v>
      </c>
      <c r="K139" s="4" t="s">
        <v>226</v>
      </c>
      <c r="L139" s="4">
        <v>8.49</v>
      </c>
      <c r="M139" s="4">
        <v>6353.42</v>
      </c>
      <c r="N139" s="4">
        <v>6353.0</v>
      </c>
      <c r="O139" s="4">
        <v>527299.0</v>
      </c>
      <c r="P139" s="4">
        <f t="shared" si="1"/>
        <v>40.6</v>
      </c>
      <c r="Q139" s="4" t="str">
        <f t="shared" si="2"/>
        <v>High</v>
      </c>
      <c r="R139" s="1" t="str">
        <f t="shared" si="3"/>
        <v>Normal</v>
      </c>
      <c r="S139" s="4">
        <f t="shared" si="4"/>
        <v>89.2622619</v>
      </c>
      <c r="T139" s="1" t="str">
        <f t="shared" si="5"/>
        <v>High Cost</v>
      </c>
      <c r="U139" s="4">
        <f t="shared" si="6"/>
        <v>0.01353406701</v>
      </c>
    </row>
    <row r="140">
      <c r="A140" s="4" t="s">
        <v>365</v>
      </c>
      <c r="B140" s="4" t="s">
        <v>83</v>
      </c>
      <c r="C140" s="4">
        <v>11.5256</v>
      </c>
      <c r="D140" s="4" t="s">
        <v>17</v>
      </c>
      <c r="E140" s="4" t="s">
        <v>123</v>
      </c>
      <c r="F140" s="4">
        <v>88.75</v>
      </c>
      <c r="G140" s="4">
        <v>93.94</v>
      </c>
      <c r="H140" s="4">
        <v>4.1389322836E10</v>
      </c>
      <c r="I140" s="4">
        <v>4.3470819291E10</v>
      </c>
      <c r="J140" s="4" t="s">
        <v>366</v>
      </c>
      <c r="K140" s="4" t="s">
        <v>367</v>
      </c>
      <c r="L140" s="4">
        <v>4.89</v>
      </c>
      <c r="M140" s="4">
        <v>56.36</v>
      </c>
      <c r="N140" s="4">
        <v>56.0</v>
      </c>
      <c r="O140" s="4">
        <v>4648.0</v>
      </c>
      <c r="P140" s="4">
        <f t="shared" si="1"/>
        <v>97.55</v>
      </c>
      <c r="Q140" s="4" t="str">
        <f t="shared" si="2"/>
        <v>High</v>
      </c>
      <c r="R140" s="1" t="str">
        <f t="shared" si="3"/>
        <v>High</v>
      </c>
      <c r="S140" s="4">
        <f t="shared" si="4"/>
        <v>79.03216605</v>
      </c>
      <c r="T140" s="1" t="str">
        <f t="shared" si="5"/>
        <v>Normal Cost</v>
      </c>
      <c r="U140" s="4">
        <f t="shared" si="6"/>
        <v>1.965253873</v>
      </c>
    </row>
    <row r="141">
      <c r="A141" s="4" t="s">
        <v>368</v>
      </c>
      <c r="B141" s="4" t="s">
        <v>169</v>
      </c>
      <c r="C141" s="4">
        <v>289.7888</v>
      </c>
      <c r="D141" s="4" t="s">
        <v>17</v>
      </c>
      <c r="E141" s="4" t="s">
        <v>32</v>
      </c>
      <c r="F141" s="4">
        <v>49.21</v>
      </c>
      <c r="G141" s="4">
        <v>8.33</v>
      </c>
      <c r="H141" s="4">
        <v>8.3185498241E10</v>
      </c>
      <c r="I141" s="4">
        <v>8.8970489424E10</v>
      </c>
      <c r="J141" s="4" t="s">
        <v>369</v>
      </c>
      <c r="K141" s="4" t="s">
        <v>370</v>
      </c>
      <c r="L141" s="4">
        <v>8.76</v>
      </c>
      <c r="M141" s="4">
        <v>2538.55</v>
      </c>
      <c r="N141" s="4">
        <v>2539.0</v>
      </c>
      <c r="O141" s="4">
        <v>210737.0</v>
      </c>
      <c r="P141" s="4">
        <f t="shared" si="1"/>
        <v>93.33333333</v>
      </c>
      <c r="Q141" s="4" t="str">
        <f t="shared" si="2"/>
        <v>Normal</v>
      </c>
      <c r="R141" s="1" t="str">
        <f t="shared" si="3"/>
        <v>Underutilized</v>
      </c>
      <c r="S141" s="4">
        <f t="shared" si="4"/>
        <v>160.3327577</v>
      </c>
      <c r="T141" s="1" t="str">
        <f t="shared" si="5"/>
        <v>High Cost</v>
      </c>
      <c r="U141" s="4">
        <f t="shared" si="6"/>
        <v>0.01365208767</v>
      </c>
    </row>
    <row r="142">
      <c r="A142" s="4" t="s">
        <v>371</v>
      </c>
      <c r="B142" s="4" t="s">
        <v>273</v>
      </c>
      <c r="C142" s="4">
        <v>957.1176</v>
      </c>
      <c r="D142" s="4" t="s">
        <v>21</v>
      </c>
      <c r="E142" s="4" t="s">
        <v>22</v>
      </c>
      <c r="F142" s="4">
        <v>80.93</v>
      </c>
      <c r="G142" s="4">
        <v>21.64</v>
      </c>
      <c r="H142" s="4">
        <v>2.577353951E9</v>
      </c>
      <c r="I142" s="4">
        <v>7.390046126E9</v>
      </c>
      <c r="J142" s="4" t="s">
        <v>372</v>
      </c>
      <c r="K142" s="4" t="s">
        <v>373</v>
      </c>
      <c r="L142" s="4">
        <v>8.82</v>
      </c>
      <c r="M142" s="4">
        <v>8441.78</v>
      </c>
      <c r="N142" s="4">
        <v>8442.0</v>
      </c>
      <c r="O142" s="4">
        <v>700686.0</v>
      </c>
      <c r="P142" s="4">
        <f t="shared" si="1"/>
        <v>89.01666667</v>
      </c>
      <c r="Q142" s="4" t="str">
        <f t="shared" si="2"/>
        <v>High</v>
      </c>
      <c r="R142" s="1" t="str">
        <f t="shared" si="3"/>
        <v>Underutilized</v>
      </c>
      <c r="S142" s="4">
        <f t="shared" si="4"/>
        <v>9.282864702</v>
      </c>
      <c r="T142" s="1" t="str">
        <f t="shared" si="5"/>
        <v>High Cost</v>
      </c>
      <c r="U142" s="4">
        <f t="shared" si="6"/>
        <v>0.007319255701</v>
      </c>
    </row>
    <row r="143">
      <c r="A143" s="4" t="s">
        <v>374</v>
      </c>
      <c r="B143" s="4" t="s">
        <v>147</v>
      </c>
      <c r="C143" s="4">
        <v>130.2</v>
      </c>
      <c r="D143" s="4" t="s">
        <v>42</v>
      </c>
      <c r="E143" s="4" t="s">
        <v>105</v>
      </c>
      <c r="F143" s="4">
        <v>92.54</v>
      </c>
      <c r="G143" s="4">
        <v>97.74</v>
      </c>
      <c r="H143" s="4">
        <v>1.6242121259E10</v>
      </c>
      <c r="I143" s="4">
        <v>1.694052186E10</v>
      </c>
      <c r="J143" s="4" t="s">
        <v>375</v>
      </c>
      <c r="K143" s="4" t="s">
        <v>376</v>
      </c>
      <c r="L143" s="4">
        <v>4.81</v>
      </c>
      <c r="M143" s="4">
        <v>626.26</v>
      </c>
      <c r="N143" s="4">
        <v>626.0</v>
      </c>
      <c r="O143" s="4">
        <v>51958.0</v>
      </c>
      <c r="P143" s="4">
        <f t="shared" si="1"/>
        <v>130.2</v>
      </c>
      <c r="Q143" s="4" t="str">
        <f t="shared" si="2"/>
        <v>High</v>
      </c>
      <c r="R143" s="1" t="str">
        <f t="shared" si="3"/>
        <v>High</v>
      </c>
      <c r="S143" s="4">
        <f t="shared" si="4"/>
        <v>30.90374462</v>
      </c>
      <c r="T143" s="1" t="str">
        <f t="shared" si="5"/>
        <v>Normal Cost</v>
      </c>
      <c r="U143" s="4">
        <f t="shared" si="6"/>
        <v>0.1831094345</v>
      </c>
    </row>
    <row r="144">
      <c r="A144" s="4" t="s">
        <v>377</v>
      </c>
      <c r="B144" s="4" t="s">
        <v>183</v>
      </c>
      <c r="C144" s="4">
        <v>193.7868</v>
      </c>
      <c r="D144" s="4" t="s">
        <v>21</v>
      </c>
      <c r="E144" s="4" t="s">
        <v>70</v>
      </c>
      <c r="F144" s="4">
        <v>43.96</v>
      </c>
      <c r="G144" s="4">
        <v>53.32</v>
      </c>
      <c r="H144" s="4">
        <v>9.8898014103E10</v>
      </c>
      <c r="I144" s="6">
        <v>1.04063E11</v>
      </c>
      <c r="J144" s="4" t="s">
        <v>378</v>
      </c>
      <c r="K144" s="4" t="s">
        <v>379</v>
      </c>
      <c r="L144" s="4">
        <v>7.0</v>
      </c>
      <c r="M144" s="4">
        <v>1356.51</v>
      </c>
      <c r="N144" s="4">
        <v>1357.0</v>
      </c>
      <c r="O144" s="4">
        <v>112631.0</v>
      </c>
      <c r="P144" s="4">
        <f t="shared" si="1"/>
        <v>74.86666667</v>
      </c>
      <c r="Q144" s="4" t="str">
        <f t="shared" si="2"/>
        <v>Normal</v>
      </c>
      <c r="R144" s="1" t="str">
        <f t="shared" si="3"/>
        <v>Normal</v>
      </c>
      <c r="S144" s="6">
        <f t="shared" si="4"/>
        <v>189.0221742</v>
      </c>
      <c r="T144" s="1" t="str">
        <f t="shared" si="5"/>
        <v>Normal Cost</v>
      </c>
      <c r="U144" s="4">
        <f t="shared" si="6"/>
        <v>0.04318526871</v>
      </c>
    </row>
    <row r="145">
      <c r="A145" s="4" t="s">
        <v>380</v>
      </c>
      <c r="B145" s="4" t="s">
        <v>83</v>
      </c>
      <c r="C145" s="4">
        <v>165.5867</v>
      </c>
      <c r="D145" s="4" t="s">
        <v>21</v>
      </c>
      <c r="E145" s="4" t="s">
        <v>22</v>
      </c>
      <c r="F145" s="4">
        <v>49.06</v>
      </c>
      <c r="G145" s="4">
        <v>85.71</v>
      </c>
      <c r="H145" s="4">
        <v>2.7863103086E10</v>
      </c>
      <c r="I145" s="4">
        <v>2.8191939191E10</v>
      </c>
      <c r="J145" s="4" t="s">
        <v>381</v>
      </c>
      <c r="K145" s="4" t="s">
        <v>382</v>
      </c>
      <c r="L145" s="4">
        <v>7.19</v>
      </c>
      <c r="M145" s="4">
        <v>1190.57</v>
      </c>
      <c r="N145" s="4">
        <v>1191.0</v>
      </c>
      <c r="O145" s="4">
        <v>98853.0</v>
      </c>
      <c r="P145" s="4">
        <f t="shared" si="1"/>
        <v>102.3166667</v>
      </c>
      <c r="Q145" s="4" t="str">
        <f t="shared" si="2"/>
        <v>Normal</v>
      </c>
      <c r="R145" s="1" t="str">
        <f t="shared" si="3"/>
        <v>High</v>
      </c>
      <c r="S145" s="4">
        <f t="shared" si="4"/>
        <v>52.20532629</v>
      </c>
      <c r="T145" s="1" t="str">
        <f t="shared" si="5"/>
        <v>Normal Cost</v>
      </c>
      <c r="U145" s="4">
        <f t="shared" si="6"/>
        <v>0.06816687405</v>
      </c>
    </row>
    <row r="146">
      <c r="A146" s="4" t="s">
        <v>383</v>
      </c>
      <c r="B146" s="4" t="s">
        <v>139</v>
      </c>
      <c r="C146" s="4">
        <v>32.85</v>
      </c>
      <c r="D146" s="4" t="s">
        <v>42</v>
      </c>
      <c r="E146" s="4" t="s">
        <v>105</v>
      </c>
      <c r="F146" s="4">
        <v>23.43</v>
      </c>
      <c r="G146" s="4">
        <v>74.89</v>
      </c>
      <c r="H146" s="4">
        <v>2.6704872779E10</v>
      </c>
      <c r="I146" s="4">
        <v>3.3422677812E10</v>
      </c>
      <c r="J146" s="4" t="s">
        <v>384</v>
      </c>
      <c r="K146" s="4" t="s">
        <v>385</v>
      </c>
      <c r="L146" s="4">
        <v>5.99</v>
      </c>
      <c r="M146" s="4">
        <v>196.77</v>
      </c>
      <c r="N146" s="4">
        <v>197.0</v>
      </c>
      <c r="O146" s="4">
        <v>16351.0</v>
      </c>
      <c r="P146" s="4">
        <f t="shared" si="1"/>
        <v>32.85</v>
      </c>
      <c r="Q146" s="4" t="str">
        <f t="shared" si="2"/>
        <v>Underutilized</v>
      </c>
      <c r="R146" s="1" t="str">
        <f t="shared" si="3"/>
        <v>Normal</v>
      </c>
      <c r="S146" s="4">
        <f t="shared" si="4"/>
        <v>55.99814522</v>
      </c>
      <c r="T146" s="1" t="str">
        <f t="shared" si="5"/>
        <v>Normal Cost</v>
      </c>
      <c r="U146" s="4">
        <f t="shared" si="6"/>
        <v>0.3006543942</v>
      </c>
    </row>
    <row r="147">
      <c r="A147" s="4" t="s">
        <v>386</v>
      </c>
      <c r="B147" s="4" t="s">
        <v>139</v>
      </c>
      <c r="C147" s="4">
        <v>98.6</v>
      </c>
      <c r="D147" s="4" t="s">
        <v>42</v>
      </c>
      <c r="E147" s="4" t="s">
        <v>155</v>
      </c>
      <c r="F147" s="4">
        <v>81.13</v>
      </c>
      <c r="G147" s="4">
        <v>53.15</v>
      </c>
      <c r="H147" s="4">
        <v>1.2064722865E10</v>
      </c>
      <c r="I147" s="4">
        <v>1.8929788829E10</v>
      </c>
      <c r="J147" s="4" t="s">
        <v>387</v>
      </c>
      <c r="K147" s="4" t="s">
        <v>388</v>
      </c>
      <c r="L147" s="4">
        <v>7.8</v>
      </c>
      <c r="M147" s="4">
        <v>769.08</v>
      </c>
      <c r="N147" s="4">
        <v>769.0</v>
      </c>
      <c r="O147" s="4">
        <v>63827.0</v>
      </c>
      <c r="P147" s="4">
        <f t="shared" si="1"/>
        <v>98.6</v>
      </c>
      <c r="Q147" s="4" t="str">
        <f t="shared" si="2"/>
        <v>High</v>
      </c>
      <c r="R147" s="1" t="str">
        <f t="shared" si="3"/>
        <v>Normal</v>
      </c>
      <c r="S147" s="4">
        <f t="shared" si="4"/>
        <v>28.86588843</v>
      </c>
      <c r="T147" s="1" t="str">
        <f t="shared" si="5"/>
        <v>Normal Cost</v>
      </c>
      <c r="U147" s="4">
        <f t="shared" si="6"/>
        <v>0.1051905933</v>
      </c>
    </row>
    <row r="148">
      <c r="A148" s="4" t="s">
        <v>389</v>
      </c>
      <c r="B148" s="4" t="s">
        <v>350</v>
      </c>
      <c r="C148" s="4">
        <v>513.8208</v>
      </c>
      <c r="D148" s="4" t="s">
        <v>21</v>
      </c>
      <c r="E148" s="4" t="s">
        <v>18</v>
      </c>
      <c r="F148" s="4">
        <v>58.21</v>
      </c>
      <c r="G148" s="4">
        <v>86.88</v>
      </c>
      <c r="H148" s="4">
        <v>5.5706638511E10</v>
      </c>
      <c r="I148" s="4">
        <v>6.5365610378E10</v>
      </c>
      <c r="J148" s="4" t="s">
        <v>390</v>
      </c>
      <c r="K148" s="5">
        <v>45390.42291666667</v>
      </c>
      <c r="L148" s="4">
        <v>5.53</v>
      </c>
      <c r="M148" s="4">
        <v>2841.43</v>
      </c>
      <c r="N148" s="4">
        <v>2841.0</v>
      </c>
      <c r="O148" s="4">
        <v>235803.0</v>
      </c>
      <c r="P148" s="4">
        <f t="shared" si="1"/>
        <v>96.76666667</v>
      </c>
      <c r="Q148" s="4" t="str">
        <f t="shared" si="2"/>
        <v>Normal</v>
      </c>
      <c r="R148" s="1" t="str">
        <f t="shared" si="3"/>
        <v>High</v>
      </c>
      <c r="S148" s="4">
        <f t="shared" si="4"/>
        <v>112.7573185</v>
      </c>
      <c r="T148" s="1" t="str">
        <f t="shared" si="5"/>
        <v>High Cost</v>
      </c>
      <c r="U148" s="4">
        <f t="shared" si="6"/>
        <v>0.03076508781</v>
      </c>
    </row>
    <row r="149">
      <c r="A149" s="4" t="s">
        <v>391</v>
      </c>
      <c r="B149" s="4" t="s">
        <v>183</v>
      </c>
      <c r="C149" s="4">
        <v>151.9106</v>
      </c>
      <c r="D149" s="4" t="s">
        <v>17</v>
      </c>
      <c r="E149" s="4" t="s">
        <v>70</v>
      </c>
      <c r="F149" s="4">
        <v>49.47</v>
      </c>
      <c r="G149" s="4">
        <v>92.47</v>
      </c>
      <c r="H149" s="4">
        <v>8.1265407319E10</v>
      </c>
      <c r="I149" s="4">
        <v>8.1856337678E10</v>
      </c>
      <c r="J149" s="4" t="s">
        <v>392</v>
      </c>
      <c r="K149" s="5">
        <v>45330.67291666667</v>
      </c>
      <c r="L149" s="4">
        <v>8.21</v>
      </c>
      <c r="M149" s="4">
        <v>1247.19</v>
      </c>
      <c r="N149" s="4">
        <v>1247.0</v>
      </c>
      <c r="O149" s="4">
        <v>103501.0</v>
      </c>
      <c r="P149" s="4">
        <f t="shared" si="1"/>
        <v>96.3</v>
      </c>
      <c r="Q149" s="4" t="str">
        <f t="shared" si="2"/>
        <v>Normal</v>
      </c>
      <c r="R149" s="1" t="str">
        <f t="shared" si="3"/>
        <v>High</v>
      </c>
      <c r="S149" s="4">
        <f t="shared" si="4"/>
        <v>151.9189635</v>
      </c>
      <c r="T149" s="1" t="str">
        <f t="shared" si="5"/>
        <v>Normal Cost</v>
      </c>
      <c r="U149" s="4">
        <f t="shared" si="6"/>
        <v>0.0685693858</v>
      </c>
    </row>
    <row r="150">
      <c r="A150" s="4" t="s">
        <v>393</v>
      </c>
      <c r="B150" s="4" t="s">
        <v>66</v>
      </c>
      <c r="C150" s="4">
        <v>33.5644</v>
      </c>
      <c r="D150" s="4" t="s">
        <v>21</v>
      </c>
      <c r="E150" s="4" t="s">
        <v>32</v>
      </c>
      <c r="F150" s="4">
        <v>64.51</v>
      </c>
      <c r="G150" s="4">
        <v>55.66</v>
      </c>
      <c r="H150" s="4">
        <v>1.4816960426E10</v>
      </c>
      <c r="I150" s="4">
        <v>1.6678511128E10</v>
      </c>
      <c r="J150" s="5">
        <v>45420.25486111111</v>
      </c>
      <c r="K150" s="5">
        <v>45451.80625</v>
      </c>
      <c r="L150" s="4">
        <v>5.34</v>
      </c>
      <c r="M150" s="4">
        <v>179.23</v>
      </c>
      <c r="N150" s="4">
        <v>179.0</v>
      </c>
      <c r="O150" s="4">
        <v>14857.0</v>
      </c>
      <c r="P150" s="4">
        <f t="shared" si="1"/>
        <v>37.23333333</v>
      </c>
      <c r="Q150" s="4" t="str">
        <f t="shared" si="2"/>
        <v>Normal</v>
      </c>
      <c r="R150" s="1" t="str">
        <f t="shared" si="3"/>
        <v>Normal</v>
      </c>
      <c r="S150" s="4">
        <f t="shared" si="4"/>
        <v>29.33244366</v>
      </c>
      <c r="T150" s="1" t="str">
        <f t="shared" si="5"/>
        <v>Normal Cost</v>
      </c>
      <c r="U150" s="4">
        <f t="shared" si="6"/>
        <v>0.4044221579</v>
      </c>
    </row>
    <row r="151">
      <c r="A151" s="4" t="s">
        <v>394</v>
      </c>
      <c r="B151" s="4" t="s">
        <v>41</v>
      </c>
      <c r="C151" s="4">
        <v>81.9667</v>
      </c>
      <c r="D151" s="4" t="s">
        <v>42</v>
      </c>
      <c r="E151" s="4" t="s">
        <v>70</v>
      </c>
      <c r="F151" s="4">
        <v>9.11</v>
      </c>
      <c r="G151" s="4">
        <v>91.81</v>
      </c>
      <c r="H151" s="4">
        <v>2.733413636E9</v>
      </c>
      <c r="I151" s="4">
        <v>1.1394335199E10</v>
      </c>
      <c r="J151" s="4" t="s">
        <v>395</v>
      </c>
      <c r="K151" s="4" t="s">
        <v>396</v>
      </c>
      <c r="L151" s="4">
        <v>3.79</v>
      </c>
      <c r="M151" s="4">
        <v>310.65</v>
      </c>
      <c r="N151" s="4">
        <v>311.0</v>
      </c>
      <c r="O151" s="4">
        <v>25813.0</v>
      </c>
      <c r="P151" s="4">
        <f t="shared" si="1"/>
        <v>81.96666667</v>
      </c>
      <c r="Q151" s="4" t="str">
        <f t="shared" si="2"/>
        <v>Underutilized</v>
      </c>
      <c r="R151" s="1" t="str">
        <f t="shared" si="3"/>
        <v>High</v>
      </c>
      <c r="S151" s="4">
        <f t="shared" si="4"/>
        <v>13.15749142</v>
      </c>
      <c r="T151" s="1" t="str">
        <f t="shared" si="5"/>
        <v>Normal Cost</v>
      </c>
      <c r="U151" s="4">
        <f t="shared" si="6"/>
        <v>0.1954828962</v>
      </c>
    </row>
    <row r="152">
      <c r="A152" s="4" t="s">
        <v>397</v>
      </c>
      <c r="B152" s="4" t="s">
        <v>112</v>
      </c>
      <c r="C152" s="4">
        <v>91.2833</v>
      </c>
      <c r="D152" s="4" t="s">
        <v>42</v>
      </c>
      <c r="E152" s="4" t="s">
        <v>27</v>
      </c>
      <c r="F152" s="4">
        <v>49.39</v>
      </c>
      <c r="G152" s="4">
        <v>55.98</v>
      </c>
      <c r="H152" s="4">
        <v>2.2028437577E10</v>
      </c>
      <c r="I152" s="4">
        <v>2.7660730423E10</v>
      </c>
      <c r="J152" s="5">
        <v>45512.27222222222</v>
      </c>
      <c r="K152" s="5">
        <v>45634.075694444444</v>
      </c>
      <c r="L152" s="4">
        <v>2.86</v>
      </c>
      <c r="M152" s="4">
        <v>261.07</v>
      </c>
      <c r="N152" s="4">
        <v>261.0</v>
      </c>
      <c r="O152" s="4">
        <v>21663.0</v>
      </c>
      <c r="P152" s="4">
        <f t="shared" si="1"/>
        <v>91.28333333</v>
      </c>
      <c r="Q152" s="4" t="str">
        <f t="shared" si="2"/>
        <v>Normal</v>
      </c>
      <c r="R152" s="1" t="str">
        <f t="shared" si="3"/>
        <v>Normal</v>
      </c>
      <c r="S152" s="4">
        <f t="shared" si="4"/>
        <v>46.27664387</v>
      </c>
      <c r="T152" s="1" t="str">
        <f t="shared" si="5"/>
        <v>Normal Cost</v>
      </c>
      <c r="U152" s="4">
        <f t="shared" si="6"/>
        <v>0.2432026958</v>
      </c>
    </row>
    <row r="153">
      <c r="A153" s="4" t="s">
        <v>398</v>
      </c>
      <c r="B153" s="4" t="s">
        <v>350</v>
      </c>
      <c r="C153" s="4">
        <v>285.4157</v>
      </c>
      <c r="D153" s="4" t="s">
        <v>21</v>
      </c>
      <c r="E153" s="4" t="s">
        <v>37</v>
      </c>
      <c r="F153" s="4">
        <v>61.17</v>
      </c>
      <c r="G153" s="4">
        <v>60.41</v>
      </c>
      <c r="H153" s="4">
        <v>9.0250268485E10</v>
      </c>
      <c r="I153" s="4">
        <v>9.3158127891E10</v>
      </c>
      <c r="J153" s="4" t="s">
        <v>399</v>
      </c>
      <c r="K153" s="4" t="s">
        <v>400</v>
      </c>
      <c r="L153" s="4">
        <v>4.99</v>
      </c>
      <c r="M153" s="4">
        <v>1424.22</v>
      </c>
      <c r="N153" s="4">
        <v>1424.0</v>
      </c>
      <c r="O153" s="4">
        <v>118192.0</v>
      </c>
      <c r="P153" s="4">
        <f t="shared" si="1"/>
        <v>94.56666667</v>
      </c>
      <c r="Q153" s="4" t="str">
        <f t="shared" si="2"/>
        <v>Normal</v>
      </c>
      <c r="R153" s="1" t="str">
        <f t="shared" si="3"/>
        <v>Normal</v>
      </c>
      <c r="S153" s="4">
        <f t="shared" si="4"/>
        <v>170.8123799</v>
      </c>
      <c r="T153" s="1" t="str">
        <f t="shared" si="5"/>
        <v>Normal Cost</v>
      </c>
      <c r="U153" s="4">
        <f t="shared" si="6"/>
        <v>0.05143326113</v>
      </c>
    </row>
    <row r="154">
      <c r="A154" s="4" t="s">
        <v>401</v>
      </c>
      <c r="B154" s="4" t="s">
        <v>46</v>
      </c>
      <c r="C154" s="4">
        <v>920.1814</v>
      </c>
      <c r="D154" s="4" t="s">
        <v>21</v>
      </c>
      <c r="E154" s="4" t="s">
        <v>37</v>
      </c>
      <c r="F154" s="4">
        <v>11.67</v>
      </c>
      <c r="G154" s="4">
        <v>6.75</v>
      </c>
      <c r="H154" s="4">
        <v>4.1021653388E10</v>
      </c>
      <c r="I154" s="4">
        <v>4.1645168947E10</v>
      </c>
      <c r="J154" s="5">
        <v>45299.677083333336</v>
      </c>
      <c r="K154" s="5">
        <v>45359.90833333333</v>
      </c>
      <c r="L154" s="4">
        <v>5.78</v>
      </c>
      <c r="M154" s="4">
        <v>5318.65</v>
      </c>
      <c r="N154" s="4">
        <v>5319.0</v>
      </c>
      <c r="O154" s="4">
        <v>441477.0</v>
      </c>
      <c r="P154" s="4">
        <f t="shared" si="1"/>
        <v>53.55</v>
      </c>
      <c r="Q154" s="4" t="str">
        <f t="shared" si="2"/>
        <v>Underutilized</v>
      </c>
      <c r="R154" s="1" t="str">
        <f t="shared" si="3"/>
        <v>Underutilized</v>
      </c>
      <c r="S154" s="4">
        <f t="shared" si="4"/>
        <v>76.98947781</v>
      </c>
      <c r="T154" s="1" t="str">
        <f t="shared" si="5"/>
        <v>High Cost</v>
      </c>
      <c r="U154" s="4">
        <f t="shared" si="6"/>
        <v>0.002086178895</v>
      </c>
    </row>
    <row r="155">
      <c r="A155" s="4" t="s">
        <v>402</v>
      </c>
      <c r="B155" s="4" t="s">
        <v>57</v>
      </c>
      <c r="C155" s="4">
        <v>172.8983</v>
      </c>
      <c r="D155" s="4" t="s">
        <v>17</v>
      </c>
      <c r="E155" s="4" t="s">
        <v>58</v>
      </c>
      <c r="F155" s="4">
        <v>65.78</v>
      </c>
      <c r="G155" s="4">
        <v>49.37</v>
      </c>
      <c r="H155" s="4">
        <v>4.0690406858E10</v>
      </c>
      <c r="I155" s="4">
        <v>4.2071342892E10</v>
      </c>
      <c r="J155" s="4" t="s">
        <v>403</v>
      </c>
      <c r="K155" s="4" t="s">
        <v>404</v>
      </c>
      <c r="L155" s="4">
        <v>3.57</v>
      </c>
      <c r="M155" s="4">
        <v>617.25</v>
      </c>
      <c r="N155" s="4">
        <v>617.0</v>
      </c>
      <c r="O155" s="4">
        <v>51211.0</v>
      </c>
      <c r="P155" s="4">
        <f t="shared" si="1"/>
        <v>30.68333333</v>
      </c>
      <c r="Q155" s="4" t="str">
        <f t="shared" si="2"/>
        <v>Normal</v>
      </c>
      <c r="R155" s="1" t="str">
        <f t="shared" si="3"/>
        <v>Normal</v>
      </c>
      <c r="S155" s="4">
        <f t="shared" si="4"/>
        <v>77.07788586</v>
      </c>
      <c r="T155" s="1" t="str">
        <f t="shared" si="5"/>
        <v>Normal Cost</v>
      </c>
      <c r="U155" s="4">
        <f t="shared" si="6"/>
        <v>0.1124270176</v>
      </c>
    </row>
    <row r="156">
      <c r="A156" s="4" t="s">
        <v>405</v>
      </c>
      <c r="B156" s="4" t="s">
        <v>20</v>
      </c>
      <c r="C156" s="4">
        <v>797.1267</v>
      </c>
      <c r="D156" s="4" t="s">
        <v>17</v>
      </c>
      <c r="E156" s="4" t="s">
        <v>155</v>
      </c>
      <c r="F156" s="4">
        <v>47.26</v>
      </c>
      <c r="G156" s="4">
        <v>32.4</v>
      </c>
      <c r="H156" s="4">
        <v>4.9133289978E10</v>
      </c>
      <c r="I156" s="4">
        <v>5.7067243038E10</v>
      </c>
      <c r="J156" s="4" t="s">
        <v>406</v>
      </c>
      <c r="K156" s="4" t="s">
        <v>407</v>
      </c>
      <c r="L156" s="4">
        <v>2.37</v>
      </c>
      <c r="M156" s="4">
        <v>1889.19</v>
      </c>
      <c r="N156" s="4">
        <v>1889.0</v>
      </c>
      <c r="O156" s="4">
        <v>156787.0</v>
      </c>
      <c r="P156" s="4">
        <f t="shared" si="1"/>
        <v>62.5</v>
      </c>
      <c r="Q156" s="4" t="str">
        <f t="shared" si="2"/>
        <v>Normal</v>
      </c>
      <c r="R156" s="1" t="str">
        <f t="shared" si="3"/>
        <v>Underutilized</v>
      </c>
      <c r="S156" s="4">
        <f t="shared" si="4"/>
        <v>98.90695383</v>
      </c>
      <c r="T156" s="1" t="str">
        <f t="shared" si="5"/>
        <v>Normal Cost</v>
      </c>
      <c r="U156" s="4">
        <f t="shared" si="6"/>
        <v>0.0254038919</v>
      </c>
    </row>
    <row r="157">
      <c r="A157" s="4" t="s">
        <v>408</v>
      </c>
      <c r="B157" s="4" t="s">
        <v>350</v>
      </c>
      <c r="C157" s="4">
        <v>969.2377</v>
      </c>
      <c r="D157" s="4" t="s">
        <v>21</v>
      </c>
      <c r="E157" s="4" t="s">
        <v>70</v>
      </c>
      <c r="F157" s="4">
        <v>75.63</v>
      </c>
      <c r="G157" s="4">
        <v>26.47</v>
      </c>
      <c r="H157" s="4">
        <v>6.6245831479E10</v>
      </c>
      <c r="I157" s="4">
        <v>6.8572243374E10</v>
      </c>
      <c r="J157" s="5">
        <v>45512.29652777778</v>
      </c>
      <c r="K157" s="5">
        <v>45604.22083333333</v>
      </c>
      <c r="L157" s="4">
        <v>3.68</v>
      </c>
      <c r="M157" s="4">
        <v>3566.79</v>
      </c>
      <c r="N157" s="4">
        <v>3567.0</v>
      </c>
      <c r="O157" s="4">
        <v>296061.0</v>
      </c>
      <c r="P157" s="4">
        <f t="shared" si="1"/>
        <v>70.18333333</v>
      </c>
      <c r="Q157" s="4" t="str">
        <f t="shared" si="2"/>
        <v>High</v>
      </c>
      <c r="R157" s="1" t="str">
        <f t="shared" si="3"/>
        <v>Underutilized</v>
      </c>
      <c r="S157" s="4">
        <f t="shared" si="4"/>
        <v>125.5591166</v>
      </c>
      <c r="T157" s="1" t="str">
        <f t="shared" si="5"/>
        <v>High Cost</v>
      </c>
      <c r="U157" s="4">
        <f t="shared" si="6"/>
        <v>0.01724306815</v>
      </c>
    </row>
    <row r="158">
      <c r="A158" s="4" t="s">
        <v>409</v>
      </c>
      <c r="B158" s="4" t="s">
        <v>139</v>
      </c>
      <c r="C158" s="4">
        <v>41.0</v>
      </c>
      <c r="D158" s="4" t="s">
        <v>42</v>
      </c>
      <c r="E158" s="4" t="s">
        <v>27</v>
      </c>
      <c r="F158" s="4">
        <v>12.48</v>
      </c>
      <c r="G158" s="4">
        <v>86.83</v>
      </c>
      <c r="H158" s="4">
        <v>6.7740447477E10</v>
      </c>
      <c r="I158" s="4">
        <v>7.2345991079E10</v>
      </c>
      <c r="J158" s="4" t="s">
        <v>410</v>
      </c>
      <c r="K158" s="4" t="s">
        <v>411</v>
      </c>
      <c r="L158" s="4">
        <v>9.52</v>
      </c>
      <c r="M158" s="4">
        <v>390.32</v>
      </c>
      <c r="N158" s="4">
        <v>390.0</v>
      </c>
      <c r="O158" s="4">
        <v>32370.0</v>
      </c>
      <c r="P158" s="4">
        <f t="shared" si="1"/>
        <v>41</v>
      </c>
      <c r="Q158" s="4" t="str">
        <f t="shared" si="2"/>
        <v>Underutilized</v>
      </c>
      <c r="R158" s="1" t="str">
        <f t="shared" si="3"/>
        <v>High</v>
      </c>
      <c r="S158" s="4">
        <f t="shared" si="4"/>
        <v>130.4656626</v>
      </c>
      <c r="T158" s="1" t="str">
        <f t="shared" si="5"/>
        <v>Normal Cost</v>
      </c>
      <c r="U158" s="4">
        <f t="shared" si="6"/>
        <v>0.1533982082</v>
      </c>
    </row>
    <row r="159">
      <c r="A159" s="4" t="s">
        <v>412</v>
      </c>
      <c r="B159" s="4" t="s">
        <v>60</v>
      </c>
      <c r="C159" s="4">
        <v>29.4333</v>
      </c>
      <c r="D159" s="4" t="s">
        <v>42</v>
      </c>
      <c r="E159" s="4" t="s">
        <v>70</v>
      </c>
      <c r="F159" s="4">
        <v>42.37</v>
      </c>
      <c r="G159" s="4">
        <v>10.16</v>
      </c>
      <c r="H159" s="4">
        <v>5.9618341689E10</v>
      </c>
      <c r="I159" s="4">
        <v>6.2544877344E10</v>
      </c>
      <c r="J159" s="4" t="s">
        <v>413</v>
      </c>
      <c r="K159" s="4" t="s">
        <v>414</v>
      </c>
      <c r="L159" s="4">
        <v>2.46</v>
      </c>
      <c r="M159" s="4">
        <v>72.41</v>
      </c>
      <c r="N159" s="4">
        <v>72.0</v>
      </c>
      <c r="O159" s="4">
        <v>5976.0</v>
      </c>
      <c r="P159" s="4">
        <f t="shared" si="1"/>
        <v>29.43333333</v>
      </c>
      <c r="Q159" s="4" t="str">
        <f t="shared" si="2"/>
        <v>Normal</v>
      </c>
      <c r="R159" s="1" t="str">
        <f t="shared" si="3"/>
        <v>Underutilized</v>
      </c>
      <c r="S159" s="4">
        <f t="shared" si="4"/>
        <v>113.7733637</v>
      </c>
      <c r="T159" s="1" t="str">
        <f t="shared" si="5"/>
        <v>Normal Cost</v>
      </c>
      <c r="U159" s="4">
        <f t="shared" si="6"/>
        <v>0.4395080321</v>
      </c>
    </row>
    <row r="160">
      <c r="A160" s="4" t="s">
        <v>415</v>
      </c>
      <c r="B160" s="4" t="s">
        <v>79</v>
      </c>
      <c r="C160" s="4">
        <v>527.2681</v>
      </c>
      <c r="D160" s="4" t="s">
        <v>17</v>
      </c>
      <c r="E160" s="4" t="s">
        <v>155</v>
      </c>
      <c r="F160" s="4">
        <v>61.56</v>
      </c>
      <c r="G160" s="4">
        <v>43.96</v>
      </c>
      <c r="H160" s="4">
        <v>2.6482469626E10</v>
      </c>
      <c r="I160" s="4">
        <v>2.7726221853E10</v>
      </c>
      <c r="J160" s="5">
        <v>45389.49722222222</v>
      </c>
      <c r="K160" s="5">
        <v>45511.93194444444</v>
      </c>
      <c r="L160" s="4">
        <v>8.95</v>
      </c>
      <c r="M160" s="4">
        <v>4719.05</v>
      </c>
      <c r="N160" s="4">
        <v>4719.0</v>
      </c>
      <c r="O160" s="4">
        <v>391677.0</v>
      </c>
      <c r="P160" s="4">
        <f t="shared" si="1"/>
        <v>106.4333333</v>
      </c>
      <c r="Q160" s="4" t="str">
        <f t="shared" si="2"/>
        <v>Normal</v>
      </c>
      <c r="R160" s="1" t="str">
        <f t="shared" si="3"/>
        <v>Normal</v>
      </c>
      <c r="S160" s="4">
        <f t="shared" si="4"/>
        <v>50.48577811</v>
      </c>
      <c r="T160" s="1" t="str">
        <f t="shared" si="5"/>
        <v>High Cost</v>
      </c>
      <c r="U160" s="4">
        <f t="shared" si="6"/>
        <v>0.01347028291</v>
      </c>
    </row>
    <row r="161">
      <c r="A161" s="4" t="s">
        <v>416</v>
      </c>
      <c r="B161" s="4" t="s">
        <v>20</v>
      </c>
      <c r="C161" s="4">
        <v>479.0396</v>
      </c>
      <c r="D161" s="4" t="s">
        <v>21</v>
      </c>
      <c r="E161" s="4" t="s">
        <v>123</v>
      </c>
      <c r="F161" s="4">
        <v>42.92</v>
      </c>
      <c r="G161" s="4">
        <v>44.41</v>
      </c>
      <c r="H161" s="4">
        <v>8.5684453033E10</v>
      </c>
      <c r="I161" s="4">
        <v>9.2660908223E10</v>
      </c>
      <c r="J161" s="4" t="s">
        <v>417</v>
      </c>
      <c r="K161" s="4" t="s">
        <v>418</v>
      </c>
      <c r="L161" s="4">
        <v>9.37</v>
      </c>
      <c r="M161" s="4">
        <v>4488.6</v>
      </c>
      <c r="N161" s="4">
        <v>4489.0</v>
      </c>
      <c r="O161" s="4">
        <v>372587.0</v>
      </c>
      <c r="P161" s="4">
        <f t="shared" si="1"/>
        <v>119.6833333</v>
      </c>
      <c r="Q161" s="4" t="str">
        <f t="shared" si="2"/>
        <v>Normal</v>
      </c>
      <c r="R161" s="1" t="str">
        <f t="shared" si="3"/>
        <v>Normal</v>
      </c>
      <c r="S161" s="4">
        <f t="shared" si="4"/>
        <v>166.097061</v>
      </c>
      <c r="T161" s="1" t="str">
        <f t="shared" si="5"/>
        <v>High Cost</v>
      </c>
      <c r="U161" s="4">
        <f t="shared" si="6"/>
        <v>0.0117194105</v>
      </c>
    </row>
    <row r="162">
      <c r="A162" s="4" t="s">
        <v>419</v>
      </c>
      <c r="B162" s="4" t="s">
        <v>66</v>
      </c>
      <c r="C162" s="4">
        <v>380.5532</v>
      </c>
      <c r="D162" s="4" t="s">
        <v>21</v>
      </c>
      <c r="E162" s="4" t="s">
        <v>18</v>
      </c>
      <c r="F162" s="4">
        <v>72.64</v>
      </c>
      <c r="G162" s="4">
        <v>5.69</v>
      </c>
      <c r="H162" s="4">
        <v>3.859269819E10</v>
      </c>
      <c r="I162" s="4">
        <v>4.3204718062E10</v>
      </c>
      <c r="J162" s="5">
        <v>45480.18263888889</v>
      </c>
      <c r="K162" s="5">
        <v>45572.54236111111</v>
      </c>
      <c r="L162" s="4">
        <v>1.44</v>
      </c>
      <c r="M162" s="4">
        <v>548.0</v>
      </c>
      <c r="N162" s="4">
        <v>548.0</v>
      </c>
      <c r="O162" s="4">
        <v>45484.0</v>
      </c>
      <c r="P162" s="4">
        <f t="shared" si="1"/>
        <v>80.63333333</v>
      </c>
      <c r="Q162" s="4" t="str">
        <f t="shared" si="2"/>
        <v>High</v>
      </c>
      <c r="R162" s="1" t="str">
        <f t="shared" si="3"/>
        <v>Underutilized</v>
      </c>
      <c r="S162" s="4">
        <f t="shared" si="4"/>
        <v>76.1797803</v>
      </c>
      <c r="T162" s="1" t="str">
        <f t="shared" si="5"/>
        <v>Normal Cost</v>
      </c>
      <c r="U162" s="4">
        <f t="shared" si="6"/>
        <v>0.08610720253</v>
      </c>
    </row>
    <row r="163">
      <c r="A163" s="4" t="s">
        <v>420</v>
      </c>
      <c r="B163" s="4" t="s">
        <v>62</v>
      </c>
      <c r="C163" s="4">
        <v>85.9833</v>
      </c>
      <c r="D163" s="4" t="s">
        <v>42</v>
      </c>
      <c r="E163" s="4" t="s">
        <v>70</v>
      </c>
      <c r="F163" s="4">
        <v>53.92</v>
      </c>
      <c r="G163" s="4">
        <v>87.64</v>
      </c>
      <c r="H163" s="4">
        <v>6.2733736295E10</v>
      </c>
      <c r="I163" s="4">
        <v>6.3469831841E10</v>
      </c>
      <c r="J163" s="4" t="s">
        <v>421</v>
      </c>
      <c r="K163" s="4" t="s">
        <v>422</v>
      </c>
      <c r="L163" s="4">
        <v>5.13</v>
      </c>
      <c r="M163" s="4">
        <v>441.09</v>
      </c>
      <c r="N163" s="4">
        <v>441.0</v>
      </c>
      <c r="O163" s="4">
        <v>36603.0</v>
      </c>
      <c r="P163" s="4">
        <f t="shared" si="1"/>
        <v>85.98333333</v>
      </c>
      <c r="Q163" s="4" t="str">
        <f t="shared" si="2"/>
        <v>Normal</v>
      </c>
      <c r="R163" s="1" t="str">
        <f t="shared" si="3"/>
        <v>High</v>
      </c>
      <c r="S163" s="4">
        <f t="shared" si="4"/>
        <v>117.536232</v>
      </c>
      <c r="T163" s="1" t="str">
        <f t="shared" si="5"/>
        <v>Normal Cost</v>
      </c>
      <c r="U163" s="4">
        <f t="shared" si="6"/>
        <v>0.193372128</v>
      </c>
    </row>
    <row r="164">
      <c r="A164" s="4" t="s">
        <v>423</v>
      </c>
      <c r="B164" s="4" t="s">
        <v>79</v>
      </c>
      <c r="C164" s="4">
        <v>229.8575</v>
      </c>
      <c r="D164" s="4" t="s">
        <v>21</v>
      </c>
      <c r="E164" s="4" t="s">
        <v>22</v>
      </c>
      <c r="F164" s="4">
        <v>57.46</v>
      </c>
      <c r="G164" s="4">
        <v>77.24</v>
      </c>
      <c r="H164" s="4">
        <v>3.8855757756E10</v>
      </c>
      <c r="I164" s="4">
        <v>4.7760727242E10</v>
      </c>
      <c r="J164" s="4" t="s">
        <v>424</v>
      </c>
      <c r="K164" s="4" t="s">
        <v>425</v>
      </c>
      <c r="L164" s="4">
        <v>6.93</v>
      </c>
      <c r="M164" s="4">
        <v>1592.91</v>
      </c>
      <c r="N164" s="4">
        <v>1593.0</v>
      </c>
      <c r="O164" s="4">
        <v>132219.0</v>
      </c>
      <c r="P164" s="4">
        <f t="shared" si="1"/>
        <v>131.5333333</v>
      </c>
      <c r="Q164" s="4" t="str">
        <f t="shared" si="2"/>
        <v>Normal</v>
      </c>
      <c r="R164" s="1" t="str">
        <f t="shared" si="3"/>
        <v>High</v>
      </c>
      <c r="S164" s="4">
        <f t="shared" si="4"/>
        <v>80.66788781</v>
      </c>
      <c r="T164" s="1" t="str">
        <f t="shared" si="5"/>
        <v>Normal Cost</v>
      </c>
      <c r="U164" s="4">
        <f t="shared" si="6"/>
        <v>0.05093821614</v>
      </c>
    </row>
    <row r="165">
      <c r="A165" s="4" t="s">
        <v>426</v>
      </c>
      <c r="B165" s="4" t="s">
        <v>62</v>
      </c>
      <c r="C165" s="4">
        <v>40.5167</v>
      </c>
      <c r="D165" s="4" t="s">
        <v>42</v>
      </c>
      <c r="E165" s="4" t="s">
        <v>58</v>
      </c>
      <c r="F165" s="4">
        <v>72.28</v>
      </c>
      <c r="G165" s="4">
        <v>1.07</v>
      </c>
      <c r="H165" s="4">
        <v>6.6864225934E10</v>
      </c>
      <c r="I165" s="4">
        <v>7.5372480341E10</v>
      </c>
      <c r="J165" s="5">
        <v>45389.40625</v>
      </c>
      <c r="K165" s="5">
        <v>45450.09444444445</v>
      </c>
      <c r="L165" s="4">
        <v>1.69</v>
      </c>
      <c r="M165" s="4">
        <v>68.47</v>
      </c>
      <c r="N165" s="4">
        <v>68.0</v>
      </c>
      <c r="O165" s="4">
        <v>5644.0</v>
      </c>
      <c r="P165" s="4">
        <f t="shared" si="1"/>
        <v>40.51666667</v>
      </c>
      <c r="Q165" s="4" t="str">
        <f t="shared" si="2"/>
        <v>High</v>
      </c>
      <c r="R165" s="1" t="str">
        <f t="shared" si="3"/>
        <v>Underutilized</v>
      </c>
      <c r="S165" s="4">
        <f t="shared" si="4"/>
        <v>132.4682555</v>
      </c>
      <c r="T165" s="1" t="str">
        <f t="shared" si="5"/>
        <v>Normal Cost</v>
      </c>
      <c r="U165" s="4">
        <f t="shared" si="6"/>
        <v>0.6498051028</v>
      </c>
    </row>
    <row r="166">
      <c r="A166" s="4" t="s">
        <v>427</v>
      </c>
      <c r="B166" s="4" t="s">
        <v>139</v>
      </c>
      <c r="C166" s="4">
        <v>83.7833</v>
      </c>
      <c r="D166" s="4" t="s">
        <v>42</v>
      </c>
      <c r="E166" s="4" t="s">
        <v>123</v>
      </c>
      <c r="F166" s="4">
        <v>76.93</v>
      </c>
      <c r="G166" s="4">
        <v>36.58</v>
      </c>
      <c r="H166" s="4">
        <v>8.648174636E9</v>
      </c>
      <c r="I166" s="4">
        <v>1.1656487141E10</v>
      </c>
      <c r="J166" s="5">
        <v>45451.78888888889</v>
      </c>
      <c r="K166" s="5">
        <v>45573.279861111114</v>
      </c>
      <c r="L166" s="4">
        <v>3.78</v>
      </c>
      <c r="M166" s="4">
        <v>316.7</v>
      </c>
      <c r="N166" s="4">
        <v>317.0</v>
      </c>
      <c r="O166" s="4">
        <v>26311.0</v>
      </c>
      <c r="P166" s="4">
        <f t="shared" si="1"/>
        <v>83.78333333</v>
      </c>
      <c r="Q166" s="4" t="str">
        <f t="shared" si="2"/>
        <v>High</v>
      </c>
      <c r="R166" s="1" t="str">
        <f t="shared" si="3"/>
        <v>Underutilized</v>
      </c>
      <c r="S166" s="4">
        <f t="shared" si="4"/>
        <v>18.91018988</v>
      </c>
      <c r="T166" s="1" t="str">
        <f t="shared" si="5"/>
        <v>Normal Cost</v>
      </c>
      <c r="U166" s="4">
        <f t="shared" si="6"/>
        <v>0.2157082589</v>
      </c>
    </row>
    <row r="167">
      <c r="A167" s="4" t="s">
        <v>428</v>
      </c>
      <c r="B167" s="4" t="s">
        <v>57</v>
      </c>
      <c r="C167" s="4">
        <v>951.3968</v>
      </c>
      <c r="D167" s="4" t="s">
        <v>17</v>
      </c>
      <c r="E167" s="4" t="s">
        <v>123</v>
      </c>
      <c r="F167" s="4">
        <v>12.4</v>
      </c>
      <c r="G167" s="4">
        <v>54.56</v>
      </c>
      <c r="H167" s="4">
        <v>7.7197161447E10</v>
      </c>
      <c r="I167" s="4">
        <v>8.3422102658E10</v>
      </c>
      <c r="J167" s="4" t="s">
        <v>429</v>
      </c>
      <c r="K167" s="4" t="s">
        <v>430</v>
      </c>
      <c r="L167" s="4">
        <v>6.63</v>
      </c>
      <c r="M167" s="4">
        <v>6307.76</v>
      </c>
      <c r="N167" s="4">
        <v>6308.0</v>
      </c>
      <c r="O167" s="4">
        <v>523564.0</v>
      </c>
      <c r="P167" s="4">
        <f t="shared" si="1"/>
        <v>105.1666667</v>
      </c>
      <c r="Q167" s="4" t="str">
        <f t="shared" si="2"/>
        <v>Underutilized</v>
      </c>
      <c r="R167" s="1" t="str">
        <f t="shared" si="3"/>
        <v>Normal</v>
      </c>
      <c r="S167" s="4">
        <f t="shared" si="4"/>
        <v>149.5883466</v>
      </c>
      <c r="T167" s="1" t="str">
        <f t="shared" si="5"/>
        <v>High Cost</v>
      </c>
      <c r="U167" s="4">
        <f t="shared" si="6"/>
        <v>0.006394633703</v>
      </c>
    </row>
    <row r="168">
      <c r="A168" s="4" t="s">
        <v>431</v>
      </c>
      <c r="B168" s="4" t="s">
        <v>31</v>
      </c>
      <c r="C168" s="4">
        <v>70.2611</v>
      </c>
      <c r="D168" s="4" t="s">
        <v>21</v>
      </c>
      <c r="E168" s="4" t="s">
        <v>18</v>
      </c>
      <c r="F168" s="4">
        <v>79.35</v>
      </c>
      <c r="G168" s="4">
        <v>87.01</v>
      </c>
      <c r="H168" s="4">
        <v>2.5349910366E10</v>
      </c>
      <c r="I168" s="4">
        <v>3.4833914449E10</v>
      </c>
      <c r="J168" s="4" t="s">
        <v>432</v>
      </c>
      <c r="K168" s="4" t="s">
        <v>433</v>
      </c>
      <c r="L168" s="4">
        <v>2.98</v>
      </c>
      <c r="M168" s="4">
        <v>209.38</v>
      </c>
      <c r="N168" s="4">
        <v>209.0</v>
      </c>
      <c r="O168" s="4">
        <v>17347.0</v>
      </c>
      <c r="P168" s="4">
        <f t="shared" si="1"/>
        <v>82.01666667</v>
      </c>
      <c r="Q168" s="4" t="str">
        <f t="shared" si="2"/>
        <v>High</v>
      </c>
      <c r="R168" s="1" t="str">
        <f t="shared" si="3"/>
        <v>High</v>
      </c>
      <c r="S168" s="4">
        <f t="shared" si="4"/>
        <v>56.05055468</v>
      </c>
      <c r="T168" s="1" t="str">
        <f t="shared" si="5"/>
        <v>Normal Cost</v>
      </c>
      <c r="U168" s="4">
        <f t="shared" si="6"/>
        <v>0.4795065429</v>
      </c>
    </row>
    <row r="169">
      <c r="A169" s="4" t="s">
        <v>434</v>
      </c>
      <c r="B169" s="4" t="s">
        <v>128</v>
      </c>
      <c r="C169" s="4">
        <v>238.7864</v>
      </c>
      <c r="D169" s="4" t="s">
        <v>17</v>
      </c>
      <c r="E169" s="4" t="s">
        <v>54</v>
      </c>
      <c r="F169" s="4">
        <v>5.93</v>
      </c>
      <c r="G169" s="4">
        <v>62.48</v>
      </c>
      <c r="H169" s="4">
        <v>5.7070039373E10</v>
      </c>
      <c r="I169" s="4">
        <v>5.8938060747E10</v>
      </c>
      <c r="J169" s="5">
        <v>45572.5625</v>
      </c>
      <c r="K169" s="4" t="s">
        <v>435</v>
      </c>
      <c r="L169" s="4">
        <v>8.27</v>
      </c>
      <c r="M169" s="4">
        <v>1974.76</v>
      </c>
      <c r="N169" s="4">
        <v>1975.0</v>
      </c>
      <c r="O169" s="4">
        <v>163925.0</v>
      </c>
      <c r="P169" s="4">
        <f t="shared" si="1"/>
        <v>79.5</v>
      </c>
      <c r="Q169" s="4" t="str">
        <f t="shared" si="2"/>
        <v>Underutilized</v>
      </c>
      <c r="R169" s="1" t="str">
        <f t="shared" si="3"/>
        <v>Normal</v>
      </c>
      <c r="S169" s="4">
        <f t="shared" si="4"/>
        <v>108.0409625</v>
      </c>
      <c r="T169" s="1" t="str">
        <f t="shared" si="5"/>
        <v>Normal Cost</v>
      </c>
      <c r="U169" s="4">
        <f t="shared" si="6"/>
        <v>0.02086624981</v>
      </c>
    </row>
    <row r="170">
      <c r="A170" s="4" t="s">
        <v>436</v>
      </c>
      <c r="B170" s="4" t="s">
        <v>99</v>
      </c>
      <c r="C170" s="4">
        <v>922.9486</v>
      </c>
      <c r="D170" s="4" t="s">
        <v>17</v>
      </c>
      <c r="E170" s="4" t="s">
        <v>105</v>
      </c>
      <c r="F170" s="4">
        <v>76.92</v>
      </c>
      <c r="G170" s="4">
        <v>85.55</v>
      </c>
      <c r="H170" s="4">
        <v>6.5876897775E10</v>
      </c>
      <c r="I170" s="4">
        <v>7.0949514077E10</v>
      </c>
      <c r="J170" s="4" t="s">
        <v>437</v>
      </c>
      <c r="K170" s="4" t="s">
        <v>438</v>
      </c>
      <c r="L170" s="4">
        <v>8.95</v>
      </c>
      <c r="M170" s="4">
        <v>8260.39</v>
      </c>
      <c r="N170" s="4">
        <v>8260.0</v>
      </c>
      <c r="O170" s="4">
        <v>685580.0</v>
      </c>
      <c r="P170" s="4">
        <f t="shared" si="1"/>
        <v>24.21666667</v>
      </c>
      <c r="Q170" s="4" t="str">
        <f t="shared" si="2"/>
        <v>High</v>
      </c>
      <c r="R170" s="1" t="str">
        <f t="shared" si="3"/>
        <v>High</v>
      </c>
      <c r="S170" s="4">
        <f t="shared" si="4"/>
        <v>127.4295262</v>
      </c>
      <c r="T170" s="1" t="str">
        <f t="shared" si="5"/>
        <v>High Cost</v>
      </c>
      <c r="U170" s="4">
        <f t="shared" si="6"/>
        <v>0.01184909128</v>
      </c>
    </row>
    <row r="171">
      <c r="A171" s="4" t="s">
        <v>439</v>
      </c>
      <c r="B171" s="4" t="s">
        <v>20</v>
      </c>
      <c r="C171" s="4">
        <v>725.2437</v>
      </c>
      <c r="D171" s="4" t="s">
        <v>17</v>
      </c>
      <c r="E171" s="4" t="s">
        <v>27</v>
      </c>
      <c r="F171" s="4">
        <v>8.5</v>
      </c>
      <c r="G171" s="4">
        <v>97.79</v>
      </c>
      <c r="H171" s="4">
        <v>5.381390902E10</v>
      </c>
      <c r="I171" s="4">
        <v>5.9457074076E10</v>
      </c>
      <c r="J171" s="5">
        <v>45330.853472222225</v>
      </c>
      <c r="K171" s="5">
        <v>45420.86666666667</v>
      </c>
      <c r="L171" s="4">
        <v>1.08</v>
      </c>
      <c r="M171" s="4">
        <v>783.26</v>
      </c>
      <c r="N171" s="4">
        <v>783.0</v>
      </c>
      <c r="O171" s="4">
        <v>64989.0</v>
      </c>
      <c r="P171" s="4">
        <f t="shared" si="1"/>
        <v>72.31666667</v>
      </c>
      <c r="Q171" s="4" t="str">
        <f t="shared" si="2"/>
        <v>Underutilized</v>
      </c>
      <c r="R171" s="1" t="str">
        <f t="shared" si="3"/>
        <v>High</v>
      </c>
      <c r="S171" s="4">
        <f t="shared" si="4"/>
        <v>105.4918236</v>
      </c>
      <c r="T171" s="1" t="str">
        <f t="shared" si="5"/>
        <v>Normal Cost</v>
      </c>
      <c r="U171" s="4">
        <f t="shared" si="6"/>
        <v>0.08177537737</v>
      </c>
    </row>
    <row r="172">
      <c r="A172" s="4" t="s">
        <v>440</v>
      </c>
      <c r="B172" s="4" t="s">
        <v>41</v>
      </c>
      <c r="C172" s="4">
        <v>105.8667</v>
      </c>
      <c r="D172" s="4" t="s">
        <v>42</v>
      </c>
      <c r="E172" s="4" t="s">
        <v>58</v>
      </c>
      <c r="F172" s="4">
        <v>61.54</v>
      </c>
      <c r="G172" s="4">
        <v>32.76</v>
      </c>
      <c r="H172" s="4">
        <v>6.1905026501E10</v>
      </c>
      <c r="I172" s="4">
        <v>6.971196411E10</v>
      </c>
      <c r="J172" s="4" t="s">
        <v>441</v>
      </c>
      <c r="K172" s="4" t="s">
        <v>442</v>
      </c>
      <c r="L172" s="4">
        <v>5.77</v>
      </c>
      <c r="M172" s="4">
        <v>610.85</v>
      </c>
      <c r="N172" s="4">
        <v>611.0</v>
      </c>
      <c r="O172" s="4">
        <v>50713.0</v>
      </c>
      <c r="P172" s="4">
        <f t="shared" si="1"/>
        <v>105.8666667</v>
      </c>
      <c r="Q172" s="4" t="str">
        <f t="shared" si="2"/>
        <v>Normal</v>
      </c>
      <c r="R172" s="1" t="str">
        <f t="shared" si="3"/>
        <v>Underutilized</v>
      </c>
      <c r="S172" s="4">
        <f t="shared" si="4"/>
        <v>122.5778746</v>
      </c>
      <c r="T172" s="1" t="str">
        <f t="shared" si="5"/>
        <v>Normal Cost</v>
      </c>
      <c r="U172" s="4">
        <f t="shared" si="6"/>
        <v>0.09297418808</v>
      </c>
    </row>
    <row r="173">
      <c r="A173" s="4" t="s">
        <v>443</v>
      </c>
      <c r="B173" s="4" t="s">
        <v>62</v>
      </c>
      <c r="C173" s="4">
        <v>104.3167</v>
      </c>
      <c r="D173" s="4" t="s">
        <v>42</v>
      </c>
      <c r="E173" s="4" t="s">
        <v>105</v>
      </c>
      <c r="F173" s="4">
        <v>68.9</v>
      </c>
      <c r="G173" s="4">
        <v>78.67</v>
      </c>
      <c r="H173" s="4">
        <v>9.7238146056E10</v>
      </c>
      <c r="I173" s="6">
        <v>1.0002E11</v>
      </c>
      <c r="J173" s="5">
        <v>45512.152083333334</v>
      </c>
      <c r="K173" s="5">
        <v>45634.498611111114</v>
      </c>
      <c r="L173" s="4">
        <v>4.78</v>
      </c>
      <c r="M173" s="4">
        <v>498.63</v>
      </c>
      <c r="N173" s="4">
        <v>499.0</v>
      </c>
      <c r="O173" s="4">
        <v>41417.0</v>
      </c>
      <c r="P173" s="4">
        <f t="shared" si="1"/>
        <v>104.3166667</v>
      </c>
      <c r="Q173" s="4" t="str">
        <f t="shared" si="2"/>
        <v>Normal</v>
      </c>
      <c r="R173" s="1" t="str">
        <f t="shared" si="3"/>
        <v>High</v>
      </c>
      <c r="S173" s="6">
        <f t="shared" si="4"/>
        <v>183.7109644</v>
      </c>
      <c r="T173" s="1" t="str">
        <f t="shared" si="5"/>
        <v>Normal Cost</v>
      </c>
      <c r="U173" s="4">
        <f t="shared" si="6"/>
        <v>0.1781514837</v>
      </c>
    </row>
    <row r="174">
      <c r="A174" s="4" t="s">
        <v>444</v>
      </c>
      <c r="B174" s="4" t="s">
        <v>53</v>
      </c>
      <c r="C174" s="4">
        <v>93.7206</v>
      </c>
      <c r="D174" s="4" t="s">
        <v>17</v>
      </c>
      <c r="E174" s="4" t="s">
        <v>155</v>
      </c>
      <c r="F174" s="4">
        <v>37.37</v>
      </c>
      <c r="G174" s="4">
        <v>52.97</v>
      </c>
      <c r="H174" s="4">
        <v>8.4776844257E10</v>
      </c>
      <c r="I174" s="4">
        <v>8.696757628E10</v>
      </c>
      <c r="J174" s="4" t="s">
        <v>445</v>
      </c>
      <c r="K174" s="4" t="s">
        <v>446</v>
      </c>
      <c r="L174" s="4">
        <v>9.06</v>
      </c>
      <c r="M174" s="4">
        <v>849.11</v>
      </c>
      <c r="N174" s="4">
        <v>849.0</v>
      </c>
      <c r="O174" s="4">
        <v>70467.0</v>
      </c>
      <c r="P174" s="4">
        <f t="shared" si="1"/>
        <v>85.56666667</v>
      </c>
      <c r="Q174" s="4" t="str">
        <f t="shared" si="2"/>
        <v>Normal</v>
      </c>
      <c r="R174" s="1" t="str">
        <f t="shared" si="3"/>
        <v>Normal</v>
      </c>
      <c r="S174" s="4">
        <f t="shared" si="4"/>
        <v>159.9494559</v>
      </c>
      <c r="T174" s="1" t="str">
        <f t="shared" si="5"/>
        <v>Normal Cost</v>
      </c>
      <c r="U174" s="4">
        <f t="shared" si="6"/>
        <v>0.06410092667</v>
      </c>
    </row>
    <row r="175">
      <c r="A175" s="4" t="s">
        <v>447</v>
      </c>
      <c r="B175" s="4" t="s">
        <v>122</v>
      </c>
      <c r="C175" s="4">
        <v>856.1696</v>
      </c>
      <c r="D175" s="4" t="s">
        <v>21</v>
      </c>
      <c r="E175" s="4" t="s">
        <v>70</v>
      </c>
      <c r="F175" s="4">
        <v>91.24</v>
      </c>
      <c r="G175" s="4">
        <v>32.24</v>
      </c>
      <c r="H175" s="4">
        <v>3.379128365E9</v>
      </c>
      <c r="I175" s="4">
        <v>1.3278666797E10</v>
      </c>
      <c r="J175" s="4" t="s">
        <v>448</v>
      </c>
      <c r="K175" s="4" t="s">
        <v>449</v>
      </c>
      <c r="L175" s="4">
        <v>9.55</v>
      </c>
      <c r="M175" s="4">
        <v>8176.42</v>
      </c>
      <c r="N175" s="4">
        <v>8176.0</v>
      </c>
      <c r="O175" s="4">
        <v>678608.0</v>
      </c>
      <c r="P175" s="4">
        <f t="shared" si="1"/>
        <v>24.81666667</v>
      </c>
      <c r="Q175" s="4" t="str">
        <f t="shared" si="2"/>
        <v>High</v>
      </c>
      <c r="R175" s="1" t="str">
        <f t="shared" si="3"/>
        <v>Underutilized</v>
      </c>
      <c r="S175" s="4">
        <f t="shared" si="4"/>
        <v>15.51378068</v>
      </c>
      <c r="T175" s="1" t="str">
        <f t="shared" si="5"/>
        <v>High Cost</v>
      </c>
      <c r="U175" s="4">
        <f t="shared" si="6"/>
        <v>0.00909803598</v>
      </c>
    </row>
    <row r="176">
      <c r="A176" s="4" t="s">
        <v>450</v>
      </c>
      <c r="B176" s="4" t="s">
        <v>79</v>
      </c>
      <c r="C176" s="4">
        <v>698.9762</v>
      </c>
      <c r="D176" s="4" t="s">
        <v>17</v>
      </c>
      <c r="E176" s="4" t="s">
        <v>74</v>
      </c>
      <c r="F176" s="4">
        <v>57.55</v>
      </c>
      <c r="G176" s="4">
        <v>24.88</v>
      </c>
      <c r="H176" s="4">
        <v>4.379117542E9</v>
      </c>
      <c r="I176" s="4">
        <v>9.661924322E9</v>
      </c>
      <c r="J176" s="5">
        <v>45481.143055555556</v>
      </c>
      <c r="K176" s="5">
        <v>45573.58541666667</v>
      </c>
      <c r="L176" s="4">
        <v>5.51</v>
      </c>
      <c r="M176" s="4">
        <v>3851.36</v>
      </c>
      <c r="N176" s="4">
        <v>3851.0</v>
      </c>
      <c r="O176" s="4">
        <v>319633.0</v>
      </c>
      <c r="P176" s="4">
        <f t="shared" si="1"/>
        <v>82.61666667</v>
      </c>
      <c r="Q176" s="4" t="str">
        <f t="shared" si="2"/>
        <v>Normal</v>
      </c>
      <c r="R176" s="1" t="str">
        <f t="shared" si="3"/>
        <v>Underutilized</v>
      </c>
      <c r="S176" s="4">
        <f t="shared" si="4"/>
        <v>13.07673926</v>
      </c>
      <c r="T176" s="1" t="str">
        <f t="shared" si="5"/>
        <v>High Cost</v>
      </c>
      <c r="U176" s="4">
        <f t="shared" si="6"/>
        <v>0.01289447585</v>
      </c>
    </row>
    <row r="177">
      <c r="A177" s="4" t="s">
        <v>451</v>
      </c>
      <c r="B177" s="4" t="s">
        <v>66</v>
      </c>
      <c r="C177" s="4">
        <v>30.4465</v>
      </c>
      <c r="D177" s="4" t="s">
        <v>21</v>
      </c>
      <c r="E177" s="4" t="s">
        <v>37</v>
      </c>
      <c r="F177" s="4">
        <v>99.65</v>
      </c>
      <c r="G177" s="4">
        <v>0.11</v>
      </c>
      <c r="H177" s="4">
        <v>1.65733187E9</v>
      </c>
      <c r="I177" s="4">
        <v>2.827341389E9</v>
      </c>
      <c r="J177" s="5">
        <v>45358.94513888889</v>
      </c>
      <c r="K177" s="5">
        <v>45450.76388888889</v>
      </c>
      <c r="L177" s="4">
        <v>1.52</v>
      </c>
      <c r="M177" s="4">
        <v>46.28</v>
      </c>
      <c r="N177" s="4">
        <v>46.0</v>
      </c>
      <c r="O177" s="4">
        <v>3818.0</v>
      </c>
      <c r="P177" s="4">
        <f t="shared" si="1"/>
        <v>67.65</v>
      </c>
      <c r="Q177" s="4" t="str">
        <f t="shared" si="2"/>
        <v>High</v>
      </c>
      <c r="R177" s="1" t="str">
        <f t="shared" si="3"/>
        <v>Underutilized</v>
      </c>
      <c r="S177" s="4">
        <f t="shared" si="4"/>
        <v>4.176677446</v>
      </c>
      <c r="T177" s="1" t="str">
        <f t="shared" si="5"/>
        <v>Normal Cost</v>
      </c>
      <c r="U177" s="4">
        <f t="shared" si="6"/>
        <v>1.306443164</v>
      </c>
    </row>
    <row r="178">
      <c r="A178" s="4" t="s">
        <v>452</v>
      </c>
      <c r="B178" s="4" t="s">
        <v>147</v>
      </c>
      <c r="C178" s="4">
        <v>71.3667</v>
      </c>
      <c r="D178" s="4" t="s">
        <v>42</v>
      </c>
      <c r="E178" s="4" t="s">
        <v>105</v>
      </c>
      <c r="F178" s="4">
        <v>83.66</v>
      </c>
      <c r="G178" s="4">
        <v>66.91</v>
      </c>
      <c r="H178" s="4">
        <v>6.3346149998E10</v>
      </c>
      <c r="I178" s="4">
        <v>7.2045495081E10</v>
      </c>
      <c r="J178" s="4" t="s">
        <v>453</v>
      </c>
      <c r="K178" s="4" t="s">
        <v>454</v>
      </c>
      <c r="L178" s="4">
        <v>6.34</v>
      </c>
      <c r="M178" s="4">
        <v>452.46</v>
      </c>
      <c r="N178" s="4">
        <v>452.0</v>
      </c>
      <c r="O178" s="4">
        <v>37516.0</v>
      </c>
      <c r="P178" s="4">
        <f t="shared" si="1"/>
        <v>71.36666667</v>
      </c>
      <c r="Q178" s="4" t="str">
        <f t="shared" si="2"/>
        <v>High</v>
      </c>
      <c r="R178" s="1" t="str">
        <f t="shared" si="3"/>
        <v>Normal</v>
      </c>
      <c r="S178" s="4">
        <f t="shared" si="4"/>
        <v>126.0932955</v>
      </c>
      <c r="T178" s="1" t="str">
        <f t="shared" si="5"/>
        <v>Normal Cost</v>
      </c>
      <c r="U178" s="4">
        <f t="shared" si="6"/>
        <v>0.2006743789</v>
      </c>
    </row>
    <row r="179">
      <c r="A179" s="4" t="s">
        <v>455</v>
      </c>
      <c r="B179" s="4" t="s">
        <v>122</v>
      </c>
      <c r="C179" s="4">
        <v>699.0504</v>
      </c>
      <c r="D179" s="4" t="s">
        <v>17</v>
      </c>
      <c r="E179" s="4" t="s">
        <v>22</v>
      </c>
      <c r="F179" s="4">
        <v>53.13</v>
      </c>
      <c r="G179" s="4">
        <v>5.13</v>
      </c>
      <c r="H179" s="4">
        <v>9.9559644545E10</v>
      </c>
      <c r="I179" s="6">
        <v>1.00325E11</v>
      </c>
      <c r="J179" s="4" t="s">
        <v>456</v>
      </c>
      <c r="K179" s="4" t="s">
        <v>457</v>
      </c>
      <c r="L179" s="4">
        <v>3.09</v>
      </c>
      <c r="M179" s="4">
        <v>2160.07</v>
      </c>
      <c r="N179" s="4">
        <v>2160.0</v>
      </c>
      <c r="O179" s="4">
        <v>179280.0</v>
      </c>
      <c r="P179" s="4">
        <f t="shared" si="1"/>
        <v>127.9666667</v>
      </c>
      <c r="Q179" s="4" t="str">
        <f t="shared" si="2"/>
        <v>Normal</v>
      </c>
      <c r="R179" s="1" t="str">
        <f t="shared" si="3"/>
        <v>Underutilized</v>
      </c>
      <c r="S179" s="6">
        <f t="shared" si="4"/>
        <v>186.1570818</v>
      </c>
      <c r="T179" s="1" t="str">
        <f t="shared" si="5"/>
        <v>High Cost</v>
      </c>
      <c r="U179" s="4">
        <f t="shared" si="6"/>
        <v>0.01624832664</v>
      </c>
    </row>
    <row r="180">
      <c r="A180" s="4" t="s">
        <v>458</v>
      </c>
      <c r="B180" s="4" t="s">
        <v>128</v>
      </c>
      <c r="C180" s="4">
        <v>511.0128</v>
      </c>
      <c r="D180" s="4" t="s">
        <v>17</v>
      </c>
      <c r="E180" s="4" t="s">
        <v>70</v>
      </c>
      <c r="F180" s="4">
        <v>11.45</v>
      </c>
      <c r="G180" s="4">
        <v>18.5</v>
      </c>
      <c r="H180" s="4">
        <v>8.0653163423E10</v>
      </c>
      <c r="I180" s="4">
        <v>8.1552719599E10</v>
      </c>
      <c r="J180" s="4" t="s">
        <v>459</v>
      </c>
      <c r="K180" s="4" t="s">
        <v>460</v>
      </c>
      <c r="L180" s="4">
        <v>1.23</v>
      </c>
      <c r="M180" s="4">
        <v>628.55</v>
      </c>
      <c r="N180" s="4">
        <v>629.0</v>
      </c>
      <c r="O180" s="4">
        <v>52207.0</v>
      </c>
      <c r="P180" s="4">
        <f t="shared" si="1"/>
        <v>50.3</v>
      </c>
      <c r="Q180" s="4" t="str">
        <f t="shared" si="2"/>
        <v>Underutilized</v>
      </c>
      <c r="R180" s="1" t="str">
        <f t="shared" si="3"/>
        <v>Underutilized</v>
      </c>
      <c r="S180" s="4">
        <f t="shared" si="4"/>
        <v>151.0660006</v>
      </c>
      <c r="T180" s="1" t="str">
        <f t="shared" si="5"/>
        <v>Normal Cost</v>
      </c>
      <c r="U180" s="4">
        <f t="shared" si="6"/>
        <v>0.02868389296</v>
      </c>
    </row>
    <row r="181">
      <c r="A181" s="4" t="s">
        <v>461</v>
      </c>
      <c r="B181" s="4" t="s">
        <v>57</v>
      </c>
      <c r="C181" s="4">
        <v>169.8362</v>
      </c>
      <c r="D181" s="4" t="s">
        <v>17</v>
      </c>
      <c r="E181" s="4" t="s">
        <v>74</v>
      </c>
      <c r="F181" s="4">
        <v>75.4</v>
      </c>
      <c r="G181" s="4">
        <v>25.97</v>
      </c>
      <c r="H181" s="4">
        <v>6.0578679054E10</v>
      </c>
      <c r="I181" s="4">
        <v>6.2836495997E10</v>
      </c>
      <c r="J181" s="4" t="s">
        <v>462</v>
      </c>
      <c r="K181" s="4" t="s">
        <v>463</v>
      </c>
      <c r="L181" s="4">
        <v>8.25</v>
      </c>
      <c r="M181" s="4">
        <v>1401.15</v>
      </c>
      <c r="N181" s="4">
        <v>1401.0</v>
      </c>
      <c r="O181" s="4">
        <v>116283.0</v>
      </c>
      <c r="P181" s="4">
        <f t="shared" si="1"/>
        <v>102.35</v>
      </c>
      <c r="Q181" s="4" t="str">
        <f t="shared" si="2"/>
        <v>High</v>
      </c>
      <c r="R181" s="1" t="str">
        <f t="shared" si="3"/>
        <v>Underutilized</v>
      </c>
      <c r="S181" s="4">
        <f t="shared" si="4"/>
        <v>114.9393386</v>
      </c>
      <c r="T181" s="1" t="str">
        <f t="shared" si="5"/>
        <v>Normal Cost</v>
      </c>
      <c r="U181" s="4">
        <f t="shared" si="6"/>
        <v>0.04358762674</v>
      </c>
    </row>
    <row r="182">
      <c r="A182" s="4" t="s">
        <v>464</v>
      </c>
      <c r="B182" s="4" t="s">
        <v>60</v>
      </c>
      <c r="C182" s="4">
        <v>77.6</v>
      </c>
      <c r="D182" s="4" t="s">
        <v>42</v>
      </c>
      <c r="E182" s="4" t="s">
        <v>70</v>
      </c>
      <c r="F182" s="4">
        <v>94.98</v>
      </c>
      <c r="G182" s="4">
        <v>41.46</v>
      </c>
      <c r="H182" s="4">
        <v>7.315814339E9</v>
      </c>
      <c r="I182" s="4">
        <v>1.6166250549E10</v>
      </c>
      <c r="J182" s="4" t="s">
        <v>465</v>
      </c>
      <c r="K182" s="4" t="s">
        <v>466</v>
      </c>
      <c r="L182" s="4">
        <v>9.14</v>
      </c>
      <c r="M182" s="4">
        <v>709.26</v>
      </c>
      <c r="N182" s="4">
        <v>709.0</v>
      </c>
      <c r="O182" s="4">
        <v>58847.0</v>
      </c>
      <c r="P182" s="4">
        <f t="shared" si="1"/>
        <v>77.6</v>
      </c>
      <c r="Q182" s="4" t="str">
        <f t="shared" si="2"/>
        <v>High</v>
      </c>
      <c r="R182" s="1" t="str">
        <f t="shared" si="3"/>
        <v>Normal</v>
      </c>
      <c r="S182" s="4">
        <f t="shared" si="4"/>
        <v>21.86937713</v>
      </c>
      <c r="T182" s="1" t="str">
        <f t="shared" si="5"/>
        <v>Normal Cost</v>
      </c>
      <c r="U182" s="4">
        <f t="shared" si="6"/>
        <v>0.1159277448</v>
      </c>
    </row>
    <row r="183">
      <c r="A183" s="4" t="s">
        <v>467</v>
      </c>
      <c r="B183" s="4" t="s">
        <v>139</v>
      </c>
      <c r="C183" s="4">
        <v>142.6833</v>
      </c>
      <c r="D183" s="4" t="s">
        <v>42</v>
      </c>
      <c r="E183" s="4" t="s">
        <v>18</v>
      </c>
      <c r="F183" s="4">
        <v>71.19</v>
      </c>
      <c r="G183" s="4">
        <v>48.74</v>
      </c>
      <c r="H183" s="4">
        <v>7.1678352875E10</v>
      </c>
      <c r="I183" s="4">
        <v>7.2257386501E10</v>
      </c>
      <c r="J183" s="5">
        <v>45480.36944444444</v>
      </c>
      <c r="K183" s="4" t="s">
        <v>468</v>
      </c>
      <c r="L183" s="4">
        <v>4.01</v>
      </c>
      <c r="M183" s="4">
        <v>572.16</v>
      </c>
      <c r="N183" s="4">
        <v>572.0</v>
      </c>
      <c r="O183" s="4">
        <v>47476.0</v>
      </c>
      <c r="P183" s="4">
        <f t="shared" si="1"/>
        <v>142.6833333</v>
      </c>
      <c r="Q183" s="4" t="str">
        <f t="shared" si="2"/>
        <v>High</v>
      </c>
      <c r="R183" s="1" t="str">
        <f t="shared" si="3"/>
        <v>Normal</v>
      </c>
      <c r="S183" s="4">
        <f t="shared" si="4"/>
        <v>134.0506034</v>
      </c>
      <c r="T183" s="1" t="str">
        <f t="shared" si="5"/>
        <v>Normal Cost</v>
      </c>
      <c r="U183" s="4">
        <f t="shared" si="6"/>
        <v>0.126305923</v>
      </c>
    </row>
    <row r="184">
      <c r="A184" s="4" t="s">
        <v>469</v>
      </c>
      <c r="B184" s="4" t="s">
        <v>147</v>
      </c>
      <c r="C184" s="4">
        <v>110.75</v>
      </c>
      <c r="D184" s="4" t="s">
        <v>42</v>
      </c>
      <c r="E184" s="4" t="s">
        <v>18</v>
      </c>
      <c r="F184" s="4">
        <v>53.2</v>
      </c>
      <c r="G184" s="4">
        <v>42.02</v>
      </c>
      <c r="H184" s="4">
        <v>5.3292001133E10</v>
      </c>
      <c r="I184" s="4">
        <v>5.8798521388E10</v>
      </c>
      <c r="J184" s="5">
        <v>45359.80763888889</v>
      </c>
      <c r="K184" s="5">
        <v>45512.42222222222</v>
      </c>
      <c r="L184" s="4">
        <v>1.54</v>
      </c>
      <c r="M184" s="4">
        <v>170.56</v>
      </c>
      <c r="N184" s="4">
        <v>171.0</v>
      </c>
      <c r="O184" s="4">
        <v>14193.0</v>
      </c>
      <c r="P184" s="4">
        <f t="shared" si="1"/>
        <v>110.75</v>
      </c>
      <c r="Q184" s="4" t="str">
        <f t="shared" si="2"/>
        <v>Normal</v>
      </c>
      <c r="R184" s="1" t="str">
        <f t="shared" si="3"/>
        <v>Normal</v>
      </c>
      <c r="S184" s="4">
        <f t="shared" si="4"/>
        <v>104.392434</v>
      </c>
      <c r="T184" s="1" t="str">
        <f t="shared" si="5"/>
        <v>Normal Cost</v>
      </c>
      <c r="U184" s="4">
        <f t="shared" si="6"/>
        <v>0.3354470514</v>
      </c>
    </row>
    <row r="185">
      <c r="A185" s="4" t="s">
        <v>470</v>
      </c>
      <c r="B185" s="4" t="s">
        <v>112</v>
      </c>
      <c r="C185" s="4">
        <v>116.6333</v>
      </c>
      <c r="D185" s="4" t="s">
        <v>42</v>
      </c>
      <c r="E185" s="4" t="s">
        <v>155</v>
      </c>
      <c r="F185" s="4">
        <v>8.0</v>
      </c>
      <c r="G185" s="4">
        <v>11.98</v>
      </c>
      <c r="H185" s="4">
        <v>3.1692931997E10</v>
      </c>
      <c r="I185" s="4">
        <v>3.357794678E10</v>
      </c>
      <c r="J185" s="5">
        <v>45604.197222222225</v>
      </c>
      <c r="K185" s="4" t="s">
        <v>471</v>
      </c>
      <c r="L185" s="4">
        <v>3.2</v>
      </c>
      <c r="M185" s="4">
        <v>373.23</v>
      </c>
      <c r="N185" s="4">
        <v>373.0</v>
      </c>
      <c r="O185" s="4">
        <v>30959.0</v>
      </c>
      <c r="P185" s="4">
        <f t="shared" si="1"/>
        <v>116.6333333</v>
      </c>
      <c r="Q185" s="4" t="str">
        <f t="shared" si="2"/>
        <v>Underutilized</v>
      </c>
      <c r="R185" s="1" t="str">
        <f t="shared" si="3"/>
        <v>Underutilized</v>
      </c>
      <c r="S185" s="4">
        <f t="shared" si="4"/>
        <v>60.78824287</v>
      </c>
      <c r="T185" s="1" t="str">
        <f t="shared" si="5"/>
        <v>Normal Cost</v>
      </c>
      <c r="U185" s="4">
        <f t="shared" si="6"/>
        <v>0.03226848412</v>
      </c>
    </row>
    <row r="186">
      <c r="A186" s="4" t="s">
        <v>472</v>
      </c>
      <c r="B186" s="4" t="s">
        <v>183</v>
      </c>
      <c r="C186" s="4">
        <v>401.5322</v>
      </c>
      <c r="D186" s="4" t="s">
        <v>17</v>
      </c>
      <c r="E186" s="4" t="s">
        <v>37</v>
      </c>
      <c r="F186" s="4">
        <v>65.74</v>
      </c>
      <c r="G186" s="4">
        <v>16.9</v>
      </c>
      <c r="H186" s="4">
        <v>5.0360694511E10</v>
      </c>
      <c r="I186" s="4">
        <v>5.5594084151E10</v>
      </c>
      <c r="J186" s="5">
        <v>45330.97777777778</v>
      </c>
      <c r="K186" s="5">
        <v>45420.9125</v>
      </c>
      <c r="L186" s="4">
        <v>2.44</v>
      </c>
      <c r="M186" s="4">
        <v>979.74</v>
      </c>
      <c r="N186" s="4">
        <v>980.0</v>
      </c>
      <c r="O186" s="4">
        <v>81340.0</v>
      </c>
      <c r="P186" s="4">
        <f t="shared" si="1"/>
        <v>70.43333333</v>
      </c>
      <c r="Q186" s="4" t="str">
        <f t="shared" si="2"/>
        <v>Normal</v>
      </c>
      <c r="R186" s="1" t="str">
        <f t="shared" si="3"/>
        <v>Underutilized</v>
      </c>
      <c r="S186" s="4">
        <f t="shared" si="4"/>
        <v>98.67807726</v>
      </c>
      <c r="T186" s="1" t="str">
        <f t="shared" si="5"/>
        <v>Normal Cost</v>
      </c>
      <c r="U186" s="4">
        <f t="shared" si="6"/>
        <v>0.05079911483</v>
      </c>
    </row>
    <row r="187">
      <c r="A187" s="4" t="s">
        <v>473</v>
      </c>
      <c r="B187" s="4" t="s">
        <v>128</v>
      </c>
      <c r="C187" s="4">
        <v>845.8993</v>
      </c>
      <c r="D187" s="4" t="s">
        <v>21</v>
      </c>
      <c r="E187" s="4" t="s">
        <v>27</v>
      </c>
      <c r="F187" s="4">
        <v>0.45</v>
      </c>
      <c r="G187" s="4">
        <v>17.79</v>
      </c>
      <c r="H187" s="4">
        <v>2.4203029756E10</v>
      </c>
      <c r="I187" s="4">
        <v>2.6123790688E10</v>
      </c>
      <c r="J187" s="4" t="s">
        <v>474</v>
      </c>
      <c r="K187" s="4" t="s">
        <v>475</v>
      </c>
      <c r="L187" s="4">
        <v>4.44</v>
      </c>
      <c r="M187" s="4">
        <v>3755.79</v>
      </c>
      <c r="N187" s="4">
        <v>3756.0</v>
      </c>
      <c r="O187" s="4">
        <v>311748.0</v>
      </c>
      <c r="P187" s="4">
        <f t="shared" si="1"/>
        <v>102.4666667</v>
      </c>
      <c r="Q187" s="4" t="str">
        <f t="shared" si="2"/>
        <v>Underutilized</v>
      </c>
      <c r="R187" s="1" t="str">
        <f t="shared" si="3"/>
        <v>Underutilized</v>
      </c>
      <c r="S187" s="4">
        <f t="shared" si="4"/>
        <v>46.87050399</v>
      </c>
      <c r="T187" s="1" t="str">
        <f t="shared" si="5"/>
        <v>High Cost</v>
      </c>
      <c r="U187" s="4">
        <f t="shared" si="6"/>
        <v>0.002925439778</v>
      </c>
    </row>
    <row r="188">
      <c r="A188" s="4" t="s">
        <v>476</v>
      </c>
      <c r="B188" s="4" t="s">
        <v>273</v>
      </c>
      <c r="C188" s="4">
        <v>257.9384</v>
      </c>
      <c r="D188" s="4" t="s">
        <v>21</v>
      </c>
      <c r="E188" s="4" t="s">
        <v>32</v>
      </c>
      <c r="F188" s="4">
        <v>71.17</v>
      </c>
      <c r="G188" s="4">
        <v>8.79</v>
      </c>
      <c r="H188" s="4">
        <v>7.176355981E10</v>
      </c>
      <c r="I188" s="4">
        <v>7.2012540203E10</v>
      </c>
      <c r="J188" s="5">
        <v>45451.754166666666</v>
      </c>
      <c r="K188" s="5">
        <v>45512.520833333336</v>
      </c>
      <c r="L188" s="4">
        <v>1.23</v>
      </c>
      <c r="M188" s="4">
        <v>317.26</v>
      </c>
      <c r="N188" s="4">
        <v>317.0</v>
      </c>
      <c r="O188" s="4">
        <v>26311.0</v>
      </c>
      <c r="P188" s="4">
        <f t="shared" si="1"/>
        <v>42.4</v>
      </c>
      <c r="Q188" s="4" t="str">
        <f t="shared" si="2"/>
        <v>High</v>
      </c>
      <c r="R188" s="1" t="str">
        <f t="shared" si="3"/>
        <v>Underutilized</v>
      </c>
      <c r="S188" s="4">
        <f t="shared" si="4"/>
        <v>133.9019276</v>
      </c>
      <c r="T188" s="1" t="str">
        <f t="shared" si="5"/>
        <v>Normal Cost</v>
      </c>
      <c r="U188" s="4">
        <f t="shared" si="6"/>
        <v>0.1519516552</v>
      </c>
    </row>
    <row r="189">
      <c r="A189" s="4" t="s">
        <v>477</v>
      </c>
      <c r="B189" s="4" t="s">
        <v>20</v>
      </c>
      <c r="C189" s="4">
        <v>233.7572</v>
      </c>
      <c r="D189" s="4" t="s">
        <v>21</v>
      </c>
      <c r="E189" s="4" t="s">
        <v>22</v>
      </c>
      <c r="F189" s="4">
        <v>24.38</v>
      </c>
      <c r="G189" s="4">
        <v>21.32</v>
      </c>
      <c r="H189" s="4">
        <v>9.9690425133E10</v>
      </c>
      <c r="I189" s="6">
        <v>1.08782E11</v>
      </c>
      <c r="J189" s="4" t="s">
        <v>478</v>
      </c>
      <c r="K189" s="5">
        <v>45359.688888888886</v>
      </c>
      <c r="L189" s="4">
        <v>7.19</v>
      </c>
      <c r="M189" s="4">
        <v>1680.71</v>
      </c>
      <c r="N189" s="4">
        <v>1681.0</v>
      </c>
      <c r="O189" s="4">
        <v>139523.0</v>
      </c>
      <c r="P189" s="4">
        <f t="shared" si="1"/>
        <v>92.96666667</v>
      </c>
      <c r="Q189" s="4" t="str">
        <f t="shared" si="2"/>
        <v>Underutilized</v>
      </c>
      <c r="R189" s="1" t="str">
        <f t="shared" si="3"/>
        <v>Underutilized</v>
      </c>
      <c r="S189" s="6">
        <f t="shared" si="4"/>
        <v>194.1550757</v>
      </c>
      <c r="T189" s="1" t="str">
        <f t="shared" si="5"/>
        <v>Normal Cost</v>
      </c>
      <c r="U189" s="4">
        <f t="shared" si="6"/>
        <v>0.01637722813</v>
      </c>
    </row>
    <row r="190">
      <c r="A190" s="4" t="s">
        <v>479</v>
      </c>
      <c r="B190" s="4" t="s">
        <v>57</v>
      </c>
      <c r="C190" s="4">
        <v>58.6417</v>
      </c>
      <c r="D190" s="4" t="s">
        <v>17</v>
      </c>
      <c r="E190" s="4" t="s">
        <v>105</v>
      </c>
      <c r="F190" s="4">
        <v>29.67</v>
      </c>
      <c r="G190" s="4">
        <v>59.62</v>
      </c>
      <c r="H190" s="4">
        <v>6.758821856E10</v>
      </c>
      <c r="I190" s="4">
        <v>7.6761827056E10</v>
      </c>
      <c r="J190" s="4" t="s">
        <v>480</v>
      </c>
      <c r="K190" s="4" t="s">
        <v>481</v>
      </c>
      <c r="L190" s="4">
        <v>3.13</v>
      </c>
      <c r="M190" s="4">
        <v>183.55</v>
      </c>
      <c r="N190" s="4">
        <v>184.0</v>
      </c>
      <c r="O190" s="4">
        <v>15272.0</v>
      </c>
      <c r="P190" s="4">
        <f t="shared" si="1"/>
        <v>38.4</v>
      </c>
      <c r="Q190" s="4" t="str">
        <f t="shared" si="2"/>
        <v>Underutilized</v>
      </c>
      <c r="R190" s="1" t="str">
        <f t="shared" si="3"/>
        <v>Normal</v>
      </c>
      <c r="S190" s="4">
        <f t="shared" si="4"/>
        <v>134.4364561</v>
      </c>
      <c r="T190" s="1" t="str">
        <f t="shared" si="5"/>
        <v>Normal Cost</v>
      </c>
      <c r="U190" s="4">
        <f t="shared" si="6"/>
        <v>0.292332373</v>
      </c>
    </row>
    <row r="191">
      <c r="A191" s="4" t="s">
        <v>482</v>
      </c>
      <c r="B191" s="4" t="s">
        <v>122</v>
      </c>
      <c r="C191" s="4">
        <v>843.6341</v>
      </c>
      <c r="D191" s="4" t="s">
        <v>21</v>
      </c>
      <c r="E191" s="4" t="s">
        <v>155</v>
      </c>
      <c r="F191" s="4">
        <v>25.09</v>
      </c>
      <c r="G191" s="4">
        <v>27.26</v>
      </c>
      <c r="H191" s="4">
        <v>2.689985021E10</v>
      </c>
      <c r="I191" s="4">
        <v>2.8175416976E10</v>
      </c>
      <c r="J191" s="4" t="s">
        <v>483</v>
      </c>
      <c r="K191" s="4" t="s">
        <v>484</v>
      </c>
      <c r="L191" s="4">
        <v>7.93</v>
      </c>
      <c r="M191" s="4">
        <v>6690.02</v>
      </c>
      <c r="N191" s="4">
        <v>6690.0</v>
      </c>
      <c r="O191" s="4">
        <v>555270.0</v>
      </c>
      <c r="P191" s="4">
        <f t="shared" si="1"/>
        <v>55.45</v>
      </c>
      <c r="Q191" s="4" t="str">
        <f t="shared" si="2"/>
        <v>Underutilized</v>
      </c>
      <c r="R191" s="1" t="str">
        <f t="shared" si="3"/>
        <v>Underutilized</v>
      </c>
      <c r="S191" s="4">
        <f t="shared" si="4"/>
        <v>51.29283963</v>
      </c>
      <c r="T191" s="1" t="str">
        <f t="shared" si="5"/>
        <v>High Cost</v>
      </c>
      <c r="U191" s="4">
        <f t="shared" si="6"/>
        <v>0.004713922956</v>
      </c>
    </row>
    <row r="192">
      <c r="A192" s="4" t="s">
        <v>485</v>
      </c>
      <c r="B192" s="4" t="s">
        <v>26</v>
      </c>
      <c r="C192" s="4">
        <v>18.7376</v>
      </c>
      <c r="D192" s="4" t="s">
        <v>17</v>
      </c>
      <c r="E192" s="4" t="s">
        <v>37</v>
      </c>
      <c r="F192" s="4">
        <v>79.92</v>
      </c>
      <c r="G192" s="4">
        <v>34.61</v>
      </c>
      <c r="H192" s="4">
        <v>1.4266501219E10</v>
      </c>
      <c r="I192" s="4">
        <v>2.2415620737E10</v>
      </c>
      <c r="J192" s="4" t="s">
        <v>486</v>
      </c>
      <c r="K192" s="4" t="s">
        <v>487</v>
      </c>
      <c r="L192" s="4">
        <v>4.88</v>
      </c>
      <c r="M192" s="4">
        <v>91.44</v>
      </c>
      <c r="N192" s="4">
        <v>91.0</v>
      </c>
      <c r="O192" s="4">
        <v>7553.0</v>
      </c>
      <c r="P192" s="4">
        <f t="shared" si="1"/>
        <v>105.9333333</v>
      </c>
      <c r="Q192" s="4" t="str">
        <f t="shared" si="2"/>
        <v>High</v>
      </c>
      <c r="R192" s="1" t="str">
        <f t="shared" si="3"/>
        <v>Underutilized</v>
      </c>
      <c r="S192" s="4">
        <f t="shared" si="4"/>
        <v>34.16288826</v>
      </c>
      <c r="T192" s="1" t="str">
        <f t="shared" si="5"/>
        <v>Normal Cost</v>
      </c>
      <c r="U192" s="4">
        <f t="shared" si="6"/>
        <v>0.7581755594</v>
      </c>
    </row>
    <row r="193">
      <c r="A193" s="4" t="s">
        <v>488</v>
      </c>
      <c r="B193" s="4" t="s">
        <v>62</v>
      </c>
      <c r="C193" s="4">
        <v>42.3</v>
      </c>
      <c r="D193" s="4" t="s">
        <v>42</v>
      </c>
      <c r="E193" s="4" t="s">
        <v>155</v>
      </c>
      <c r="F193" s="4">
        <v>59.91</v>
      </c>
      <c r="G193" s="4">
        <v>83.97</v>
      </c>
      <c r="H193" s="4">
        <v>2.3645124707E10</v>
      </c>
      <c r="I193" s="4">
        <v>2.9861999523E10</v>
      </c>
      <c r="J193" s="5">
        <v>45298.0875</v>
      </c>
      <c r="K193" s="5">
        <v>45329.85</v>
      </c>
      <c r="L193" s="4">
        <v>9.01</v>
      </c>
      <c r="M193" s="4">
        <v>381.12</v>
      </c>
      <c r="N193" s="4">
        <v>381.0</v>
      </c>
      <c r="O193" s="4">
        <v>31623.0</v>
      </c>
      <c r="P193" s="4">
        <f t="shared" si="1"/>
        <v>42.3</v>
      </c>
      <c r="Q193" s="4" t="str">
        <f t="shared" si="2"/>
        <v>Normal</v>
      </c>
      <c r="R193" s="1" t="str">
        <f t="shared" si="3"/>
        <v>High</v>
      </c>
      <c r="S193" s="4">
        <f t="shared" si="4"/>
        <v>49.8323927</v>
      </c>
      <c r="T193" s="1" t="str">
        <f t="shared" si="5"/>
        <v>Normal Cost</v>
      </c>
      <c r="U193" s="4">
        <f t="shared" si="6"/>
        <v>0.2274926478</v>
      </c>
    </row>
    <row r="194">
      <c r="A194" s="4" t="s">
        <v>489</v>
      </c>
      <c r="B194" s="4" t="s">
        <v>169</v>
      </c>
      <c r="C194" s="4">
        <v>22.134</v>
      </c>
      <c r="D194" s="4" t="s">
        <v>21</v>
      </c>
      <c r="E194" s="4" t="s">
        <v>18</v>
      </c>
      <c r="F194" s="4">
        <v>45.38</v>
      </c>
      <c r="G194" s="4">
        <v>51.72</v>
      </c>
      <c r="H194" s="4">
        <v>9.1843197769E10</v>
      </c>
      <c r="I194" s="4">
        <v>9.4169203781E10</v>
      </c>
      <c r="J194" s="4" t="s">
        <v>490</v>
      </c>
      <c r="K194" s="4" t="s">
        <v>491</v>
      </c>
      <c r="L194" s="4">
        <v>2.32</v>
      </c>
      <c r="M194" s="4">
        <v>51.35</v>
      </c>
      <c r="N194" s="4">
        <v>51.0</v>
      </c>
      <c r="O194" s="4">
        <v>4233.0</v>
      </c>
      <c r="P194" s="4">
        <f t="shared" si="1"/>
        <v>111.2</v>
      </c>
      <c r="Q194" s="4" t="str">
        <f t="shared" si="2"/>
        <v>Normal</v>
      </c>
      <c r="R194" s="1" t="str">
        <f t="shared" si="3"/>
        <v>Normal</v>
      </c>
      <c r="S194" s="4">
        <f t="shared" si="4"/>
        <v>173.2375487</v>
      </c>
      <c r="T194" s="1" t="str">
        <f t="shared" si="5"/>
        <v>Normal Cost</v>
      </c>
      <c r="U194" s="4">
        <f t="shared" si="6"/>
        <v>1.146940704</v>
      </c>
    </row>
    <row r="195">
      <c r="A195" s="4" t="s">
        <v>492</v>
      </c>
      <c r="B195" s="4" t="s">
        <v>36</v>
      </c>
      <c r="C195" s="4">
        <v>586.1986</v>
      </c>
      <c r="D195" s="4" t="s">
        <v>17</v>
      </c>
      <c r="E195" s="4" t="s">
        <v>27</v>
      </c>
      <c r="F195" s="4">
        <v>58.98</v>
      </c>
      <c r="G195" s="4">
        <v>64.55</v>
      </c>
      <c r="H195" s="4">
        <v>1.4979783091E10</v>
      </c>
      <c r="I195" s="4">
        <v>1.8422117013E10</v>
      </c>
      <c r="J195" s="5">
        <v>45358.02847222222</v>
      </c>
      <c r="K195" s="5">
        <v>45389.325</v>
      </c>
      <c r="L195" s="4">
        <v>1.79</v>
      </c>
      <c r="M195" s="4">
        <v>1049.3</v>
      </c>
      <c r="N195" s="4">
        <v>1049.0</v>
      </c>
      <c r="O195" s="4">
        <v>87067.0</v>
      </c>
      <c r="P195" s="4">
        <f t="shared" si="1"/>
        <v>31.11666667</v>
      </c>
      <c r="Q195" s="4" t="str">
        <f t="shared" si="2"/>
        <v>Normal</v>
      </c>
      <c r="R195" s="1" t="str">
        <f t="shared" si="3"/>
        <v>Normal</v>
      </c>
      <c r="S195" s="4">
        <f t="shared" si="4"/>
        <v>31.1079436</v>
      </c>
      <c r="T195" s="1" t="str">
        <f t="shared" si="5"/>
        <v>Normal Cost</v>
      </c>
      <c r="U195" s="4">
        <f t="shared" si="6"/>
        <v>0.07093962121</v>
      </c>
    </row>
    <row r="196">
      <c r="A196" s="4" t="s">
        <v>493</v>
      </c>
      <c r="B196" s="4" t="s">
        <v>122</v>
      </c>
      <c r="C196" s="4">
        <v>296.0929</v>
      </c>
      <c r="D196" s="4" t="s">
        <v>17</v>
      </c>
      <c r="E196" s="4" t="s">
        <v>123</v>
      </c>
      <c r="F196" s="4">
        <v>3.02</v>
      </c>
      <c r="G196" s="4">
        <v>62.51</v>
      </c>
      <c r="H196" s="4">
        <v>9.643213347E10</v>
      </c>
      <c r="I196" s="6">
        <v>1.03298E11</v>
      </c>
      <c r="J196" s="4" t="s">
        <v>494</v>
      </c>
      <c r="K196" s="4" t="s">
        <v>495</v>
      </c>
      <c r="L196" s="4">
        <v>2.46</v>
      </c>
      <c r="M196" s="4">
        <v>728.39</v>
      </c>
      <c r="N196" s="4">
        <v>728.0</v>
      </c>
      <c r="O196" s="4">
        <v>60424.0</v>
      </c>
      <c r="P196" s="4">
        <f t="shared" si="1"/>
        <v>68.93333333</v>
      </c>
      <c r="Q196" s="4" t="str">
        <f t="shared" si="2"/>
        <v>Underutilized</v>
      </c>
      <c r="R196" s="1" t="str">
        <f t="shared" si="3"/>
        <v>Normal</v>
      </c>
      <c r="S196" s="6">
        <f t="shared" si="4"/>
        <v>186.0131821</v>
      </c>
      <c r="T196" s="1" t="str">
        <f t="shared" si="5"/>
        <v>Normal Cost</v>
      </c>
      <c r="U196" s="4">
        <f t="shared" si="6"/>
        <v>0.05422514233</v>
      </c>
    </row>
    <row r="197">
      <c r="A197" s="4" t="s">
        <v>496</v>
      </c>
      <c r="B197" s="4" t="s">
        <v>26</v>
      </c>
      <c r="C197" s="4">
        <v>233.0245</v>
      </c>
      <c r="D197" s="4" t="s">
        <v>17</v>
      </c>
      <c r="E197" s="4" t="s">
        <v>74</v>
      </c>
      <c r="F197" s="4">
        <v>68.7</v>
      </c>
      <c r="G197" s="4">
        <v>40.39</v>
      </c>
      <c r="H197" s="4">
        <v>5.214461831E10</v>
      </c>
      <c r="I197" s="4">
        <v>5.8883692028E10</v>
      </c>
      <c r="J197" s="5">
        <v>45298.00902777778</v>
      </c>
      <c r="K197" s="5">
        <v>45419.92638888889</v>
      </c>
      <c r="L197" s="4">
        <v>8.49</v>
      </c>
      <c r="M197" s="4">
        <v>1978.38</v>
      </c>
      <c r="N197" s="4">
        <v>1978.0</v>
      </c>
      <c r="O197" s="4">
        <v>164174.0</v>
      </c>
      <c r="P197" s="4">
        <f t="shared" si="1"/>
        <v>118.0166667</v>
      </c>
      <c r="Q197" s="4" t="str">
        <f t="shared" si="2"/>
        <v>Normal</v>
      </c>
      <c r="R197" s="1" t="str">
        <f t="shared" si="3"/>
        <v>Normal</v>
      </c>
      <c r="S197" s="4">
        <f t="shared" si="4"/>
        <v>103.4031718</v>
      </c>
      <c r="T197" s="1" t="str">
        <f t="shared" si="5"/>
        <v>Normal Cost</v>
      </c>
      <c r="U197" s="4">
        <f t="shared" si="6"/>
        <v>0.0332238966</v>
      </c>
    </row>
    <row r="198">
      <c r="A198" s="4" t="s">
        <v>497</v>
      </c>
      <c r="B198" s="4" t="s">
        <v>79</v>
      </c>
      <c r="C198" s="4">
        <v>365.1951</v>
      </c>
      <c r="D198" s="4" t="s">
        <v>21</v>
      </c>
      <c r="E198" s="4" t="s">
        <v>32</v>
      </c>
      <c r="F198" s="4">
        <v>3.78</v>
      </c>
      <c r="G198" s="4">
        <v>67.68</v>
      </c>
      <c r="H198" s="4">
        <v>5.9688317254E10</v>
      </c>
      <c r="I198" s="4">
        <v>6.5131560182E10</v>
      </c>
      <c r="J198" s="4" t="s">
        <v>498</v>
      </c>
      <c r="K198" s="4" t="s">
        <v>499</v>
      </c>
      <c r="L198" s="4">
        <v>6.66</v>
      </c>
      <c r="M198" s="4">
        <v>2432.2</v>
      </c>
      <c r="N198" s="4">
        <v>2432.0</v>
      </c>
      <c r="O198" s="4">
        <v>201856.0</v>
      </c>
      <c r="P198" s="4">
        <f t="shared" si="1"/>
        <v>66.73333333</v>
      </c>
      <c r="Q198" s="4" t="str">
        <f t="shared" si="2"/>
        <v>Underutilized</v>
      </c>
      <c r="R198" s="1" t="str">
        <f t="shared" si="3"/>
        <v>Normal</v>
      </c>
      <c r="S198" s="4">
        <f t="shared" si="4"/>
        <v>116.2475696</v>
      </c>
      <c r="T198" s="1" t="str">
        <f t="shared" si="5"/>
        <v>High Cost</v>
      </c>
      <c r="U198" s="4">
        <f t="shared" si="6"/>
        <v>0.01770073716</v>
      </c>
    </row>
    <row r="199">
      <c r="A199" s="4" t="s">
        <v>500</v>
      </c>
      <c r="B199" s="4" t="s">
        <v>31</v>
      </c>
      <c r="C199" s="4">
        <v>743.4157</v>
      </c>
      <c r="D199" s="4" t="s">
        <v>21</v>
      </c>
      <c r="E199" s="4" t="s">
        <v>58</v>
      </c>
      <c r="F199" s="4">
        <v>35.5</v>
      </c>
      <c r="G199" s="4">
        <v>11.41</v>
      </c>
      <c r="H199" s="4">
        <v>5.2672910291E10</v>
      </c>
      <c r="I199" s="4">
        <v>6.2148639286E10</v>
      </c>
      <c r="J199" s="4" t="s">
        <v>501</v>
      </c>
      <c r="K199" s="4" t="s">
        <v>502</v>
      </c>
      <c r="L199" s="4">
        <v>7.72</v>
      </c>
      <c r="M199" s="4">
        <v>5739.17</v>
      </c>
      <c r="N199" s="4">
        <v>5739.0</v>
      </c>
      <c r="O199" s="4">
        <v>476337.0</v>
      </c>
      <c r="P199" s="4">
        <f t="shared" si="1"/>
        <v>56.41666667</v>
      </c>
      <c r="Q199" s="4" t="str">
        <f t="shared" si="2"/>
        <v>Normal</v>
      </c>
      <c r="R199" s="1" t="str">
        <f t="shared" si="3"/>
        <v>Underutilized</v>
      </c>
      <c r="S199" s="4">
        <f t="shared" si="4"/>
        <v>106.9359012</v>
      </c>
      <c r="T199" s="1" t="str">
        <f t="shared" si="5"/>
        <v>High Cost</v>
      </c>
      <c r="U199" s="4">
        <f t="shared" si="6"/>
        <v>0.004924034874</v>
      </c>
    </row>
    <row r="200">
      <c r="A200" s="4" t="s">
        <v>503</v>
      </c>
      <c r="B200" s="4" t="s">
        <v>99</v>
      </c>
      <c r="C200" s="4">
        <v>338.8579</v>
      </c>
      <c r="D200" s="4" t="s">
        <v>17</v>
      </c>
      <c r="E200" s="4" t="s">
        <v>18</v>
      </c>
      <c r="F200" s="4">
        <v>19.14</v>
      </c>
      <c r="G200" s="4">
        <v>61.36</v>
      </c>
      <c r="H200" s="4">
        <v>1.2713936435E10</v>
      </c>
      <c r="I200" s="4">
        <v>1.9316006416E10</v>
      </c>
      <c r="J200" s="4" t="s">
        <v>504</v>
      </c>
      <c r="K200" s="5">
        <v>45420.74513888889</v>
      </c>
      <c r="L200" s="4">
        <v>2.63</v>
      </c>
      <c r="M200" s="4">
        <v>891.2</v>
      </c>
      <c r="N200" s="4">
        <v>891.0</v>
      </c>
      <c r="O200" s="4">
        <v>73953.0</v>
      </c>
      <c r="P200" s="4">
        <f t="shared" si="1"/>
        <v>126.0833333</v>
      </c>
      <c r="Q200" s="4" t="str">
        <f t="shared" si="2"/>
        <v>Underutilized</v>
      </c>
      <c r="R200" s="1" t="str">
        <f t="shared" si="3"/>
        <v>Normal</v>
      </c>
      <c r="S200" s="4">
        <f t="shared" si="4"/>
        <v>29.83020884</v>
      </c>
      <c r="T200" s="1" t="str">
        <f t="shared" si="5"/>
        <v>Normal Cost</v>
      </c>
      <c r="U200" s="4">
        <f t="shared" si="6"/>
        <v>0.05442646005</v>
      </c>
    </row>
    <row r="201">
      <c r="A201" s="4" t="s">
        <v>505</v>
      </c>
      <c r="B201" s="4" t="s">
        <v>60</v>
      </c>
      <c r="C201" s="4">
        <v>118.4167</v>
      </c>
      <c r="D201" s="4" t="s">
        <v>42</v>
      </c>
      <c r="E201" s="4" t="s">
        <v>22</v>
      </c>
      <c r="F201" s="4">
        <v>67.77</v>
      </c>
      <c r="G201" s="4">
        <v>0.87</v>
      </c>
      <c r="H201" s="4">
        <v>6.5766089414E10</v>
      </c>
      <c r="I201" s="4">
        <v>7.4996129989E10</v>
      </c>
      <c r="J201" s="4" t="s">
        <v>506</v>
      </c>
      <c r="K201" s="4" t="s">
        <v>507</v>
      </c>
      <c r="L201" s="4">
        <v>4.34</v>
      </c>
      <c r="M201" s="4">
        <v>513.93</v>
      </c>
      <c r="N201" s="4">
        <v>514.0</v>
      </c>
      <c r="O201" s="4">
        <v>42662.0</v>
      </c>
      <c r="P201" s="4">
        <f t="shared" si="1"/>
        <v>118.4166667</v>
      </c>
      <c r="Q201" s="4" t="str">
        <f t="shared" si="2"/>
        <v>Normal</v>
      </c>
      <c r="R201" s="1" t="str">
        <f t="shared" si="3"/>
        <v>Underutilized</v>
      </c>
      <c r="S201" s="4">
        <f t="shared" si="4"/>
        <v>131.0950326</v>
      </c>
      <c r="T201" s="1" t="str">
        <f t="shared" si="5"/>
        <v>Normal Cost</v>
      </c>
      <c r="U201" s="4">
        <f t="shared" si="6"/>
        <v>0.08044629881</v>
      </c>
    </row>
    <row r="202">
      <c r="A202" s="4" t="s">
        <v>508</v>
      </c>
      <c r="B202" s="4" t="s">
        <v>83</v>
      </c>
      <c r="C202" s="4">
        <v>61.0941</v>
      </c>
      <c r="D202" s="4" t="s">
        <v>21</v>
      </c>
      <c r="E202" s="4" t="s">
        <v>70</v>
      </c>
      <c r="F202" s="4">
        <v>47.88</v>
      </c>
      <c r="G202" s="4">
        <v>61.95</v>
      </c>
      <c r="H202" s="4">
        <v>8.6373536028E10</v>
      </c>
      <c r="I202" s="4">
        <v>9.1987231536E10</v>
      </c>
      <c r="J202" s="5">
        <v>45419.85833333333</v>
      </c>
      <c r="K202" s="5">
        <v>45572.339583333334</v>
      </c>
      <c r="L202" s="4">
        <v>9.86</v>
      </c>
      <c r="M202" s="4">
        <v>602.39</v>
      </c>
      <c r="N202" s="4">
        <v>602.0</v>
      </c>
      <c r="O202" s="4">
        <v>49966.0</v>
      </c>
      <c r="P202" s="4">
        <f t="shared" si="1"/>
        <v>107.55</v>
      </c>
      <c r="Q202" s="4" t="str">
        <f t="shared" si="2"/>
        <v>Normal</v>
      </c>
      <c r="R202" s="1" t="str">
        <f t="shared" si="3"/>
        <v>Normal</v>
      </c>
      <c r="S202" s="4">
        <f t="shared" si="4"/>
        <v>166.1114093</v>
      </c>
      <c r="T202" s="1" t="str">
        <f t="shared" si="5"/>
        <v>Normal Cost</v>
      </c>
      <c r="U202" s="4">
        <f t="shared" si="6"/>
        <v>0.1099047352</v>
      </c>
    </row>
    <row r="203">
      <c r="A203" s="4" t="s">
        <v>509</v>
      </c>
      <c r="B203" s="4" t="s">
        <v>273</v>
      </c>
      <c r="C203" s="4">
        <v>698.7765</v>
      </c>
      <c r="D203" s="4" t="s">
        <v>21</v>
      </c>
      <c r="E203" s="4" t="s">
        <v>22</v>
      </c>
      <c r="F203" s="4">
        <v>53.88</v>
      </c>
      <c r="G203" s="4">
        <v>17.8</v>
      </c>
      <c r="H203" s="4">
        <v>1.5702113681E10</v>
      </c>
      <c r="I203" s="4">
        <v>1.6748005664E10</v>
      </c>
      <c r="J203" s="5">
        <v>45389.89444444444</v>
      </c>
      <c r="K203" s="5">
        <v>45542.93263888889</v>
      </c>
      <c r="L203" s="4">
        <v>2.73</v>
      </c>
      <c r="M203" s="4">
        <v>1907.66</v>
      </c>
      <c r="N203" s="4">
        <v>1908.0</v>
      </c>
      <c r="O203" s="4">
        <v>158364.0</v>
      </c>
      <c r="P203" s="4">
        <f t="shared" si="1"/>
        <v>120.9166667</v>
      </c>
      <c r="Q203" s="4" t="str">
        <f t="shared" si="2"/>
        <v>Normal</v>
      </c>
      <c r="R203" s="1" t="str">
        <f t="shared" si="3"/>
        <v>Underutilized</v>
      </c>
      <c r="S203" s="4">
        <f t="shared" si="4"/>
        <v>30.22152869</v>
      </c>
      <c r="T203" s="1" t="str">
        <f t="shared" si="5"/>
        <v>Normal Cost</v>
      </c>
      <c r="U203" s="4">
        <f t="shared" si="6"/>
        <v>0.02263140613</v>
      </c>
    </row>
    <row r="204">
      <c r="A204" s="4" t="s">
        <v>510</v>
      </c>
      <c r="B204" s="4" t="s">
        <v>66</v>
      </c>
      <c r="C204" s="4">
        <v>328.5871</v>
      </c>
      <c r="D204" s="4" t="s">
        <v>21</v>
      </c>
      <c r="E204" s="4" t="s">
        <v>22</v>
      </c>
      <c r="F204" s="4">
        <v>78.62</v>
      </c>
      <c r="G204" s="4">
        <v>96.73</v>
      </c>
      <c r="H204" s="4">
        <v>9.8551362779E10</v>
      </c>
      <c r="I204" s="6">
        <v>1.03968E11</v>
      </c>
      <c r="J204" s="4" t="s">
        <v>511</v>
      </c>
      <c r="K204" s="4" t="s">
        <v>512</v>
      </c>
      <c r="L204" s="4">
        <v>6.44</v>
      </c>
      <c r="M204" s="4">
        <v>2116.1</v>
      </c>
      <c r="N204" s="4">
        <v>2116.0</v>
      </c>
      <c r="O204" s="4">
        <v>175628.0</v>
      </c>
      <c r="P204" s="4">
        <f t="shared" si="1"/>
        <v>65.63333333</v>
      </c>
      <c r="Q204" s="4" t="str">
        <f t="shared" si="2"/>
        <v>High</v>
      </c>
      <c r="R204" s="1" t="str">
        <f t="shared" si="3"/>
        <v>High</v>
      </c>
      <c r="S204" s="6">
        <f t="shared" si="4"/>
        <v>188.6108544</v>
      </c>
      <c r="T204" s="1" t="str">
        <f t="shared" si="5"/>
        <v>High Cost</v>
      </c>
      <c r="U204" s="4">
        <f t="shared" si="6"/>
        <v>0.04992085544</v>
      </c>
    </row>
    <row r="205">
      <c r="A205" s="4" t="s">
        <v>513</v>
      </c>
      <c r="B205" s="4" t="s">
        <v>31</v>
      </c>
      <c r="C205" s="4">
        <v>478.2343</v>
      </c>
      <c r="D205" s="4" t="s">
        <v>17</v>
      </c>
      <c r="E205" s="4" t="s">
        <v>155</v>
      </c>
      <c r="F205" s="4">
        <v>43.45</v>
      </c>
      <c r="G205" s="4">
        <v>69.03</v>
      </c>
      <c r="H205" s="4">
        <v>7.8305234617E10</v>
      </c>
      <c r="I205" s="4">
        <v>8.6533417392E10</v>
      </c>
      <c r="J205" s="4" t="s">
        <v>514</v>
      </c>
      <c r="K205" s="4" t="s">
        <v>515</v>
      </c>
      <c r="L205" s="4">
        <v>1.39</v>
      </c>
      <c r="M205" s="4">
        <v>664.75</v>
      </c>
      <c r="N205" s="4">
        <v>665.0</v>
      </c>
      <c r="O205" s="4">
        <v>55195.0</v>
      </c>
      <c r="P205" s="4">
        <f t="shared" si="1"/>
        <v>141.8666667</v>
      </c>
      <c r="Q205" s="4" t="str">
        <f t="shared" si="2"/>
        <v>Normal</v>
      </c>
      <c r="R205" s="1" t="str">
        <f t="shared" si="3"/>
        <v>Normal</v>
      </c>
      <c r="S205" s="4">
        <f t="shared" si="4"/>
        <v>153.5179578</v>
      </c>
      <c r="T205" s="1" t="str">
        <f t="shared" si="5"/>
        <v>Normal Cost</v>
      </c>
      <c r="U205" s="4">
        <f t="shared" si="6"/>
        <v>0.1018932874</v>
      </c>
    </row>
    <row r="206">
      <c r="A206" s="4" t="s">
        <v>516</v>
      </c>
      <c r="B206" s="4" t="s">
        <v>41</v>
      </c>
      <c r="C206" s="4">
        <v>92.4167</v>
      </c>
      <c r="D206" s="4" t="s">
        <v>42</v>
      </c>
      <c r="E206" s="4" t="s">
        <v>32</v>
      </c>
      <c r="F206" s="4">
        <v>81.9</v>
      </c>
      <c r="G206" s="4">
        <v>53.13</v>
      </c>
      <c r="H206" s="4">
        <v>8.7648117518E10</v>
      </c>
      <c r="I206" s="4">
        <v>8.9269249455E10</v>
      </c>
      <c r="J206" s="5">
        <v>45450.518055555556</v>
      </c>
      <c r="K206" s="5">
        <v>45572.36875</v>
      </c>
      <c r="L206" s="4">
        <v>2.56</v>
      </c>
      <c r="M206" s="4">
        <v>236.59</v>
      </c>
      <c r="N206" s="4">
        <v>237.0</v>
      </c>
      <c r="O206" s="4">
        <v>19671.0</v>
      </c>
      <c r="P206" s="4">
        <f t="shared" si="1"/>
        <v>92.41666667</v>
      </c>
      <c r="Q206" s="4" t="str">
        <f t="shared" si="2"/>
        <v>High</v>
      </c>
      <c r="R206" s="1" t="str">
        <f t="shared" si="3"/>
        <v>Normal</v>
      </c>
      <c r="S206" s="4">
        <f t="shared" si="4"/>
        <v>164.7671377</v>
      </c>
      <c r="T206" s="1" t="str">
        <f t="shared" si="5"/>
        <v>Normal Cost</v>
      </c>
      <c r="U206" s="4">
        <f t="shared" si="6"/>
        <v>0.3432209852</v>
      </c>
    </row>
    <row r="207">
      <c r="A207" s="4" t="s">
        <v>517</v>
      </c>
      <c r="B207" s="4" t="s">
        <v>183</v>
      </c>
      <c r="C207" s="4">
        <v>679.2041</v>
      </c>
      <c r="D207" s="4" t="s">
        <v>21</v>
      </c>
      <c r="E207" s="4" t="s">
        <v>27</v>
      </c>
      <c r="F207" s="4">
        <v>98.92</v>
      </c>
      <c r="G207" s="4">
        <v>56.01</v>
      </c>
      <c r="H207" s="4">
        <v>5.9160783943E10</v>
      </c>
      <c r="I207" s="4">
        <v>6.1202982896E10</v>
      </c>
      <c r="J207" s="4" t="s">
        <v>518</v>
      </c>
      <c r="K207" s="4" t="s">
        <v>519</v>
      </c>
      <c r="L207" s="4">
        <v>5.3</v>
      </c>
      <c r="M207" s="4">
        <v>3599.78</v>
      </c>
      <c r="N207" s="4">
        <v>3600.0</v>
      </c>
      <c r="O207" s="4">
        <v>298800.0</v>
      </c>
      <c r="P207" s="4">
        <f t="shared" si="1"/>
        <v>32.61666667</v>
      </c>
      <c r="Q207" s="4" t="str">
        <f t="shared" si="2"/>
        <v>High</v>
      </c>
      <c r="R207" s="1" t="str">
        <f t="shared" si="3"/>
        <v>Normal</v>
      </c>
      <c r="S207" s="4">
        <f t="shared" si="4"/>
        <v>112.0974932</v>
      </c>
      <c r="T207" s="1" t="str">
        <f t="shared" si="5"/>
        <v>High Cost</v>
      </c>
      <c r="U207" s="4">
        <f t="shared" si="6"/>
        <v>0.02592536814</v>
      </c>
    </row>
    <row r="208">
      <c r="A208" s="4" t="s">
        <v>520</v>
      </c>
      <c r="B208" s="4" t="s">
        <v>16</v>
      </c>
      <c r="C208" s="4">
        <v>280.1796</v>
      </c>
      <c r="D208" s="4" t="s">
        <v>17</v>
      </c>
      <c r="E208" s="4" t="s">
        <v>37</v>
      </c>
      <c r="F208" s="4">
        <v>82.61</v>
      </c>
      <c r="G208" s="4">
        <v>97.65</v>
      </c>
      <c r="H208" s="4">
        <v>1.6767803634E10</v>
      </c>
      <c r="I208" s="4">
        <v>2.4702899081E10</v>
      </c>
      <c r="J208" s="5">
        <v>45633.646527777775</v>
      </c>
      <c r="K208" s="4" t="s">
        <v>521</v>
      </c>
      <c r="L208" s="4">
        <v>6.3</v>
      </c>
      <c r="M208" s="4">
        <v>1765.13</v>
      </c>
      <c r="N208" s="4">
        <v>1765.0</v>
      </c>
      <c r="O208" s="4">
        <v>146495.0</v>
      </c>
      <c r="P208" s="4">
        <f t="shared" si="1"/>
        <v>133.3833333</v>
      </c>
      <c r="Q208" s="4" t="str">
        <f t="shared" si="2"/>
        <v>High</v>
      </c>
      <c r="R208" s="1" t="str">
        <f t="shared" si="3"/>
        <v>High</v>
      </c>
      <c r="S208" s="4">
        <f t="shared" si="4"/>
        <v>38.62260162</v>
      </c>
      <c r="T208" s="1" t="str">
        <f t="shared" si="5"/>
        <v>Normal Cost</v>
      </c>
      <c r="U208" s="4">
        <f t="shared" si="6"/>
        <v>0.06152428411</v>
      </c>
    </row>
    <row r="209">
      <c r="A209" s="4" t="s">
        <v>522</v>
      </c>
      <c r="B209" s="4" t="s">
        <v>79</v>
      </c>
      <c r="C209" s="4">
        <v>416.5054</v>
      </c>
      <c r="D209" s="4" t="s">
        <v>21</v>
      </c>
      <c r="E209" s="4" t="s">
        <v>37</v>
      </c>
      <c r="F209" s="4">
        <v>89.32</v>
      </c>
      <c r="G209" s="4">
        <v>70.16</v>
      </c>
      <c r="H209" s="4">
        <v>7.8376768286E10</v>
      </c>
      <c r="I209" s="4">
        <v>8.571060921E10</v>
      </c>
      <c r="J209" s="5">
        <v>45542.805555555555</v>
      </c>
      <c r="K209" s="4" t="s">
        <v>523</v>
      </c>
      <c r="L209" s="4">
        <v>7.63</v>
      </c>
      <c r="M209" s="4">
        <v>3177.94</v>
      </c>
      <c r="N209" s="4">
        <v>3178.0</v>
      </c>
      <c r="O209" s="4">
        <v>263774.0</v>
      </c>
      <c r="P209" s="4">
        <f t="shared" si="1"/>
        <v>139.45</v>
      </c>
      <c r="Q209" s="4" t="str">
        <f t="shared" si="2"/>
        <v>High</v>
      </c>
      <c r="R209" s="1" t="str">
        <f t="shared" si="3"/>
        <v>Normal</v>
      </c>
      <c r="S209" s="4">
        <f t="shared" si="4"/>
        <v>152.8182789</v>
      </c>
      <c r="T209" s="1" t="str">
        <f t="shared" si="5"/>
        <v>High Cost</v>
      </c>
      <c r="U209" s="4">
        <f t="shared" si="6"/>
        <v>0.03023042453</v>
      </c>
    </row>
    <row r="210">
      <c r="A210" s="4" t="s">
        <v>524</v>
      </c>
      <c r="B210" s="4" t="s">
        <v>20</v>
      </c>
      <c r="C210" s="4">
        <v>810.033</v>
      </c>
      <c r="D210" s="4" t="s">
        <v>17</v>
      </c>
      <c r="E210" s="4" t="s">
        <v>123</v>
      </c>
      <c r="F210" s="4">
        <v>2.97</v>
      </c>
      <c r="G210" s="4">
        <v>63.12</v>
      </c>
      <c r="H210" s="4">
        <v>3.1889502464E10</v>
      </c>
      <c r="I210" s="4">
        <v>3.2098235845E10</v>
      </c>
      <c r="J210" s="4" t="s">
        <v>525</v>
      </c>
      <c r="K210" s="4" t="s">
        <v>526</v>
      </c>
      <c r="L210" s="4">
        <v>5.65</v>
      </c>
      <c r="M210" s="4">
        <v>4576.69</v>
      </c>
      <c r="N210" s="4">
        <v>4577.0</v>
      </c>
      <c r="O210" s="4">
        <v>379891.0</v>
      </c>
      <c r="P210" s="4">
        <f t="shared" si="1"/>
        <v>53.95</v>
      </c>
      <c r="Q210" s="4" t="str">
        <f t="shared" si="2"/>
        <v>Underutilized</v>
      </c>
      <c r="R210" s="1" t="str">
        <f t="shared" si="3"/>
        <v>Normal</v>
      </c>
      <c r="S210" s="4">
        <f t="shared" si="4"/>
        <v>59.59322519</v>
      </c>
      <c r="T210" s="1" t="str">
        <f t="shared" si="5"/>
        <v>High Cost</v>
      </c>
      <c r="U210" s="4">
        <f t="shared" si="6"/>
        <v>0.008698547741</v>
      </c>
    </row>
    <row r="211">
      <c r="A211" s="4" t="s">
        <v>527</v>
      </c>
      <c r="B211" s="4" t="s">
        <v>41</v>
      </c>
      <c r="C211" s="4">
        <v>115.0667</v>
      </c>
      <c r="D211" s="4" t="s">
        <v>42</v>
      </c>
      <c r="E211" s="4" t="s">
        <v>27</v>
      </c>
      <c r="F211" s="4">
        <v>54.32</v>
      </c>
      <c r="G211" s="4">
        <v>14.47</v>
      </c>
      <c r="H211" s="4">
        <v>4.3700610779E10</v>
      </c>
      <c r="I211" s="4">
        <v>4.8781743713E10</v>
      </c>
      <c r="J211" s="5">
        <v>45512.43125</v>
      </c>
      <c r="K211" s="4" t="s">
        <v>528</v>
      </c>
      <c r="L211" s="4">
        <v>9.26</v>
      </c>
      <c r="M211" s="4">
        <v>1065.52</v>
      </c>
      <c r="N211" s="4">
        <v>1066.0</v>
      </c>
      <c r="O211" s="4">
        <v>88478.0</v>
      </c>
      <c r="P211" s="4">
        <f t="shared" si="1"/>
        <v>115.0666667</v>
      </c>
      <c r="Q211" s="4" t="str">
        <f t="shared" si="2"/>
        <v>Normal</v>
      </c>
      <c r="R211" s="1" t="str">
        <f t="shared" si="3"/>
        <v>Underutilized</v>
      </c>
      <c r="S211" s="4">
        <f t="shared" si="4"/>
        <v>86.13090449</v>
      </c>
      <c r="T211" s="1" t="str">
        <f t="shared" si="5"/>
        <v>Normal Cost</v>
      </c>
      <c r="U211" s="4">
        <f t="shared" si="6"/>
        <v>0.03887407039</v>
      </c>
    </row>
    <row r="212">
      <c r="A212" s="4" t="s">
        <v>529</v>
      </c>
      <c r="B212" s="4" t="s">
        <v>128</v>
      </c>
      <c r="C212" s="4">
        <v>991.6019</v>
      </c>
      <c r="D212" s="4" t="s">
        <v>17</v>
      </c>
      <c r="E212" s="4" t="s">
        <v>37</v>
      </c>
      <c r="F212" s="4">
        <v>92.88</v>
      </c>
      <c r="G212" s="4">
        <v>74.97</v>
      </c>
      <c r="H212" s="4">
        <v>3.2831863634E10</v>
      </c>
      <c r="I212" s="4">
        <v>3.8701169803E10</v>
      </c>
      <c r="J212" s="4" t="s">
        <v>530</v>
      </c>
      <c r="K212" s="4" t="s">
        <v>531</v>
      </c>
      <c r="L212" s="4">
        <v>7.0</v>
      </c>
      <c r="M212" s="4">
        <v>6941.21</v>
      </c>
      <c r="N212" s="4">
        <v>6941.0</v>
      </c>
      <c r="O212" s="4">
        <v>576103.0</v>
      </c>
      <c r="P212" s="4">
        <f t="shared" si="1"/>
        <v>136.1166667</v>
      </c>
      <c r="Q212" s="4" t="str">
        <f t="shared" si="2"/>
        <v>High</v>
      </c>
      <c r="R212" s="1" t="str">
        <f t="shared" si="3"/>
        <v>Normal</v>
      </c>
      <c r="S212" s="4">
        <f t="shared" si="4"/>
        <v>66.62032887</v>
      </c>
      <c r="T212" s="1" t="str">
        <f t="shared" si="5"/>
        <v>High Cost</v>
      </c>
      <c r="U212" s="4">
        <f t="shared" si="6"/>
        <v>0.01456770751</v>
      </c>
    </row>
    <row r="213">
      <c r="A213" s="4" t="s">
        <v>532</v>
      </c>
      <c r="B213" s="4" t="s">
        <v>112</v>
      </c>
      <c r="C213" s="4">
        <v>41.45</v>
      </c>
      <c r="D213" s="4" t="s">
        <v>42</v>
      </c>
      <c r="E213" s="4" t="s">
        <v>37</v>
      </c>
      <c r="F213" s="4">
        <v>88.97</v>
      </c>
      <c r="G213" s="4">
        <v>30.12</v>
      </c>
      <c r="H213" s="4">
        <v>5.5443426727E10</v>
      </c>
      <c r="I213" s="4">
        <v>6.2191421741E10</v>
      </c>
      <c r="J213" s="4" t="s">
        <v>533</v>
      </c>
      <c r="K213" s="4" t="s">
        <v>534</v>
      </c>
      <c r="L213" s="4">
        <v>7.46</v>
      </c>
      <c r="M213" s="4">
        <v>309.22</v>
      </c>
      <c r="N213" s="4">
        <v>309.0</v>
      </c>
      <c r="O213" s="4">
        <v>25647.0</v>
      </c>
      <c r="P213" s="4">
        <f t="shared" si="1"/>
        <v>41.45</v>
      </c>
      <c r="Q213" s="4" t="str">
        <f t="shared" si="2"/>
        <v>High</v>
      </c>
      <c r="R213" s="1" t="str">
        <f t="shared" si="3"/>
        <v>Underutilized</v>
      </c>
      <c r="S213" s="4">
        <f t="shared" si="4"/>
        <v>109.5559899</v>
      </c>
      <c r="T213" s="1" t="str">
        <f t="shared" si="5"/>
        <v>Normal Cost</v>
      </c>
      <c r="U213" s="4">
        <f t="shared" si="6"/>
        <v>0.2321714041</v>
      </c>
    </row>
    <row r="214">
      <c r="A214" s="4" t="s">
        <v>535</v>
      </c>
      <c r="B214" s="4" t="s">
        <v>273</v>
      </c>
      <c r="C214" s="4">
        <v>613.0738</v>
      </c>
      <c r="D214" s="4" t="s">
        <v>17</v>
      </c>
      <c r="E214" s="4" t="s">
        <v>74</v>
      </c>
      <c r="F214" s="4">
        <v>32.38</v>
      </c>
      <c r="G214" s="4">
        <v>33.94</v>
      </c>
      <c r="H214" s="4">
        <v>6.6431832313E10</v>
      </c>
      <c r="I214" s="4">
        <v>6.7722022588E10</v>
      </c>
      <c r="J214" s="4" t="s">
        <v>536</v>
      </c>
      <c r="K214" s="4" t="s">
        <v>537</v>
      </c>
      <c r="L214" s="4">
        <v>8.28</v>
      </c>
      <c r="M214" s="4">
        <v>5076.25</v>
      </c>
      <c r="N214" s="4">
        <v>5076.0</v>
      </c>
      <c r="O214" s="4">
        <v>421308.0</v>
      </c>
      <c r="P214" s="4">
        <f t="shared" si="1"/>
        <v>93.15</v>
      </c>
      <c r="Q214" s="4" t="str">
        <f t="shared" si="2"/>
        <v>Normal</v>
      </c>
      <c r="R214" s="1" t="str">
        <f t="shared" si="3"/>
        <v>Underutilized</v>
      </c>
      <c r="S214" s="4">
        <f t="shared" si="4"/>
        <v>124.9405135</v>
      </c>
      <c r="T214" s="1" t="str">
        <f t="shared" si="5"/>
        <v>High Cost</v>
      </c>
      <c r="U214" s="4">
        <f t="shared" si="6"/>
        <v>0.007870726404</v>
      </c>
    </row>
    <row r="215">
      <c r="A215" s="4" t="s">
        <v>538</v>
      </c>
      <c r="B215" s="4" t="s">
        <v>166</v>
      </c>
      <c r="C215" s="4">
        <v>195.6873</v>
      </c>
      <c r="D215" s="4" t="s">
        <v>17</v>
      </c>
      <c r="E215" s="4" t="s">
        <v>155</v>
      </c>
      <c r="F215" s="4">
        <v>65.79</v>
      </c>
      <c r="G215" s="4">
        <v>61.6</v>
      </c>
      <c r="H215" s="4">
        <v>6.601516991E10</v>
      </c>
      <c r="I215" s="4">
        <v>7.1506596862E10</v>
      </c>
      <c r="J215" s="4" t="s">
        <v>539</v>
      </c>
      <c r="K215" s="4" t="s">
        <v>315</v>
      </c>
      <c r="L215" s="4">
        <v>2.34</v>
      </c>
      <c r="M215" s="4">
        <v>457.91</v>
      </c>
      <c r="N215" s="4">
        <v>458.0</v>
      </c>
      <c r="O215" s="4">
        <v>38014.0</v>
      </c>
      <c r="P215" s="4">
        <f t="shared" si="1"/>
        <v>44.61666667</v>
      </c>
      <c r="Q215" s="4" t="str">
        <f t="shared" si="2"/>
        <v>Normal</v>
      </c>
      <c r="R215" s="1" t="str">
        <f t="shared" si="3"/>
        <v>Normal</v>
      </c>
      <c r="S215" s="4">
        <f t="shared" si="4"/>
        <v>128.0771259</v>
      </c>
      <c r="T215" s="1" t="str">
        <f t="shared" si="5"/>
        <v>Normal Cost</v>
      </c>
      <c r="U215" s="4">
        <f t="shared" si="6"/>
        <v>0.1675566896</v>
      </c>
    </row>
    <row r="216">
      <c r="A216" s="4" t="s">
        <v>540</v>
      </c>
      <c r="B216" s="4" t="s">
        <v>53</v>
      </c>
      <c r="C216" s="4">
        <v>994.9911</v>
      </c>
      <c r="D216" s="4" t="s">
        <v>17</v>
      </c>
      <c r="E216" s="4" t="s">
        <v>37</v>
      </c>
      <c r="F216" s="4">
        <v>36.04</v>
      </c>
      <c r="G216" s="4">
        <v>73.63</v>
      </c>
      <c r="H216" s="4">
        <v>5.5869074709E10</v>
      </c>
      <c r="I216" s="4">
        <v>5.7099202508E10</v>
      </c>
      <c r="J216" s="5">
        <v>45634.38888888889</v>
      </c>
      <c r="K216" s="4" t="s">
        <v>541</v>
      </c>
      <c r="L216" s="4">
        <v>3.33</v>
      </c>
      <c r="M216" s="4">
        <v>3313.32</v>
      </c>
      <c r="N216" s="4">
        <v>3313.0</v>
      </c>
      <c r="O216" s="4">
        <v>274979.0</v>
      </c>
      <c r="P216" s="4">
        <f t="shared" si="1"/>
        <v>119.25</v>
      </c>
      <c r="Q216" s="4" t="str">
        <f t="shared" si="2"/>
        <v>Normal</v>
      </c>
      <c r="R216" s="1" t="str">
        <f t="shared" si="3"/>
        <v>Normal</v>
      </c>
      <c r="S216" s="4">
        <f t="shared" si="4"/>
        <v>105.2099068</v>
      </c>
      <c r="T216" s="1" t="str">
        <f t="shared" si="5"/>
        <v>High Cost</v>
      </c>
      <c r="U216" s="4">
        <f t="shared" si="6"/>
        <v>0.01994152281</v>
      </c>
    </row>
    <row r="217">
      <c r="A217" s="4" t="s">
        <v>542</v>
      </c>
      <c r="B217" s="4" t="s">
        <v>41</v>
      </c>
      <c r="C217" s="4">
        <v>110.5</v>
      </c>
      <c r="D217" s="4" t="s">
        <v>42</v>
      </c>
      <c r="E217" s="4" t="s">
        <v>58</v>
      </c>
      <c r="F217" s="4">
        <v>54.59</v>
      </c>
      <c r="G217" s="4">
        <v>9.18</v>
      </c>
      <c r="H217" s="4">
        <v>3.2991739742E10</v>
      </c>
      <c r="I217" s="4">
        <v>3.9729741599E10</v>
      </c>
      <c r="J217" s="5">
        <v>45330.9375</v>
      </c>
      <c r="K217" s="5">
        <v>45481.541666666664</v>
      </c>
      <c r="L217" s="4">
        <v>9.73</v>
      </c>
      <c r="M217" s="4">
        <v>1075.16</v>
      </c>
      <c r="N217" s="4">
        <v>1075.0</v>
      </c>
      <c r="O217" s="4">
        <v>89225.0</v>
      </c>
      <c r="P217" s="4">
        <f t="shared" si="1"/>
        <v>110.5</v>
      </c>
      <c r="Q217" s="4" t="str">
        <f t="shared" si="2"/>
        <v>Normal</v>
      </c>
      <c r="R217" s="1" t="str">
        <f t="shared" si="3"/>
        <v>Underutilized</v>
      </c>
      <c r="S217" s="4">
        <f t="shared" si="4"/>
        <v>67.72715723</v>
      </c>
      <c r="T217" s="1" t="str">
        <f t="shared" si="5"/>
        <v>Normal Cost</v>
      </c>
      <c r="U217" s="4">
        <f t="shared" si="6"/>
        <v>0.03573550014</v>
      </c>
    </row>
    <row r="218">
      <c r="A218" s="4" t="s">
        <v>543</v>
      </c>
      <c r="B218" s="4" t="s">
        <v>46</v>
      </c>
      <c r="C218" s="4">
        <v>93.0837</v>
      </c>
      <c r="D218" s="4" t="s">
        <v>21</v>
      </c>
      <c r="E218" s="4" t="s">
        <v>123</v>
      </c>
      <c r="F218" s="4">
        <v>7.33</v>
      </c>
      <c r="G218" s="4">
        <v>92.83</v>
      </c>
      <c r="H218" s="4">
        <v>9.5481842905E10</v>
      </c>
      <c r="I218" s="4">
        <v>9.9568233782E10</v>
      </c>
      <c r="J218" s="4" t="s">
        <v>544</v>
      </c>
      <c r="K218" s="4" t="s">
        <v>545</v>
      </c>
      <c r="L218" s="4">
        <v>4.14</v>
      </c>
      <c r="M218" s="4">
        <v>385.37</v>
      </c>
      <c r="N218" s="4">
        <v>385.0</v>
      </c>
      <c r="O218" s="4">
        <v>31955.0</v>
      </c>
      <c r="P218" s="4">
        <f t="shared" si="1"/>
        <v>111.0833333</v>
      </c>
      <c r="Q218" s="4" t="str">
        <f t="shared" si="2"/>
        <v>Underutilized</v>
      </c>
      <c r="R218" s="1" t="str">
        <f t="shared" si="3"/>
        <v>High</v>
      </c>
      <c r="S218" s="4">
        <f t="shared" si="4"/>
        <v>181.6545396</v>
      </c>
      <c r="T218" s="1" t="str">
        <f t="shared" si="5"/>
        <v>Normal Cost</v>
      </c>
      <c r="U218" s="4">
        <f t="shared" si="6"/>
        <v>0.156720388</v>
      </c>
    </row>
    <row r="219">
      <c r="A219" s="4" t="s">
        <v>546</v>
      </c>
      <c r="B219" s="4" t="s">
        <v>41</v>
      </c>
      <c r="C219" s="4">
        <v>77.9</v>
      </c>
      <c r="D219" s="4" t="s">
        <v>42</v>
      </c>
      <c r="E219" s="4" t="s">
        <v>70</v>
      </c>
      <c r="F219" s="4">
        <v>78.83</v>
      </c>
      <c r="G219" s="4">
        <v>83.98</v>
      </c>
      <c r="H219" s="4">
        <v>9.294265963E10</v>
      </c>
      <c r="I219" s="4">
        <v>9.3472597444E10</v>
      </c>
      <c r="J219" s="5">
        <v>45634.85763888889</v>
      </c>
      <c r="K219" s="4" t="s">
        <v>547</v>
      </c>
      <c r="L219" s="4">
        <v>4.02</v>
      </c>
      <c r="M219" s="4">
        <v>313.16</v>
      </c>
      <c r="N219" s="4">
        <v>313.0</v>
      </c>
      <c r="O219" s="4">
        <v>25979.0</v>
      </c>
      <c r="P219" s="4">
        <f t="shared" si="1"/>
        <v>77.9</v>
      </c>
      <c r="Q219" s="4" t="str">
        <f t="shared" si="2"/>
        <v>High</v>
      </c>
      <c r="R219" s="1" t="str">
        <f t="shared" si="3"/>
        <v>High</v>
      </c>
      <c r="S219" s="4">
        <f t="shared" si="4"/>
        <v>173.6127372</v>
      </c>
      <c r="T219" s="1" t="str">
        <f t="shared" si="5"/>
        <v>Normal Cost</v>
      </c>
      <c r="U219" s="4">
        <f t="shared" si="6"/>
        <v>0.3133492436</v>
      </c>
    </row>
    <row r="220">
      <c r="A220" s="4" t="s">
        <v>548</v>
      </c>
      <c r="B220" s="4" t="s">
        <v>26</v>
      </c>
      <c r="C220" s="4">
        <v>702.8504</v>
      </c>
      <c r="D220" s="4" t="s">
        <v>17</v>
      </c>
      <c r="E220" s="4" t="s">
        <v>58</v>
      </c>
      <c r="F220" s="4">
        <v>17.79</v>
      </c>
      <c r="G220" s="4">
        <v>85.61</v>
      </c>
      <c r="H220" s="4">
        <v>1.0655239773E10</v>
      </c>
      <c r="I220" s="4">
        <v>1.8508901027E10</v>
      </c>
      <c r="J220" s="4" t="s">
        <v>549</v>
      </c>
      <c r="K220" s="4" t="s">
        <v>550</v>
      </c>
      <c r="L220" s="4">
        <v>2.67</v>
      </c>
      <c r="M220" s="4">
        <v>1876.61</v>
      </c>
      <c r="N220" s="4">
        <v>1877.0</v>
      </c>
      <c r="O220" s="4">
        <v>155791.0</v>
      </c>
      <c r="P220" s="4">
        <f t="shared" si="1"/>
        <v>34.53333333</v>
      </c>
      <c r="Q220" s="4" t="str">
        <f t="shared" si="2"/>
        <v>Underutilized</v>
      </c>
      <c r="R220" s="1" t="str">
        <f t="shared" si="3"/>
        <v>High</v>
      </c>
      <c r="S220" s="4">
        <f t="shared" si="4"/>
        <v>27.1612227</v>
      </c>
      <c r="T220" s="1" t="str">
        <f t="shared" si="5"/>
        <v>Normal Cost</v>
      </c>
      <c r="U220" s="4">
        <f t="shared" si="6"/>
        <v>0.03318548568</v>
      </c>
    </row>
    <row r="221">
      <c r="A221" s="4" t="s">
        <v>551</v>
      </c>
      <c r="B221" s="4" t="s">
        <v>83</v>
      </c>
      <c r="C221" s="4">
        <v>882.3972</v>
      </c>
      <c r="D221" s="4" t="s">
        <v>17</v>
      </c>
      <c r="E221" s="4" t="s">
        <v>70</v>
      </c>
      <c r="F221" s="4">
        <v>38.05</v>
      </c>
      <c r="G221" s="4">
        <v>9.48</v>
      </c>
      <c r="H221" s="4">
        <v>4.5169397512E10</v>
      </c>
      <c r="I221" s="4">
        <v>5.4583521857E10</v>
      </c>
      <c r="J221" s="5">
        <v>45298.694444444445</v>
      </c>
      <c r="K221" s="5">
        <v>45419.854166666664</v>
      </c>
      <c r="L221" s="4">
        <v>7.81</v>
      </c>
      <c r="M221" s="4">
        <v>6891.52</v>
      </c>
      <c r="N221" s="4">
        <v>6892.0</v>
      </c>
      <c r="O221" s="4">
        <v>572036.0</v>
      </c>
      <c r="P221" s="4">
        <f t="shared" si="1"/>
        <v>99.83333333</v>
      </c>
      <c r="Q221" s="4" t="str">
        <f t="shared" si="2"/>
        <v>Normal</v>
      </c>
      <c r="R221" s="1" t="str">
        <f t="shared" si="3"/>
        <v>Underutilized</v>
      </c>
      <c r="S221" s="4">
        <f t="shared" si="4"/>
        <v>92.90214569</v>
      </c>
      <c r="T221" s="1" t="str">
        <f t="shared" si="5"/>
        <v>High Cost</v>
      </c>
      <c r="U221" s="4">
        <f t="shared" si="6"/>
        <v>0.00415445881</v>
      </c>
    </row>
    <row r="222">
      <c r="A222" s="4" t="s">
        <v>552</v>
      </c>
      <c r="B222" s="4" t="s">
        <v>83</v>
      </c>
      <c r="C222" s="4">
        <v>95.6382</v>
      </c>
      <c r="D222" s="4" t="s">
        <v>17</v>
      </c>
      <c r="E222" s="4" t="s">
        <v>123</v>
      </c>
      <c r="F222" s="4">
        <v>46.47</v>
      </c>
      <c r="G222" s="4">
        <v>46.44</v>
      </c>
      <c r="H222" s="4">
        <v>2.1696064512E10</v>
      </c>
      <c r="I222" s="4">
        <v>2.4439232161E10</v>
      </c>
      <c r="J222" s="4" t="s">
        <v>553</v>
      </c>
      <c r="K222" s="4" t="s">
        <v>554</v>
      </c>
      <c r="L222" s="4">
        <v>2.31</v>
      </c>
      <c r="M222" s="4">
        <v>220.92</v>
      </c>
      <c r="N222" s="4">
        <v>221.0</v>
      </c>
      <c r="O222" s="4">
        <v>18343.0</v>
      </c>
      <c r="P222" s="4">
        <f t="shared" si="1"/>
        <v>84.43333333</v>
      </c>
      <c r="Q222" s="4" t="str">
        <f t="shared" si="2"/>
        <v>Normal</v>
      </c>
      <c r="R222" s="1" t="str">
        <f t="shared" si="3"/>
        <v>Normal</v>
      </c>
      <c r="S222" s="4">
        <f t="shared" si="4"/>
        <v>42.96684328</v>
      </c>
      <c r="T222" s="1" t="str">
        <f t="shared" si="5"/>
        <v>Normal Cost</v>
      </c>
      <c r="U222" s="4">
        <f t="shared" si="6"/>
        <v>0.2532573734</v>
      </c>
    </row>
    <row r="223">
      <c r="A223" s="4" t="s">
        <v>555</v>
      </c>
      <c r="B223" s="4" t="s">
        <v>46</v>
      </c>
      <c r="C223" s="4">
        <v>494.502</v>
      </c>
      <c r="D223" s="4" t="s">
        <v>21</v>
      </c>
      <c r="E223" s="4" t="s">
        <v>58</v>
      </c>
      <c r="F223" s="4">
        <v>29.77</v>
      </c>
      <c r="G223" s="4">
        <v>58.97</v>
      </c>
      <c r="H223" s="4">
        <v>8.6182660634E10</v>
      </c>
      <c r="I223" s="4">
        <v>8.7998260723E10</v>
      </c>
      <c r="J223" s="4" t="s">
        <v>556</v>
      </c>
      <c r="K223" s="4" t="s">
        <v>557</v>
      </c>
      <c r="L223" s="4">
        <v>9.68</v>
      </c>
      <c r="M223" s="4">
        <v>4786.78</v>
      </c>
      <c r="N223" s="4">
        <v>4787.0</v>
      </c>
      <c r="O223" s="4">
        <v>397321.0</v>
      </c>
      <c r="P223" s="4">
        <f t="shared" si="1"/>
        <v>36.76666667</v>
      </c>
      <c r="Q223" s="4" t="str">
        <f t="shared" si="2"/>
        <v>Underutilized</v>
      </c>
      <c r="R223" s="1" t="str">
        <f t="shared" si="3"/>
        <v>Normal</v>
      </c>
      <c r="S223" s="4">
        <f t="shared" si="4"/>
        <v>162.2186241</v>
      </c>
      <c r="T223" s="1" t="str">
        <f t="shared" si="5"/>
        <v>High Cost</v>
      </c>
      <c r="U223" s="4">
        <f t="shared" si="6"/>
        <v>0.01116729294</v>
      </c>
    </row>
    <row r="224">
      <c r="A224" s="4" t="s">
        <v>558</v>
      </c>
      <c r="B224" s="4" t="s">
        <v>16</v>
      </c>
      <c r="C224" s="4">
        <v>922.602</v>
      </c>
      <c r="D224" s="4" t="s">
        <v>17</v>
      </c>
      <c r="E224" s="4" t="s">
        <v>155</v>
      </c>
      <c r="F224" s="4">
        <v>26.96</v>
      </c>
      <c r="G224" s="4">
        <v>78.62</v>
      </c>
      <c r="H224" s="4">
        <v>4.2388780819E10</v>
      </c>
      <c r="I224" s="4">
        <v>4.7250108241E10</v>
      </c>
      <c r="J224" s="4" t="s">
        <v>559</v>
      </c>
      <c r="K224" s="4" t="s">
        <v>560</v>
      </c>
      <c r="L224" s="4">
        <v>9.49</v>
      </c>
      <c r="M224" s="4">
        <v>8755.49</v>
      </c>
      <c r="N224" s="4">
        <v>8755.0</v>
      </c>
      <c r="O224" s="4">
        <v>726665.0</v>
      </c>
      <c r="P224" s="4">
        <f t="shared" si="1"/>
        <v>127.7666667</v>
      </c>
      <c r="Q224" s="4" t="str">
        <f t="shared" si="2"/>
        <v>Underutilized</v>
      </c>
      <c r="R224" s="1" t="str">
        <f t="shared" si="3"/>
        <v>High</v>
      </c>
      <c r="S224" s="4">
        <f t="shared" si="4"/>
        <v>83.48272095</v>
      </c>
      <c r="T224" s="1" t="str">
        <f t="shared" si="5"/>
        <v>High Cost</v>
      </c>
      <c r="U224" s="4">
        <f t="shared" si="6"/>
        <v>0.007264695561</v>
      </c>
    </row>
    <row r="225">
      <c r="A225" s="4" t="s">
        <v>561</v>
      </c>
      <c r="B225" s="4" t="s">
        <v>53</v>
      </c>
      <c r="C225" s="4">
        <v>250.9953</v>
      </c>
      <c r="D225" s="4" t="s">
        <v>17</v>
      </c>
      <c r="E225" s="4" t="s">
        <v>32</v>
      </c>
      <c r="F225" s="4">
        <v>44.11</v>
      </c>
      <c r="G225" s="4">
        <v>63.35</v>
      </c>
      <c r="H225" s="4">
        <v>4.6527911504E10</v>
      </c>
      <c r="I225" s="4">
        <v>5.1328599957E10</v>
      </c>
      <c r="J225" s="4" t="s">
        <v>562</v>
      </c>
      <c r="K225" s="4" t="s">
        <v>563</v>
      </c>
      <c r="L225" s="4">
        <v>4.86</v>
      </c>
      <c r="M225" s="4">
        <v>1219.84</v>
      </c>
      <c r="N225" s="4">
        <v>1220.0</v>
      </c>
      <c r="O225" s="4">
        <v>101260.0</v>
      </c>
      <c r="P225" s="4">
        <f t="shared" si="1"/>
        <v>75.51666667</v>
      </c>
      <c r="Q225" s="4" t="str">
        <f t="shared" si="2"/>
        <v>Normal</v>
      </c>
      <c r="R225" s="1" t="str">
        <f t="shared" si="3"/>
        <v>Normal</v>
      </c>
      <c r="S225" s="4">
        <f t="shared" si="4"/>
        <v>91.1359782</v>
      </c>
      <c r="T225" s="1" t="str">
        <f t="shared" si="5"/>
        <v>Normal Cost</v>
      </c>
      <c r="U225" s="4">
        <f t="shared" si="6"/>
        <v>0.05306142603</v>
      </c>
    </row>
    <row r="226">
      <c r="A226" s="4" t="s">
        <v>564</v>
      </c>
      <c r="B226" s="4" t="s">
        <v>169</v>
      </c>
      <c r="C226" s="4">
        <v>289.8287</v>
      </c>
      <c r="D226" s="4" t="s">
        <v>17</v>
      </c>
      <c r="E226" s="4" t="s">
        <v>58</v>
      </c>
      <c r="F226" s="4">
        <v>8.77</v>
      </c>
      <c r="G226" s="4">
        <v>37.92</v>
      </c>
      <c r="H226" s="4">
        <v>9.4296289933E10</v>
      </c>
      <c r="I226" s="6">
        <v>1.02776E11</v>
      </c>
      <c r="J226" s="5">
        <v>45542.49444444444</v>
      </c>
      <c r="K226" s="5">
        <v>45633.04513888889</v>
      </c>
      <c r="L226" s="4">
        <v>5.02</v>
      </c>
      <c r="M226" s="4">
        <v>1454.94</v>
      </c>
      <c r="N226" s="4">
        <v>1455.0</v>
      </c>
      <c r="O226" s="4">
        <v>120765.0</v>
      </c>
      <c r="P226" s="4">
        <f t="shared" si="1"/>
        <v>61.21666667</v>
      </c>
      <c r="Q226" s="4" t="str">
        <f t="shared" si="2"/>
        <v>Underutilized</v>
      </c>
      <c r="R226" s="1" t="str">
        <f t="shared" si="3"/>
        <v>Underutilized</v>
      </c>
      <c r="S226" s="6">
        <f t="shared" si="4"/>
        <v>183.5378724</v>
      </c>
      <c r="T226" s="1" t="str">
        <f t="shared" si="5"/>
        <v>Normal Cost</v>
      </c>
      <c r="U226" s="4">
        <f t="shared" si="6"/>
        <v>0.01933093198</v>
      </c>
    </row>
    <row r="227">
      <c r="A227" s="4" t="s">
        <v>565</v>
      </c>
      <c r="B227" s="4" t="s">
        <v>36</v>
      </c>
      <c r="C227" s="4">
        <v>265.6305</v>
      </c>
      <c r="D227" s="4" t="s">
        <v>17</v>
      </c>
      <c r="E227" s="4" t="s">
        <v>155</v>
      </c>
      <c r="F227" s="4">
        <v>13.61</v>
      </c>
      <c r="G227" s="4">
        <v>33.39</v>
      </c>
      <c r="H227" s="4">
        <v>7.3610364832E10</v>
      </c>
      <c r="I227" s="4">
        <v>8.0068828866E10</v>
      </c>
      <c r="J227" s="4" t="s">
        <v>566</v>
      </c>
      <c r="K227" s="4" t="s">
        <v>567</v>
      </c>
      <c r="L227" s="4">
        <v>2.52</v>
      </c>
      <c r="M227" s="4">
        <v>669.39</v>
      </c>
      <c r="N227" s="4">
        <v>669.0</v>
      </c>
      <c r="O227" s="4">
        <v>55527.0</v>
      </c>
      <c r="P227" s="4">
        <f t="shared" si="1"/>
        <v>49.58333333</v>
      </c>
      <c r="Q227" s="4" t="str">
        <f t="shared" si="2"/>
        <v>Underutilized</v>
      </c>
      <c r="R227" s="1" t="str">
        <f t="shared" si="3"/>
        <v>Underutilized</v>
      </c>
      <c r="S227" s="4">
        <f t="shared" si="4"/>
        <v>143.1249023</v>
      </c>
      <c r="T227" s="1" t="str">
        <f t="shared" si="5"/>
        <v>Normal Cost</v>
      </c>
      <c r="U227" s="4">
        <f t="shared" si="6"/>
        <v>0.04232175338</v>
      </c>
    </row>
    <row r="228">
      <c r="A228" s="4" t="s">
        <v>568</v>
      </c>
      <c r="B228" s="4" t="s">
        <v>60</v>
      </c>
      <c r="C228" s="4">
        <v>135.35</v>
      </c>
      <c r="D228" s="4" t="s">
        <v>42</v>
      </c>
      <c r="E228" s="4" t="s">
        <v>74</v>
      </c>
      <c r="F228" s="4">
        <v>64.56</v>
      </c>
      <c r="G228" s="4">
        <v>81.23</v>
      </c>
      <c r="H228" s="4">
        <v>2.2637099957E10</v>
      </c>
      <c r="I228" s="4">
        <v>2.3764552187E10</v>
      </c>
      <c r="J228" s="4" t="s">
        <v>569</v>
      </c>
      <c r="K228" s="5">
        <v>45420.63611111111</v>
      </c>
      <c r="L228" s="4">
        <v>5.77</v>
      </c>
      <c r="M228" s="4">
        <v>780.97</v>
      </c>
      <c r="N228" s="4">
        <v>781.0</v>
      </c>
      <c r="O228" s="4">
        <v>64823.0</v>
      </c>
      <c r="P228" s="4">
        <f t="shared" si="1"/>
        <v>135.35</v>
      </c>
      <c r="Q228" s="4" t="str">
        <f t="shared" si="2"/>
        <v>Normal</v>
      </c>
      <c r="R228" s="1" t="str">
        <f t="shared" si="3"/>
        <v>High</v>
      </c>
      <c r="S228" s="4">
        <f t="shared" si="4"/>
        <v>43.21490614</v>
      </c>
      <c r="T228" s="1" t="str">
        <f t="shared" si="5"/>
        <v>Normal Cost</v>
      </c>
      <c r="U228" s="4">
        <f t="shared" si="6"/>
        <v>0.1124523703</v>
      </c>
    </row>
    <row r="229">
      <c r="A229" s="4" t="s">
        <v>570</v>
      </c>
      <c r="B229" s="4" t="s">
        <v>122</v>
      </c>
      <c r="C229" s="4">
        <v>799.878</v>
      </c>
      <c r="D229" s="4" t="s">
        <v>17</v>
      </c>
      <c r="E229" s="4" t="s">
        <v>105</v>
      </c>
      <c r="F229" s="4">
        <v>51.03</v>
      </c>
      <c r="G229" s="4">
        <v>1.84</v>
      </c>
      <c r="H229" s="4">
        <v>4.7731592778E10</v>
      </c>
      <c r="I229" s="4">
        <v>5.7265004862E10</v>
      </c>
      <c r="J229" s="5">
        <v>45512.22430555556</v>
      </c>
      <c r="K229" s="5">
        <v>45634.76736111111</v>
      </c>
      <c r="L229" s="4">
        <v>7.23</v>
      </c>
      <c r="M229" s="4">
        <v>5783.12</v>
      </c>
      <c r="N229" s="4">
        <v>5783.0</v>
      </c>
      <c r="O229" s="4">
        <v>479989.0</v>
      </c>
      <c r="P229" s="4">
        <f t="shared" si="1"/>
        <v>109.0333333</v>
      </c>
      <c r="Q229" s="4" t="str">
        <f t="shared" si="2"/>
        <v>Normal</v>
      </c>
      <c r="R229" s="1" t="str">
        <f t="shared" si="3"/>
        <v>Underutilized</v>
      </c>
      <c r="S229" s="4">
        <f t="shared" si="4"/>
        <v>97.78570164</v>
      </c>
      <c r="T229" s="1" t="str">
        <f t="shared" si="5"/>
        <v>High Cost</v>
      </c>
      <c r="U229" s="4">
        <f t="shared" si="6"/>
        <v>0.005507417878</v>
      </c>
    </row>
    <row r="230">
      <c r="A230" s="4" t="s">
        <v>571</v>
      </c>
      <c r="B230" s="4" t="s">
        <v>128</v>
      </c>
      <c r="C230" s="4">
        <v>137.0785</v>
      </c>
      <c r="D230" s="4" t="s">
        <v>21</v>
      </c>
      <c r="E230" s="4" t="s">
        <v>74</v>
      </c>
      <c r="F230" s="4">
        <v>68.78</v>
      </c>
      <c r="G230" s="4">
        <v>27.66</v>
      </c>
      <c r="H230" s="4">
        <v>5.9076497181E10</v>
      </c>
      <c r="I230" s="4">
        <v>6.864671836E10</v>
      </c>
      <c r="J230" s="4" t="s">
        <v>572</v>
      </c>
      <c r="K230" s="5">
        <v>45420.52916666667</v>
      </c>
      <c r="L230" s="4">
        <v>5.63</v>
      </c>
      <c r="M230" s="4">
        <v>771.75</v>
      </c>
      <c r="N230" s="4">
        <v>772.0</v>
      </c>
      <c r="O230" s="4">
        <v>64076.0</v>
      </c>
      <c r="P230" s="4">
        <f t="shared" si="1"/>
        <v>139.0833333</v>
      </c>
      <c r="Q230" s="4" t="str">
        <f t="shared" si="2"/>
        <v>Normal</v>
      </c>
      <c r="R230" s="1" t="str">
        <f t="shared" si="3"/>
        <v>Underutilized</v>
      </c>
      <c r="S230" s="4">
        <f t="shared" si="4"/>
        <v>118.9515139</v>
      </c>
      <c r="T230" s="1" t="str">
        <f t="shared" si="5"/>
        <v>Normal Cost</v>
      </c>
      <c r="U230" s="4">
        <f t="shared" si="6"/>
        <v>0.07525438542</v>
      </c>
    </row>
    <row r="231">
      <c r="A231" s="4" t="s">
        <v>573</v>
      </c>
      <c r="B231" s="4" t="s">
        <v>41</v>
      </c>
      <c r="C231" s="4">
        <v>130.9667</v>
      </c>
      <c r="D231" s="4" t="s">
        <v>42</v>
      </c>
      <c r="E231" s="4" t="s">
        <v>22</v>
      </c>
      <c r="F231" s="4">
        <v>30.4</v>
      </c>
      <c r="G231" s="4">
        <v>68.73</v>
      </c>
      <c r="H231" s="4">
        <v>2.0878335863E10</v>
      </c>
      <c r="I231" s="4">
        <v>2.2466351666E10</v>
      </c>
      <c r="J231" s="4" t="s">
        <v>574</v>
      </c>
      <c r="K231" s="4" t="s">
        <v>575</v>
      </c>
      <c r="L231" s="4">
        <v>1.84</v>
      </c>
      <c r="M231" s="4">
        <v>240.98</v>
      </c>
      <c r="N231" s="4">
        <v>241.0</v>
      </c>
      <c r="O231" s="4">
        <v>20003.0</v>
      </c>
      <c r="P231" s="4">
        <f t="shared" si="1"/>
        <v>130.9666667</v>
      </c>
      <c r="Q231" s="4" t="str">
        <f t="shared" si="2"/>
        <v>Normal</v>
      </c>
      <c r="R231" s="1" t="str">
        <f t="shared" si="3"/>
        <v>Normal</v>
      </c>
      <c r="S231" s="4">
        <f t="shared" si="4"/>
        <v>40.36788599</v>
      </c>
      <c r="T231" s="1" t="str">
        <f t="shared" si="5"/>
        <v>Normal Cost</v>
      </c>
      <c r="U231" s="4">
        <f t="shared" si="6"/>
        <v>0.2477878318</v>
      </c>
    </row>
    <row r="232">
      <c r="A232" s="4" t="s">
        <v>576</v>
      </c>
      <c r="B232" s="4" t="s">
        <v>66</v>
      </c>
      <c r="C232" s="4">
        <v>60.418</v>
      </c>
      <c r="D232" s="4" t="s">
        <v>21</v>
      </c>
      <c r="E232" s="4" t="s">
        <v>22</v>
      </c>
      <c r="F232" s="4">
        <v>73.04</v>
      </c>
      <c r="G232" s="4">
        <v>7.02</v>
      </c>
      <c r="H232" s="4">
        <v>6.5950112568E10</v>
      </c>
      <c r="I232" s="4">
        <v>6.7804396568E10</v>
      </c>
      <c r="J232" s="5">
        <v>45390.60972222222</v>
      </c>
      <c r="K232" s="5">
        <v>45420.958333333336</v>
      </c>
      <c r="L232" s="4">
        <v>7.09</v>
      </c>
      <c r="M232" s="4">
        <v>428.36</v>
      </c>
      <c r="N232" s="4">
        <v>428.0</v>
      </c>
      <c r="O232" s="4">
        <v>35524.0</v>
      </c>
      <c r="P232" s="4">
        <f t="shared" si="1"/>
        <v>32.36666667</v>
      </c>
      <c r="Q232" s="4" t="str">
        <f t="shared" si="2"/>
        <v>High</v>
      </c>
      <c r="R232" s="1" t="str">
        <f t="shared" si="3"/>
        <v>Underutilized</v>
      </c>
      <c r="S232" s="4">
        <f t="shared" si="4"/>
        <v>124.5685938</v>
      </c>
      <c r="T232" s="1" t="str">
        <f t="shared" si="5"/>
        <v>Normal Cost</v>
      </c>
      <c r="U232" s="4">
        <f t="shared" si="6"/>
        <v>0.1126843824</v>
      </c>
    </row>
    <row r="233">
      <c r="A233" s="4" t="s">
        <v>577</v>
      </c>
      <c r="B233" s="4" t="s">
        <v>128</v>
      </c>
      <c r="C233" s="4">
        <v>571.2061</v>
      </c>
      <c r="D233" s="4" t="s">
        <v>17</v>
      </c>
      <c r="E233" s="4" t="s">
        <v>155</v>
      </c>
      <c r="F233" s="4">
        <v>96.9</v>
      </c>
      <c r="G233" s="4">
        <v>91.73</v>
      </c>
      <c r="H233" s="4">
        <v>1.5610460343E10</v>
      </c>
      <c r="I233" s="4">
        <v>1.8782478171E10</v>
      </c>
      <c r="J233" s="5">
        <v>45481.90902777778</v>
      </c>
      <c r="K233" s="5">
        <v>45573.03055555555</v>
      </c>
      <c r="L233" s="4">
        <v>1.9</v>
      </c>
      <c r="M233" s="4">
        <v>1085.29</v>
      </c>
      <c r="N233" s="4">
        <v>1085.0</v>
      </c>
      <c r="O233" s="4">
        <v>90055.0</v>
      </c>
      <c r="P233" s="4">
        <f t="shared" si="1"/>
        <v>50.91666667</v>
      </c>
      <c r="Q233" s="4" t="str">
        <f t="shared" si="2"/>
        <v>High</v>
      </c>
      <c r="R233" s="1" t="str">
        <f t="shared" si="3"/>
        <v>High</v>
      </c>
      <c r="S233" s="4">
        <f t="shared" si="4"/>
        <v>32.03092005</v>
      </c>
      <c r="T233" s="1" t="str">
        <f t="shared" si="5"/>
        <v>Normal Cost</v>
      </c>
      <c r="U233" s="4">
        <f t="shared" si="6"/>
        <v>0.1047304425</v>
      </c>
    </row>
    <row r="234">
      <c r="A234" s="4" t="s">
        <v>578</v>
      </c>
      <c r="B234" s="4" t="s">
        <v>147</v>
      </c>
      <c r="C234" s="4">
        <v>62.0833</v>
      </c>
      <c r="D234" s="4" t="s">
        <v>42</v>
      </c>
      <c r="E234" s="4" t="s">
        <v>123</v>
      </c>
      <c r="F234" s="4">
        <v>5.5</v>
      </c>
      <c r="G234" s="4">
        <v>31.02</v>
      </c>
      <c r="H234" s="4">
        <v>9.801629391E10</v>
      </c>
      <c r="I234" s="6">
        <v>1.07696E11</v>
      </c>
      <c r="J234" s="4" t="s">
        <v>579</v>
      </c>
      <c r="K234" s="4" t="s">
        <v>580</v>
      </c>
      <c r="L234" s="4">
        <v>1.24</v>
      </c>
      <c r="M234" s="4">
        <v>76.98</v>
      </c>
      <c r="N234" s="4">
        <v>77.0</v>
      </c>
      <c r="O234" s="4">
        <v>6391.0</v>
      </c>
      <c r="P234" s="4">
        <f t="shared" si="1"/>
        <v>62.08333333</v>
      </c>
      <c r="Q234" s="4" t="str">
        <f t="shared" si="2"/>
        <v>Underutilized</v>
      </c>
      <c r="R234" s="1" t="str">
        <f t="shared" si="3"/>
        <v>Underutilized</v>
      </c>
      <c r="S234" s="6">
        <f t="shared" si="4"/>
        <v>191.5845032</v>
      </c>
      <c r="T234" s="1" t="str">
        <f t="shared" si="5"/>
        <v>Normal Cost</v>
      </c>
      <c r="U234" s="4">
        <f t="shared" si="6"/>
        <v>0.2857142857</v>
      </c>
    </row>
    <row r="235">
      <c r="A235" s="4" t="s">
        <v>581</v>
      </c>
      <c r="B235" s="4" t="s">
        <v>350</v>
      </c>
      <c r="C235" s="4">
        <v>453.6261</v>
      </c>
      <c r="D235" s="4" t="s">
        <v>21</v>
      </c>
      <c r="E235" s="4" t="s">
        <v>70</v>
      </c>
      <c r="F235" s="4">
        <v>43.49</v>
      </c>
      <c r="G235" s="4">
        <v>25.0</v>
      </c>
      <c r="H235" s="4">
        <v>6.8066971596E10</v>
      </c>
      <c r="I235" s="4">
        <v>7.514564801E10</v>
      </c>
      <c r="J235" s="5">
        <v>45542.558333333334</v>
      </c>
      <c r="K235" s="4" t="s">
        <v>582</v>
      </c>
      <c r="L235" s="4">
        <v>3.7</v>
      </c>
      <c r="M235" s="4">
        <v>1678.42</v>
      </c>
      <c r="N235" s="4">
        <v>1678.0</v>
      </c>
      <c r="O235" s="4">
        <v>139274.0</v>
      </c>
      <c r="P235" s="4">
        <f t="shared" si="1"/>
        <v>133.25</v>
      </c>
      <c r="Q235" s="4" t="str">
        <f t="shared" si="2"/>
        <v>Normal</v>
      </c>
      <c r="R235" s="1" t="str">
        <f t="shared" si="3"/>
        <v>Underutilized</v>
      </c>
      <c r="S235" s="4">
        <f t="shared" si="4"/>
        <v>133.3771456</v>
      </c>
      <c r="T235" s="1" t="str">
        <f t="shared" si="5"/>
        <v>Normal Cost</v>
      </c>
      <c r="U235" s="4">
        <f t="shared" si="6"/>
        <v>0.02458822178</v>
      </c>
    </row>
    <row r="236">
      <c r="A236" s="4" t="s">
        <v>583</v>
      </c>
      <c r="B236" s="4" t="s">
        <v>66</v>
      </c>
      <c r="C236" s="4">
        <v>274.034</v>
      </c>
      <c r="D236" s="4" t="s">
        <v>21</v>
      </c>
      <c r="E236" s="4" t="s">
        <v>22</v>
      </c>
      <c r="F236" s="4">
        <v>11.9</v>
      </c>
      <c r="G236" s="4">
        <v>67.98</v>
      </c>
      <c r="H236" s="4">
        <v>4.382792397E9</v>
      </c>
      <c r="I236" s="4">
        <v>9.767562785E9</v>
      </c>
      <c r="J236" s="4" t="s">
        <v>584</v>
      </c>
      <c r="K236" s="4" t="s">
        <v>585</v>
      </c>
      <c r="L236" s="4">
        <v>2.06</v>
      </c>
      <c r="M236" s="4">
        <v>564.51</v>
      </c>
      <c r="N236" s="4">
        <v>565.0</v>
      </c>
      <c r="O236" s="4">
        <v>46895.0</v>
      </c>
      <c r="P236" s="4">
        <f t="shared" si="1"/>
        <v>44.83333333</v>
      </c>
      <c r="Q236" s="4" t="str">
        <f t="shared" si="2"/>
        <v>Underutilized</v>
      </c>
      <c r="R236" s="1" t="str">
        <f t="shared" si="3"/>
        <v>Normal</v>
      </c>
      <c r="S236" s="4">
        <f t="shared" si="4"/>
        <v>13.17854522</v>
      </c>
      <c r="T236" s="1" t="str">
        <f t="shared" si="5"/>
        <v>Normal Cost</v>
      </c>
      <c r="U236" s="4">
        <f t="shared" si="6"/>
        <v>0.08516899456</v>
      </c>
    </row>
    <row r="237">
      <c r="A237" s="4" t="s">
        <v>586</v>
      </c>
      <c r="B237" s="4" t="s">
        <v>36</v>
      </c>
      <c r="C237" s="4">
        <v>676.4654</v>
      </c>
      <c r="D237" s="4" t="s">
        <v>17</v>
      </c>
      <c r="E237" s="4" t="s">
        <v>123</v>
      </c>
      <c r="F237" s="4">
        <v>2.68</v>
      </c>
      <c r="G237" s="4">
        <v>88.7</v>
      </c>
      <c r="H237" s="4">
        <v>8.7271684521E10</v>
      </c>
      <c r="I237" s="4">
        <v>9.0506586119E10</v>
      </c>
      <c r="J237" s="5">
        <v>45634.01111111111</v>
      </c>
      <c r="K237" s="4" t="s">
        <v>587</v>
      </c>
      <c r="L237" s="4">
        <v>6.43</v>
      </c>
      <c r="M237" s="4">
        <v>4349.67</v>
      </c>
      <c r="N237" s="4">
        <v>4350.0</v>
      </c>
      <c r="O237" s="4">
        <v>361050.0</v>
      </c>
      <c r="P237" s="4">
        <f t="shared" si="1"/>
        <v>114.7333333</v>
      </c>
      <c r="Q237" s="4" t="str">
        <f t="shared" si="2"/>
        <v>Underutilized</v>
      </c>
      <c r="R237" s="1" t="str">
        <f t="shared" si="3"/>
        <v>High</v>
      </c>
      <c r="S237" s="4">
        <f t="shared" si="4"/>
        <v>165.5689167</v>
      </c>
      <c r="T237" s="1" t="str">
        <f t="shared" si="5"/>
        <v>High Cost</v>
      </c>
      <c r="U237" s="4">
        <f t="shared" si="6"/>
        <v>0.01265475696</v>
      </c>
    </row>
    <row r="238">
      <c r="A238" s="4" t="s">
        <v>588</v>
      </c>
      <c r="B238" s="4" t="s">
        <v>53</v>
      </c>
      <c r="C238" s="4">
        <v>547.5155</v>
      </c>
      <c r="D238" s="4" t="s">
        <v>17</v>
      </c>
      <c r="E238" s="4" t="s">
        <v>74</v>
      </c>
      <c r="F238" s="4">
        <v>93.59</v>
      </c>
      <c r="G238" s="4">
        <v>69.43</v>
      </c>
      <c r="H238" s="4">
        <v>6.5049379625E10</v>
      </c>
      <c r="I238" s="4">
        <v>7.1696600966E10</v>
      </c>
      <c r="J238" s="4" t="s">
        <v>589</v>
      </c>
      <c r="K238" s="4" t="s">
        <v>590</v>
      </c>
      <c r="L238" s="4">
        <v>5.71</v>
      </c>
      <c r="M238" s="4">
        <v>3126.31</v>
      </c>
      <c r="N238" s="4">
        <v>3126.0</v>
      </c>
      <c r="O238" s="4">
        <v>259458.0</v>
      </c>
      <c r="P238" s="4">
        <f t="shared" si="1"/>
        <v>74.36666667</v>
      </c>
      <c r="Q238" s="4" t="str">
        <f t="shared" si="2"/>
        <v>High</v>
      </c>
      <c r="R238" s="1" t="str">
        <f t="shared" si="3"/>
        <v>Normal</v>
      </c>
      <c r="S238" s="4">
        <f t="shared" si="4"/>
        <v>127.3546187</v>
      </c>
      <c r="T238" s="1" t="str">
        <f t="shared" si="5"/>
        <v>High Cost</v>
      </c>
      <c r="U238" s="4">
        <f t="shared" si="6"/>
        <v>0.03141548921</v>
      </c>
    </row>
    <row r="239">
      <c r="A239" s="4" t="s">
        <v>591</v>
      </c>
      <c r="B239" s="4" t="s">
        <v>57</v>
      </c>
      <c r="C239" s="4">
        <v>401.4413</v>
      </c>
      <c r="D239" s="4" t="s">
        <v>21</v>
      </c>
      <c r="E239" s="4" t="s">
        <v>155</v>
      </c>
      <c r="F239" s="4">
        <v>46.83</v>
      </c>
      <c r="G239" s="4">
        <v>38.33</v>
      </c>
      <c r="H239" s="4">
        <v>1.0445114237E10</v>
      </c>
      <c r="I239" s="4">
        <v>1.5856476534E10</v>
      </c>
      <c r="J239" s="4" t="s">
        <v>592</v>
      </c>
      <c r="K239" s="4" t="s">
        <v>593</v>
      </c>
      <c r="L239" s="4">
        <v>2.83</v>
      </c>
      <c r="M239" s="4">
        <v>1136.08</v>
      </c>
      <c r="N239" s="4">
        <v>1136.0</v>
      </c>
      <c r="O239" s="4">
        <v>94288.0</v>
      </c>
      <c r="P239" s="4">
        <f t="shared" si="1"/>
        <v>104.3666667</v>
      </c>
      <c r="Q239" s="4" t="str">
        <f t="shared" si="2"/>
        <v>Normal</v>
      </c>
      <c r="R239" s="1" t="str">
        <f t="shared" si="3"/>
        <v>Underutilized</v>
      </c>
      <c r="S239" s="4">
        <f t="shared" si="4"/>
        <v>24.49526523</v>
      </c>
      <c r="T239" s="1" t="str">
        <f t="shared" si="5"/>
        <v>Normal Cost</v>
      </c>
      <c r="U239" s="4">
        <f t="shared" si="6"/>
        <v>0.04515951128</v>
      </c>
    </row>
    <row r="240">
      <c r="A240" s="4" t="s">
        <v>594</v>
      </c>
      <c r="B240" s="4" t="s">
        <v>273</v>
      </c>
      <c r="C240" s="4">
        <v>427.4798</v>
      </c>
      <c r="D240" s="4" t="s">
        <v>17</v>
      </c>
      <c r="E240" s="4" t="s">
        <v>54</v>
      </c>
      <c r="F240" s="4">
        <v>58.13</v>
      </c>
      <c r="G240" s="4">
        <v>46.11</v>
      </c>
      <c r="H240" s="4">
        <v>5.82749435E10</v>
      </c>
      <c r="I240" s="4">
        <v>6.3345882101E10</v>
      </c>
      <c r="J240" s="4" t="s">
        <v>595</v>
      </c>
      <c r="K240" s="4" t="s">
        <v>596</v>
      </c>
      <c r="L240" s="4">
        <v>2.26</v>
      </c>
      <c r="M240" s="4">
        <v>966.1</v>
      </c>
      <c r="N240" s="4">
        <v>966.0</v>
      </c>
      <c r="O240" s="4">
        <v>80178.0</v>
      </c>
      <c r="P240" s="4">
        <f t="shared" si="1"/>
        <v>89.18333333</v>
      </c>
      <c r="Q240" s="4" t="str">
        <f t="shared" si="2"/>
        <v>Normal</v>
      </c>
      <c r="R240" s="1" t="str">
        <f t="shared" si="3"/>
        <v>Normal</v>
      </c>
      <c r="S240" s="4">
        <f t="shared" si="4"/>
        <v>113.2682204</v>
      </c>
      <c r="T240" s="1" t="str">
        <f t="shared" si="5"/>
        <v>Normal Cost</v>
      </c>
      <c r="U240" s="4">
        <f t="shared" si="6"/>
        <v>0.06500536307</v>
      </c>
    </row>
    <row r="241">
      <c r="A241" s="4" t="s">
        <v>597</v>
      </c>
      <c r="B241" s="4" t="s">
        <v>99</v>
      </c>
      <c r="C241" s="4">
        <v>615.3185</v>
      </c>
      <c r="D241" s="4" t="s">
        <v>21</v>
      </c>
      <c r="E241" s="4" t="s">
        <v>155</v>
      </c>
      <c r="F241" s="4">
        <v>16.34</v>
      </c>
      <c r="G241" s="4">
        <v>95.4</v>
      </c>
      <c r="H241" s="4">
        <v>3.814191214E10</v>
      </c>
      <c r="I241" s="4">
        <v>4.4961747527E10</v>
      </c>
      <c r="J241" s="4" t="s">
        <v>598</v>
      </c>
      <c r="K241" s="4" t="s">
        <v>599</v>
      </c>
      <c r="L241" s="4">
        <v>9.3</v>
      </c>
      <c r="M241" s="4">
        <v>5722.46</v>
      </c>
      <c r="N241" s="4">
        <v>5722.0</v>
      </c>
      <c r="O241" s="4">
        <v>474926.0</v>
      </c>
      <c r="P241" s="4">
        <f t="shared" si="1"/>
        <v>139.65</v>
      </c>
      <c r="Q241" s="4" t="str">
        <f t="shared" si="2"/>
        <v>Underutilized</v>
      </c>
      <c r="R241" s="1" t="str">
        <f t="shared" si="3"/>
        <v>High</v>
      </c>
      <c r="S241" s="4">
        <f t="shared" si="4"/>
        <v>77.39631428</v>
      </c>
      <c r="T241" s="1" t="str">
        <f t="shared" si="5"/>
        <v>High Cost</v>
      </c>
      <c r="U241" s="4">
        <f t="shared" si="6"/>
        <v>0.01176393796</v>
      </c>
    </row>
    <row r="242">
      <c r="A242" s="4" t="s">
        <v>600</v>
      </c>
      <c r="B242" s="4" t="s">
        <v>16</v>
      </c>
      <c r="C242" s="4">
        <v>923.9322</v>
      </c>
      <c r="D242" s="4" t="s">
        <v>17</v>
      </c>
      <c r="E242" s="4" t="s">
        <v>27</v>
      </c>
      <c r="F242" s="4">
        <v>7.35</v>
      </c>
      <c r="G242" s="4">
        <v>60.67</v>
      </c>
      <c r="H242" s="4">
        <v>6.920202928E10</v>
      </c>
      <c r="I242" s="4">
        <v>7.3959120285E10</v>
      </c>
      <c r="J242" s="5">
        <v>45542.197916666664</v>
      </c>
      <c r="K242" s="5">
        <v>45572.643055555556</v>
      </c>
      <c r="L242" s="4">
        <v>9.56</v>
      </c>
      <c r="M242" s="4">
        <v>8832.79</v>
      </c>
      <c r="N242" s="4">
        <v>8833.0</v>
      </c>
      <c r="O242" s="4">
        <v>733139.0</v>
      </c>
      <c r="P242" s="4">
        <f t="shared" si="1"/>
        <v>34.68333333</v>
      </c>
      <c r="Q242" s="4" t="str">
        <f t="shared" si="2"/>
        <v>Underutilized</v>
      </c>
      <c r="R242" s="1" t="str">
        <f t="shared" si="3"/>
        <v>Normal</v>
      </c>
      <c r="S242" s="4">
        <f t="shared" si="4"/>
        <v>133.3292104</v>
      </c>
      <c r="T242" s="1" t="str">
        <f t="shared" si="5"/>
        <v>High Cost</v>
      </c>
      <c r="U242" s="4">
        <f t="shared" si="6"/>
        <v>0.004638956596</v>
      </c>
    </row>
    <row r="243">
      <c r="A243" s="4" t="s">
        <v>601</v>
      </c>
      <c r="B243" s="4" t="s">
        <v>99</v>
      </c>
      <c r="C243" s="4">
        <v>523.1705</v>
      </c>
      <c r="D243" s="4" t="s">
        <v>17</v>
      </c>
      <c r="E243" s="4" t="s">
        <v>74</v>
      </c>
      <c r="F243" s="4">
        <v>63.29</v>
      </c>
      <c r="G243" s="4">
        <v>2.7</v>
      </c>
      <c r="H243" s="4">
        <v>7.0920563187E10</v>
      </c>
      <c r="I243" s="4">
        <v>7.7653883062E10</v>
      </c>
      <c r="J243" s="5">
        <v>45512.43541666667</v>
      </c>
      <c r="K243" s="4" t="s">
        <v>602</v>
      </c>
      <c r="L243" s="4">
        <v>7.84</v>
      </c>
      <c r="M243" s="4">
        <v>4101.66</v>
      </c>
      <c r="N243" s="4">
        <v>4102.0</v>
      </c>
      <c r="O243" s="4">
        <v>340466.0</v>
      </c>
      <c r="P243" s="4">
        <f t="shared" si="1"/>
        <v>142.7666667</v>
      </c>
      <c r="Q243" s="4" t="str">
        <f t="shared" si="2"/>
        <v>Normal</v>
      </c>
      <c r="R243" s="1" t="str">
        <f t="shared" si="3"/>
        <v>Underutilized</v>
      </c>
      <c r="S243" s="4">
        <f t="shared" si="4"/>
        <v>138.3707358</v>
      </c>
      <c r="T243" s="1" t="str">
        <f t="shared" si="5"/>
        <v>High Cost</v>
      </c>
      <c r="U243" s="4">
        <f t="shared" si="6"/>
        <v>0.009691129217</v>
      </c>
    </row>
    <row r="244">
      <c r="A244" s="4" t="s">
        <v>603</v>
      </c>
      <c r="B244" s="4" t="s">
        <v>62</v>
      </c>
      <c r="C244" s="4">
        <v>38.4</v>
      </c>
      <c r="D244" s="4" t="s">
        <v>42</v>
      </c>
      <c r="E244" s="4" t="s">
        <v>22</v>
      </c>
      <c r="F244" s="4">
        <v>8.55</v>
      </c>
      <c r="G244" s="4">
        <v>52.81</v>
      </c>
      <c r="H244" s="4">
        <v>5.884612949E10</v>
      </c>
      <c r="I244" s="4">
        <v>5.9441536233E10</v>
      </c>
      <c r="J244" s="5">
        <v>45511.291666666664</v>
      </c>
      <c r="K244" s="5">
        <v>45542.89166666667</v>
      </c>
      <c r="L244" s="4">
        <v>9.67</v>
      </c>
      <c r="M244" s="4">
        <v>371.33</v>
      </c>
      <c r="N244" s="4">
        <v>371.0</v>
      </c>
      <c r="O244" s="4">
        <v>30793.0</v>
      </c>
      <c r="P244" s="4">
        <f t="shared" si="1"/>
        <v>38.4</v>
      </c>
      <c r="Q244" s="4" t="str">
        <f t="shared" si="2"/>
        <v>Underutilized</v>
      </c>
      <c r="R244" s="1" t="str">
        <f t="shared" si="3"/>
        <v>Normal</v>
      </c>
      <c r="S244" s="4">
        <f t="shared" si="4"/>
        <v>110.1639734</v>
      </c>
      <c r="T244" s="1" t="str">
        <f t="shared" si="5"/>
        <v>Normal Cost</v>
      </c>
      <c r="U244" s="4">
        <f t="shared" si="6"/>
        <v>0.09963303348</v>
      </c>
    </row>
    <row r="245">
      <c r="A245" s="4" t="s">
        <v>604</v>
      </c>
      <c r="B245" s="4" t="s">
        <v>99</v>
      </c>
      <c r="C245" s="4">
        <v>577.191</v>
      </c>
      <c r="D245" s="4" t="s">
        <v>17</v>
      </c>
      <c r="E245" s="4" t="s">
        <v>123</v>
      </c>
      <c r="F245" s="4">
        <v>5.13</v>
      </c>
      <c r="G245" s="4">
        <v>74.47</v>
      </c>
      <c r="H245" s="4">
        <v>6.6605578559E10</v>
      </c>
      <c r="I245" s="4">
        <v>6.9688806846E10</v>
      </c>
      <c r="J245" s="4" t="s">
        <v>605</v>
      </c>
      <c r="K245" s="4" t="s">
        <v>606</v>
      </c>
      <c r="L245" s="4">
        <v>8.94</v>
      </c>
      <c r="M245" s="4">
        <v>5160.09</v>
      </c>
      <c r="N245" s="4">
        <v>5160.0</v>
      </c>
      <c r="O245" s="4">
        <v>428280.0</v>
      </c>
      <c r="P245" s="4">
        <f t="shared" si="1"/>
        <v>66.21666667</v>
      </c>
      <c r="Q245" s="4" t="str">
        <f t="shared" si="2"/>
        <v>Underutilized</v>
      </c>
      <c r="R245" s="1" t="str">
        <f t="shared" si="3"/>
        <v>Normal</v>
      </c>
      <c r="S245" s="4">
        <f t="shared" si="4"/>
        <v>126.9340379</v>
      </c>
      <c r="T245" s="1" t="str">
        <f t="shared" si="5"/>
        <v>High Cost</v>
      </c>
      <c r="U245" s="4">
        <f t="shared" si="6"/>
        <v>0.009292985897</v>
      </c>
    </row>
    <row r="246">
      <c r="A246" s="4" t="s">
        <v>607</v>
      </c>
      <c r="B246" s="4" t="s">
        <v>183</v>
      </c>
      <c r="C246" s="4">
        <v>320.712</v>
      </c>
      <c r="D246" s="4" t="s">
        <v>21</v>
      </c>
      <c r="E246" s="4" t="s">
        <v>70</v>
      </c>
      <c r="F246" s="4">
        <v>51.38</v>
      </c>
      <c r="G246" s="4">
        <v>64.92</v>
      </c>
      <c r="H246" s="4">
        <v>6.365195429E9</v>
      </c>
      <c r="I246" s="4">
        <v>8.569198627E9</v>
      </c>
      <c r="J246" s="5">
        <v>45420.614583333336</v>
      </c>
      <c r="K246" s="5">
        <v>45573.197916666664</v>
      </c>
      <c r="L246" s="4">
        <v>7.23</v>
      </c>
      <c r="M246" s="4">
        <v>2318.75</v>
      </c>
      <c r="N246" s="4">
        <v>2319.0</v>
      </c>
      <c r="O246" s="4">
        <v>192477.0</v>
      </c>
      <c r="P246" s="4">
        <f t="shared" si="1"/>
        <v>110</v>
      </c>
      <c r="Q246" s="4" t="str">
        <f t="shared" si="2"/>
        <v>Normal</v>
      </c>
      <c r="R246" s="1" t="str">
        <f t="shared" si="3"/>
        <v>Normal</v>
      </c>
      <c r="S246" s="4">
        <f t="shared" si="4"/>
        <v>13.90873832</v>
      </c>
      <c r="T246" s="1" t="str">
        <f t="shared" si="5"/>
        <v>High Cost</v>
      </c>
      <c r="U246" s="4">
        <f t="shared" si="6"/>
        <v>0.03021140188</v>
      </c>
    </row>
    <row r="247">
      <c r="A247" s="4" t="s">
        <v>608</v>
      </c>
      <c r="B247" s="4" t="s">
        <v>57</v>
      </c>
      <c r="C247" s="4">
        <v>25.9515</v>
      </c>
      <c r="D247" s="4" t="s">
        <v>17</v>
      </c>
      <c r="E247" s="4" t="s">
        <v>32</v>
      </c>
      <c r="F247" s="4">
        <v>36.35</v>
      </c>
      <c r="G247" s="4">
        <v>48.36</v>
      </c>
      <c r="H247" s="4">
        <v>6.0113044013E10</v>
      </c>
      <c r="I247" s="4">
        <v>6.2635393177E10</v>
      </c>
      <c r="J247" s="4" t="s">
        <v>609</v>
      </c>
      <c r="K247" s="4" t="s">
        <v>610</v>
      </c>
      <c r="L247" s="4">
        <v>4.1</v>
      </c>
      <c r="M247" s="4">
        <v>106.4</v>
      </c>
      <c r="N247" s="4">
        <v>106.0</v>
      </c>
      <c r="O247" s="4">
        <v>8798.0</v>
      </c>
      <c r="P247" s="4">
        <f t="shared" si="1"/>
        <v>82.41666667</v>
      </c>
      <c r="Q247" s="4" t="str">
        <f t="shared" si="2"/>
        <v>Normal</v>
      </c>
      <c r="R247" s="1" t="str">
        <f t="shared" si="3"/>
        <v>Normal</v>
      </c>
      <c r="S247" s="4">
        <f t="shared" si="4"/>
        <v>114.3183906</v>
      </c>
      <c r="T247" s="1" t="str">
        <f t="shared" si="5"/>
        <v>Normal Cost</v>
      </c>
      <c r="U247" s="4">
        <f t="shared" si="6"/>
        <v>0.481416231</v>
      </c>
    </row>
    <row r="248">
      <c r="A248" s="4" t="s">
        <v>611</v>
      </c>
      <c r="B248" s="4" t="s">
        <v>273</v>
      </c>
      <c r="C248" s="4">
        <v>216.1408</v>
      </c>
      <c r="D248" s="4" t="s">
        <v>17</v>
      </c>
      <c r="E248" s="4" t="s">
        <v>70</v>
      </c>
      <c r="F248" s="4">
        <v>44.68</v>
      </c>
      <c r="G248" s="4">
        <v>72.15</v>
      </c>
      <c r="H248" s="4">
        <v>5.4360034912E10</v>
      </c>
      <c r="I248" s="4">
        <v>5.8284153066E10</v>
      </c>
      <c r="J248" s="5">
        <v>45451.94236111111</v>
      </c>
      <c r="K248" s="5">
        <v>45543.63958333333</v>
      </c>
      <c r="L248" s="4">
        <v>1.84</v>
      </c>
      <c r="M248" s="4">
        <v>397.7</v>
      </c>
      <c r="N248" s="4">
        <v>398.0</v>
      </c>
      <c r="O248" s="4">
        <v>33034.0</v>
      </c>
      <c r="P248" s="4">
        <f t="shared" si="1"/>
        <v>64.73333333</v>
      </c>
      <c r="Q248" s="4" t="str">
        <f t="shared" si="2"/>
        <v>Normal</v>
      </c>
      <c r="R248" s="1" t="str">
        <f t="shared" si="3"/>
        <v>Normal</v>
      </c>
      <c r="S248" s="4">
        <f t="shared" si="4"/>
        <v>104.9080752</v>
      </c>
      <c r="T248" s="1" t="str">
        <f t="shared" si="5"/>
        <v>Normal Cost</v>
      </c>
      <c r="U248" s="4">
        <f t="shared" si="6"/>
        <v>0.17683296</v>
      </c>
    </row>
    <row r="249">
      <c r="A249" s="4" t="s">
        <v>612</v>
      </c>
      <c r="B249" s="4" t="s">
        <v>99</v>
      </c>
      <c r="C249" s="4">
        <v>405.8485</v>
      </c>
      <c r="D249" s="4" t="s">
        <v>17</v>
      </c>
      <c r="E249" s="4" t="s">
        <v>123</v>
      </c>
      <c r="F249" s="4">
        <v>0.06</v>
      </c>
      <c r="G249" s="4">
        <v>26.34</v>
      </c>
      <c r="H249" s="4">
        <v>7.4333715439E10</v>
      </c>
      <c r="I249" s="4">
        <v>8.1951096832E10</v>
      </c>
      <c r="J249" s="5">
        <v>45573.89513888889</v>
      </c>
      <c r="K249" s="4" t="s">
        <v>613</v>
      </c>
      <c r="L249" s="4">
        <v>7.66</v>
      </c>
      <c r="M249" s="4">
        <v>3108.8</v>
      </c>
      <c r="N249" s="4">
        <v>3109.0</v>
      </c>
      <c r="O249" s="4">
        <v>258047.0</v>
      </c>
      <c r="P249" s="4">
        <f t="shared" si="1"/>
        <v>65.41666667</v>
      </c>
      <c r="Q249" s="4" t="str">
        <f t="shared" si="2"/>
        <v>Underutilized</v>
      </c>
      <c r="R249" s="1" t="str">
        <f t="shared" si="3"/>
        <v>Underutilized</v>
      </c>
      <c r="S249" s="4">
        <f t="shared" si="4"/>
        <v>145.5515737</v>
      </c>
      <c r="T249" s="1" t="str">
        <f t="shared" si="5"/>
        <v>High Cost</v>
      </c>
      <c r="U249" s="4">
        <f t="shared" si="6"/>
        <v>0.005115347204</v>
      </c>
    </row>
    <row r="250">
      <c r="A250" s="4" t="s">
        <v>614</v>
      </c>
      <c r="B250" s="4" t="s">
        <v>41</v>
      </c>
      <c r="C250" s="4">
        <v>82.8667</v>
      </c>
      <c r="D250" s="4" t="s">
        <v>42</v>
      </c>
      <c r="E250" s="4" t="s">
        <v>22</v>
      </c>
      <c r="F250" s="4">
        <v>58.16</v>
      </c>
      <c r="G250" s="4">
        <v>83.44</v>
      </c>
      <c r="H250" s="4">
        <v>4.0399318096E10</v>
      </c>
      <c r="I250" s="4">
        <v>4.8297071888E10</v>
      </c>
      <c r="J250" s="5">
        <v>45390.39375</v>
      </c>
      <c r="K250" s="5">
        <v>45481.84652777778</v>
      </c>
      <c r="L250" s="4">
        <v>8.17</v>
      </c>
      <c r="M250" s="4">
        <v>677.02</v>
      </c>
      <c r="N250" s="4">
        <v>677.0</v>
      </c>
      <c r="O250" s="4">
        <v>56191.0</v>
      </c>
      <c r="P250" s="4">
        <f t="shared" si="1"/>
        <v>82.86666667</v>
      </c>
      <c r="Q250" s="4" t="str">
        <f t="shared" si="2"/>
        <v>Normal</v>
      </c>
      <c r="R250" s="1" t="str">
        <f t="shared" si="3"/>
        <v>High</v>
      </c>
      <c r="S250" s="4">
        <f t="shared" si="4"/>
        <v>82.60495028</v>
      </c>
      <c r="T250" s="1" t="str">
        <f t="shared" si="5"/>
        <v>Normal Cost</v>
      </c>
      <c r="U250" s="4">
        <f t="shared" si="6"/>
        <v>0.1259988254</v>
      </c>
    </row>
    <row r="251">
      <c r="A251" s="4" t="s">
        <v>615</v>
      </c>
      <c r="B251" s="4" t="s">
        <v>26</v>
      </c>
      <c r="C251" s="4">
        <v>108.1187</v>
      </c>
      <c r="D251" s="4" t="s">
        <v>17</v>
      </c>
      <c r="E251" s="4" t="s">
        <v>74</v>
      </c>
      <c r="F251" s="4">
        <v>65.62</v>
      </c>
      <c r="G251" s="4">
        <v>2.46</v>
      </c>
      <c r="H251" s="4">
        <v>1.6232800047E10</v>
      </c>
      <c r="I251" s="4">
        <v>1.9510703401E10</v>
      </c>
      <c r="J251" s="5">
        <v>45420.461805555555</v>
      </c>
      <c r="K251" s="5">
        <v>45481.69236111111</v>
      </c>
      <c r="L251" s="4">
        <v>5.04</v>
      </c>
      <c r="M251" s="4">
        <v>544.92</v>
      </c>
      <c r="N251" s="4">
        <v>545.0</v>
      </c>
      <c r="O251" s="4">
        <v>45235.0</v>
      </c>
      <c r="P251" s="4">
        <f t="shared" si="1"/>
        <v>53.53333333</v>
      </c>
      <c r="Q251" s="4" t="str">
        <f t="shared" si="2"/>
        <v>Normal</v>
      </c>
      <c r="R251" s="1" t="str">
        <f t="shared" si="3"/>
        <v>Underutilized</v>
      </c>
      <c r="S251" s="4">
        <f t="shared" si="4"/>
        <v>33.28873166</v>
      </c>
      <c r="T251" s="1" t="str">
        <f t="shared" si="5"/>
        <v>Normal Cost</v>
      </c>
      <c r="U251" s="4">
        <f t="shared" si="6"/>
        <v>0.07525146457</v>
      </c>
    </row>
    <row r="252">
      <c r="A252" s="4" t="s">
        <v>616</v>
      </c>
      <c r="B252" s="4" t="s">
        <v>122</v>
      </c>
      <c r="C252" s="4">
        <v>371.4837</v>
      </c>
      <c r="D252" s="4" t="s">
        <v>21</v>
      </c>
      <c r="E252" s="4" t="s">
        <v>32</v>
      </c>
      <c r="F252" s="4">
        <v>92.77</v>
      </c>
      <c r="G252" s="4">
        <v>41.13</v>
      </c>
      <c r="H252" s="4">
        <v>3.3496707994E10</v>
      </c>
      <c r="I252" s="4">
        <v>3.9632106621E10</v>
      </c>
      <c r="J252" s="5">
        <v>45330.06875</v>
      </c>
      <c r="K252" s="5">
        <v>45420.347916666666</v>
      </c>
      <c r="L252" s="4">
        <v>1.13</v>
      </c>
      <c r="M252" s="4">
        <v>419.78</v>
      </c>
      <c r="N252" s="4">
        <v>420.0</v>
      </c>
      <c r="O252" s="4">
        <v>34860.0</v>
      </c>
      <c r="P252" s="4">
        <f t="shared" si="1"/>
        <v>78.7</v>
      </c>
      <c r="Q252" s="4" t="str">
        <f t="shared" si="2"/>
        <v>High</v>
      </c>
      <c r="R252" s="1" t="str">
        <f t="shared" si="3"/>
        <v>Normal</v>
      </c>
      <c r="S252" s="4">
        <f t="shared" si="4"/>
        <v>68.10651591</v>
      </c>
      <c r="T252" s="1" t="str">
        <f t="shared" si="5"/>
        <v>Normal Cost</v>
      </c>
      <c r="U252" s="4">
        <f t="shared" si="6"/>
        <v>0.19205393</v>
      </c>
    </row>
    <row r="253">
      <c r="A253" s="4" t="s">
        <v>617</v>
      </c>
      <c r="B253" s="4" t="s">
        <v>79</v>
      </c>
      <c r="C253" s="4">
        <v>940.2852</v>
      </c>
      <c r="D253" s="4" t="s">
        <v>21</v>
      </c>
      <c r="E253" s="4" t="s">
        <v>22</v>
      </c>
      <c r="F253" s="4">
        <v>81.75</v>
      </c>
      <c r="G253" s="4">
        <v>33.75</v>
      </c>
      <c r="H253" s="4">
        <v>1.4077225055E10</v>
      </c>
      <c r="I253" s="4">
        <v>2.056344042E10</v>
      </c>
      <c r="J253" s="4" t="s">
        <v>618</v>
      </c>
      <c r="K253" s="4" t="s">
        <v>619</v>
      </c>
      <c r="L253" s="4">
        <v>5.71</v>
      </c>
      <c r="M253" s="4">
        <v>5369.03</v>
      </c>
      <c r="N253" s="4">
        <v>5369.0</v>
      </c>
      <c r="O253" s="4">
        <v>445627.0</v>
      </c>
      <c r="P253" s="4">
        <f t="shared" si="1"/>
        <v>58.06666667</v>
      </c>
      <c r="Q253" s="4" t="str">
        <f t="shared" si="2"/>
        <v>High</v>
      </c>
      <c r="R253" s="1" t="str">
        <f t="shared" si="3"/>
        <v>Underutilized</v>
      </c>
      <c r="S253" s="4">
        <f t="shared" si="4"/>
        <v>32.26163376</v>
      </c>
      <c r="T253" s="1" t="str">
        <f t="shared" si="5"/>
        <v>High Cost</v>
      </c>
      <c r="U253" s="4">
        <f t="shared" si="6"/>
        <v>0.01295926863</v>
      </c>
    </row>
    <row r="254">
      <c r="A254" s="4" t="s">
        <v>620</v>
      </c>
      <c r="B254" s="4" t="s">
        <v>183</v>
      </c>
      <c r="C254" s="4">
        <v>134.4698</v>
      </c>
      <c r="D254" s="4" t="s">
        <v>21</v>
      </c>
      <c r="E254" s="4" t="s">
        <v>27</v>
      </c>
      <c r="F254" s="4">
        <v>73.31</v>
      </c>
      <c r="G254" s="4">
        <v>17.42</v>
      </c>
      <c r="H254" s="4">
        <v>7.8806557651E10</v>
      </c>
      <c r="I254" s="4">
        <v>8.1285853739E10</v>
      </c>
      <c r="J254" s="5">
        <v>45450.02013888889</v>
      </c>
      <c r="K254" s="5">
        <v>45480.98055555556</v>
      </c>
      <c r="L254" s="4">
        <v>3.22</v>
      </c>
      <c r="M254" s="4">
        <v>432.99</v>
      </c>
      <c r="N254" s="4">
        <v>433.0</v>
      </c>
      <c r="O254" s="4">
        <v>35939.0</v>
      </c>
      <c r="P254" s="4">
        <f t="shared" si="1"/>
        <v>47.05</v>
      </c>
      <c r="Q254" s="4" t="str">
        <f t="shared" si="2"/>
        <v>High</v>
      </c>
      <c r="R254" s="1" t="str">
        <f t="shared" si="3"/>
        <v>Underutilized</v>
      </c>
      <c r="S254" s="4">
        <f t="shared" si="4"/>
        <v>149.0976768</v>
      </c>
      <c r="T254" s="1" t="str">
        <f t="shared" si="5"/>
        <v>Normal Cost</v>
      </c>
      <c r="U254" s="4">
        <f t="shared" si="6"/>
        <v>0.1262277748</v>
      </c>
    </row>
    <row r="255">
      <c r="A255" s="4" t="s">
        <v>621</v>
      </c>
      <c r="B255" s="4" t="s">
        <v>36</v>
      </c>
      <c r="C255" s="4">
        <v>267.6789</v>
      </c>
      <c r="D255" s="4" t="s">
        <v>17</v>
      </c>
      <c r="E255" s="4" t="s">
        <v>70</v>
      </c>
      <c r="F255" s="4">
        <v>21.38</v>
      </c>
      <c r="G255" s="4">
        <v>42.53</v>
      </c>
      <c r="H255" s="4">
        <v>5.3588211707E10</v>
      </c>
      <c r="I255" s="4">
        <v>6.214938759E10</v>
      </c>
      <c r="J255" s="4" t="s">
        <v>622</v>
      </c>
      <c r="K255" s="4" t="s">
        <v>623</v>
      </c>
      <c r="L255" s="4">
        <v>6.2</v>
      </c>
      <c r="M255" s="4">
        <v>1659.61</v>
      </c>
      <c r="N255" s="4">
        <v>1660.0</v>
      </c>
      <c r="O255" s="4">
        <v>137780.0</v>
      </c>
      <c r="P255" s="4">
        <f t="shared" si="1"/>
        <v>73.26666667</v>
      </c>
      <c r="Q255" s="4" t="str">
        <f t="shared" si="2"/>
        <v>Underutilized</v>
      </c>
      <c r="R255" s="1" t="str">
        <f t="shared" si="3"/>
        <v>Normal</v>
      </c>
      <c r="S255" s="4">
        <f t="shared" si="4"/>
        <v>107.789039</v>
      </c>
      <c r="T255" s="1" t="str">
        <f t="shared" si="5"/>
        <v>Normal Cost</v>
      </c>
      <c r="U255" s="4">
        <f t="shared" si="6"/>
        <v>0.02319277108</v>
      </c>
    </row>
    <row r="256">
      <c r="A256" s="4" t="s">
        <v>624</v>
      </c>
      <c r="B256" s="4" t="s">
        <v>147</v>
      </c>
      <c r="C256" s="4">
        <v>138.2667</v>
      </c>
      <c r="D256" s="4" t="s">
        <v>42</v>
      </c>
      <c r="E256" s="4" t="s">
        <v>37</v>
      </c>
      <c r="F256" s="4">
        <v>88.59</v>
      </c>
      <c r="G256" s="4">
        <v>93.78</v>
      </c>
      <c r="H256" s="4">
        <v>4.6054613143E10</v>
      </c>
      <c r="I256" s="4">
        <v>5.068203206E10</v>
      </c>
      <c r="J256" s="5">
        <v>45358.35833333333</v>
      </c>
      <c r="K256" s="5">
        <v>45542.11944444444</v>
      </c>
      <c r="L256" s="4">
        <v>5.26</v>
      </c>
      <c r="M256" s="4">
        <v>727.28</v>
      </c>
      <c r="N256" s="4">
        <v>727.0</v>
      </c>
      <c r="O256" s="4">
        <v>60341.0</v>
      </c>
      <c r="P256" s="4">
        <f t="shared" si="1"/>
        <v>138.2666667</v>
      </c>
      <c r="Q256" s="4" t="str">
        <f t="shared" si="2"/>
        <v>High</v>
      </c>
      <c r="R256" s="1" t="str">
        <f t="shared" si="3"/>
        <v>High</v>
      </c>
      <c r="S256" s="4">
        <f t="shared" si="4"/>
        <v>90.09302147</v>
      </c>
      <c r="T256" s="1" t="str">
        <f t="shared" si="5"/>
        <v>Normal Cost</v>
      </c>
      <c r="U256" s="4">
        <f t="shared" si="6"/>
        <v>0.1511161565</v>
      </c>
    </row>
    <row r="257">
      <c r="A257" s="4" t="s">
        <v>625</v>
      </c>
      <c r="B257" s="4" t="s">
        <v>147</v>
      </c>
      <c r="C257" s="4">
        <v>112.55</v>
      </c>
      <c r="D257" s="4" t="s">
        <v>42</v>
      </c>
      <c r="E257" s="4" t="s">
        <v>37</v>
      </c>
      <c r="F257" s="4">
        <v>35.7</v>
      </c>
      <c r="G257" s="4">
        <v>67.45</v>
      </c>
      <c r="H257" s="4">
        <v>5.111385877E9</v>
      </c>
      <c r="I257" s="4">
        <v>6.501324003E9</v>
      </c>
      <c r="J257" s="4" t="s">
        <v>626</v>
      </c>
      <c r="K257" s="4" t="s">
        <v>627</v>
      </c>
      <c r="L257" s="4">
        <v>4.79</v>
      </c>
      <c r="M257" s="4">
        <v>539.11</v>
      </c>
      <c r="N257" s="4">
        <v>539.0</v>
      </c>
      <c r="O257" s="4">
        <v>44737.0</v>
      </c>
      <c r="P257" s="4">
        <f t="shared" si="1"/>
        <v>112.55</v>
      </c>
      <c r="Q257" s="4" t="str">
        <f t="shared" si="2"/>
        <v>Normal</v>
      </c>
      <c r="R257" s="1" t="str">
        <f t="shared" si="3"/>
        <v>Normal</v>
      </c>
      <c r="S257" s="4">
        <f t="shared" si="4"/>
        <v>10.81517886</v>
      </c>
      <c r="T257" s="1" t="str">
        <f t="shared" si="5"/>
        <v>Normal Cost</v>
      </c>
      <c r="U257" s="4">
        <f t="shared" si="6"/>
        <v>0.1152848872</v>
      </c>
    </row>
    <row r="258">
      <c r="A258" s="4" t="s">
        <v>628</v>
      </c>
      <c r="B258" s="4" t="s">
        <v>20</v>
      </c>
      <c r="C258" s="4">
        <v>381.5112</v>
      </c>
      <c r="D258" s="4" t="s">
        <v>21</v>
      </c>
      <c r="E258" s="4" t="s">
        <v>58</v>
      </c>
      <c r="F258" s="4">
        <v>62.25</v>
      </c>
      <c r="G258" s="4">
        <v>99.81</v>
      </c>
      <c r="H258" s="4">
        <v>6.0174329539E10</v>
      </c>
      <c r="I258" s="4">
        <v>6.4004040156E10</v>
      </c>
      <c r="J258" s="4" t="s">
        <v>629</v>
      </c>
      <c r="K258" s="4" t="s">
        <v>630</v>
      </c>
      <c r="L258" s="4">
        <v>7.66</v>
      </c>
      <c r="M258" s="4">
        <v>2922.38</v>
      </c>
      <c r="N258" s="4">
        <v>2922.0</v>
      </c>
      <c r="O258" s="4">
        <v>242526.0</v>
      </c>
      <c r="P258" s="4">
        <f t="shared" si="1"/>
        <v>129.8166667</v>
      </c>
      <c r="Q258" s="4" t="str">
        <f t="shared" si="2"/>
        <v>Normal</v>
      </c>
      <c r="R258" s="1" t="str">
        <f t="shared" si="3"/>
        <v>High</v>
      </c>
      <c r="S258" s="4">
        <f t="shared" si="4"/>
        <v>115.650119</v>
      </c>
      <c r="T258" s="1" t="str">
        <f t="shared" si="5"/>
        <v>High Cost</v>
      </c>
      <c r="U258" s="4">
        <f t="shared" si="6"/>
        <v>0.0334108508</v>
      </c>
    </row>
    <row r="259">
      <c r="A259" s="4" t="s">
        <v>631</v>
      </c>
      <c r="B259" s="4" t="s">
        <v>183</v>
      </c>
      <c r="C259" s="4">
        <v>896.8482</v>
      </c>
      <c r="D259" s="4" t="s">
        <v>21</v>
      </c>
      <c r="E259" s="4" t="s">
        <v>123</v>
      </c>
      <c r="F259" s="4">
        <v>41.92</v>
      </c>
      <c r="G259" s="4">
        <v>18.62</v>
      </c>
      <c r="H259" s="4">
        <v>9.2219059947E10</v>
      </c>
      <c r="I259" s="6">
        <v>1.01562E11</v>
      </c>
      <c r="J259" s="4" t="s">
        <v>632</v>
      </c>
      <c r="K259" s="4" t="s">
        <v>633</v>
      </c>
      <c r="L259" s="4">
        <v>1.88</v>
      </c>
      <c r="M259" s="4">
        <v>1686.07</v>
      </c>
      <c r="N259" s="4">
        <v>1686.0</v>
      </c>
      <c r="O259" s="4">
        <v>139938.0</v>
      </c>
      <c r="P259" s="4">
        <f t="shared" si="1"/>
        <v>45.15</v>
      </c>
      <c r="Q259" s="4" t="str">
        <f t="shared" si="2"/>
        <v>Normal</v>
      </c>
      <c r="R259" s="1" t="str">
        <f t="shared" si="3"/>
        <v>Underutilized</v>
      </c>
      <c r="S259" s="6">
        <f t="shared" si="4"/>
        <v>180.4726757</v>
      </c>
      <c r="T259" s="1" t="str">
        <f t="shared" si="5"/>
        <v>Normal Cost</v>
      </c>
      <c r="U259" s="4">
        <f t="shared" si="6"/>
        <v>0.02163100802</v>
      </c>
    </row>
    <row r="260">
      <c r="A260" s="4" t="s">
        <v>634</v>
      </c>
      <c r="B260" s="4" t="s">
        <v>46</v>
      </c>
      <c r="C260" s="4">
        <v>45.4336</v>
      </c>
      <c r="D260" s="4" t="s">
        <v>17</v>
      </c>
      <c r="E260" s="4" t="s">
        <v>58</v>
      </c>
      <c r="F260" s="4">
        <v>67.64</v>
      </c>
      <c r="G260" s="4">
        <v>95.66</v>
      </c>
      <c r="H260" s="4">
        <v>4.6536399963E10</v>
      </c>
      <c r="I260" s="4">
        <v>5.3165909418E10</v>
      </c>
      <c r="J260" s="5">
        <v>45451.89375</v>
      </c>
      <c r="K260" s="5">
        <v>45543.34930555556</v>
      </c>
      <c r="L260" s="4">
        <v>2.52</v>
      </c>
      <c r="M260" s="4">
        <v>114.49</v>
      </c>
      <c r="N260" s="4">
        <v>114.0</v>
      </c>
      <c r="O260" s="4">
        <v>9462.0</v>
      </c>
      <c r="P260" s="4">
        <f t="shared" si="1"/>
        <v>58.93333333</v>
      </c>
      <c r="Q260" s="4" t="str">
        <f t="shared" si="2"/>
        <v>Normal</v>
      </c>
      <c r="R260" s="1" t="str">
        <f t="shared" si="3"/>
        <v>High</v>
      </c>
      <c r="S260" s="4">
        <f t="shared" si="4"/>
        <v>92.85501147</v>
      </c>
      <c r="T260" s="1" t="str">
        <f t="shared" si="5"/>
        <v>Normal Cost</v>
      </c>
      <c r="U260" s="4">
        <f t="shared" si="6"/>
        <v>0.8629253858</v>
      </c>
    </row>
    <row r="261">
      <c r="A261" s="4" t="s">
        <v>635</v>
      </c>
      <c r="B261" s="4" t="s">
        <v>46</v>
      </c>
      <c r="C261" s="4">
        <v>483.5996</v>
      </c>
      <c r="D261" s="4" t="s">
        <v>17</v>
      </c>
      <c r="E261" s="4" t="s">
        <v>155</v>
      </c>
      <c r="F261" s="4">
        <v>3.75</v>
      </c>
      <c r="G261" s="4">
        <v>27.96</v>
      </c>
      <c r="H261" s="4">
        <v>5.2489355406E10</v>
      </c>
      <c r="I261" s="4">
        <v>5.8053628767E10</v>
      </c>
      <c r="J261" s="5">
        <v>45512.268055555556</v>
      </c>
      <c r="K261" s="5">
        <v>45604.83194444444</v>
      </c>
      <c r="L261" s="4">
        <v>3.72</v>
      </c>
      <c r="M261" s="4">
        <v>1798.99</v>
      </c>
      <c r="N261" s="4">
        <v>1799.0</v>
      </c>
      <c r="O261" s="4">
        <v>149317.0</v>
      </c>
      <c r="P261" s="4">
        <f t="shared" si="1"/>
        <v>85.53333333</v>
      </c>
      <c r="Q261" s="4" t="str">
        <f t="shared" si="2"/>
        <v>Underutilized</v>
      </c>
      <c r="R261" s="1" t="str">
        <f t="shared" si="3"/>
        <v>Underutilized</v>
      </c>
      <c r="S261" s="4">
        <f t="shared" si="4"/>
        <v>102.9511766</v>
      </c>
      <c r="T261" s="1" t="str">
        <f t="shared" si="5"/>
        <v>Normal Cost</v>
      </c>
      <c r="U261" s="4">
        <f t="shared" si="6"/>
        <v>0.01061834888</v>
      </c>
    </row>
    <row r="262">
      <c r="A262" s="4" t="s">
        <v>636</v>
      </c>
      <c r="B262" s="4" t="s">
        <v>16</v>
      </c>
      <c r="C262" s="4">
        <v>833.4644</v>
      </c>
      <c r="D262" s="4" t="s">
        <v>17</v>
      </c>
      <c r="E262" s="4" t="s">
        <v>22</v>
      </c>
      <c r="F262" s="4">
        <v>44.35</v>
      </c>
      <c r="G262" s="4">
        <v>6.1</v>
      </c>
      <c r="H262" s="4">
        <v>3.437493141E9</v>
      </c>
      <c r="I262" s="4">
        <v>6.431679144E9</v>
      </c>
      <c r="J262" s="4" t="s">
        <v>637</v>
      </c>
      <c r="K262" s="4" t="s">
        <v>638</v>
      </c>
      <c r="L262" s="4">
        <v>4.33</v>
      </c>
      <c r="M262" s="4">
        <v>3608.9</v>
      </c>
      <c r="N262" s="4">
        <v>3609.0</v>
      </c>
      <c r="O262" s="4">
        <v>299547.0</v>
      </c>
      <c r="P262" s="4">
        <f t="shared" si="1"/>
        <v>56.11666667</v>
      </c>
      <c r="Q262" s="4" t="str">
        <f t="shared" si="2"/>
        <v>Normal</v>
      </c>
      <c r="R262" s="1" t="str">
        <f t="shared" si="3"/>
        <v>Underutilized</v>
      </c>
      <c r="S262" s="4">
        <f t="shared" si="4"/>
        <v>9.191382942</v>
      </c>
      <c r="T262" s="1" t="str">
        <f t="shared" si="5"/>
        <v>High Cost</v>
      </c>
      <c r="U262" s="4">
        <f t="shared" si="6"/>
        <v>0.008421049118</v>
      </c>
    </row>
    <row r="263">
      <c r="A263" s="4" t="s">
        <v>639</v>
      </c>
      <c r="B263" s="4" t="s">
        <v>66</v>
      </c>
      <c r="C263" s="4">
        <v>336.8194</v>
      </c>
      <c r="D263" s="4" t="s">
        <v>21</v>
      </c>
      <c r="E263" s="4" t="s">
        <v>32</v>
      </c>
      <c r="F263" s="4">
        <v>81.41</v>
      </c>
      <c r="G263" s="4">
        <v>14.64</v>
      </c>
      <c r="H263" s="4">
        <v>2.8049316982E10</v>
      </c>
      <c r="I263" s="4">
        <v>3.1461262667E10</v>
      </c>
      <c r="J263" s="4" t="s">
        <v>640</v>
      </c>
      <c r="K263" s="4" t="s">
        <v>641</v>
      </c>
      <c r="L263" s="4">
        <v>4.45</v>
      </c>
      <c r="M263" s="4">
        <v>1498.85</v>
      </c>
      <c r="N263" s="4">
        <v>1499.0</v>
      </c>
      <c r="O263" s="4">
        <v>124417.0</v>
      </c>
      <c r="P263" s="4">
        <f t="shared" si="1"/>
        <v>86.53333333</v>
      </c>
      <c r="Q263" s="4" t="str">
        <f t="shared" si="2"/>
        <v>High</v>
      </c>
      <c r="R263" s="1" t="str">
        <f t="shared" si="3"/>
        <v>Underutilized</v>
      </c>
      <c r="S263" s="4">
        <f t="shared" si="4"/>
        <v>55.42354626</v>
      </c>
      <c r="T263" s="1" t="str">
        <f t="shared" si="5"/>
        <v>Normal Cost</v>
      </c>
      <c r="U263" s="4">
        <f t="shared" si="6"/>
        <v>0.03860003054</v>
      </c>
    </row>
    <row r="264">
      <c r="A264" s="4" t="s">
        <v>642</v>
      </c>
      <c r="B264" s="4" t="s">
        <v>79</v>
      </c>
      <c r="C264" s="4">
        <v>645.5661</v>
      </c>
      <c r="D264" s="4" t="s">
        <v>17</v>
      </c>
      <c r="E264" s="4" t="s">
        <v>54</v>
      </c>
      <c r="F264" s="4">
        <v>78.94</v>
      </c>
      <c r="G264" s="4">
        <v>83.01</v>
      </c>
      <c r="H264" s="4">
        <v>9.185164573E9</v>
      </c>
      <c r="I264" s="4">
        <v>1.7039727483E10</v>
      </c>
      <c r="J264" s="4" t="s">
        <v>643</v>
      </c>
      <c r="K264" s="4" t="s">
        <v>644</v>
      </c>
      <c r="L264" s="4">
        <v>9.84</v>
      </c>
      <c r="M264" s="4">
        <v>6352.37</v>
      </c>
      <c r="N264" s="4">
        <v>6352.0</v>
      </c>
      <c r="O264" s="4">
        <v>527216.0</v>
      </c>
      <c r="P264" s="4">
        <f t="shared" si="1"/>
        <v>111.8666667</v>
      </c>
      <c r="Q264" s="4" t="str">
        <f t="shared" si="2"/>
        <v>High</v>
      </c>
      <c r="R264" s="1" t="str">
        <f t="shared" si="3"/>
        <v>High</v>
      </c>
      <c r="S264" s="4">
        <f t="shared" si="4"/>
        <v>24.42383399</v>
      </c>
      <c r="T264" s="1" t="str">
        <f t="shared" si="5"/>
        <v>High Cost</v>
      </c>
      <c r="U264" s="4">
        <f t="shared" si="6"/>
        <v>0.01535898</v>
      </c>
    </row>
    <row r="265">
      <c r="A265" s="4" t="s">
        <v>645</v>
      </c>
      <c r="B265" s="4" t="s">
        <v>79</v>
      </c>
      <c r="C265" s="4">
        <v>184.1868</v>
      </c>
      <c r="D265" s="4" t="s">
        <v>21</v>
      </c>
      <c r="E265" s="4" t="s">
        <v>22</v>
      </c>
      <c r="F265" s="4">
        <v>19.59</v>
      </c>
      <c r="G265" s="4">
        <v>92.69</v>
      </c>
      <c r="H265" s="4">
        <v>3.327188954E9</v>
      </c>
      <c r="I265" s="4">
        <v>8.8186344E9</v>
      </c>
      <c r="J265" s="4" t="s">
        <v>646</v>
      </c>
      <c r="K265" s="5">
        <v>45299.322916666664</v>
      </c>
      <c r="L265" s="4">
        <v>2.12</v>
      </c>
      <c r="M265" s="4">
        <v>390.48</v>
      </c>
      <c r="N265" s="4">
        <v>390.0</v>
      </c>
      <c r="O265" s="4">
        <v>32370.0</v>
      </c>
      <c r="P265" s="4">
        <f t="shared" si="1"/>
        <v>116.1333333</v>
      </c>
      <c r="Q265" s="4" t="str">
        <f t="shared" si="2"/>
        <v>Underutilized</v>
      </c>
      <c r="R265" s="1" t="str">
        <f t="shared" si="3"/>
        <v>High</v>
      </c>
      <c r="S265" s="4">
        <f t="shared" si="4"/>
        <v>11.31167948</v>
      </c>
      <c r="T265" s="1" t="str">
        <f t="shared" si="5"/>
        <v>Normal Cost</v>
      </c>
      <c r="U265" s="4">
        <f t="shared" si="6"/>
        <v>0.1734321903</v>
      </c>
    </row>
    <row r="266">
      <c r="A266" s="4" t="s">
        <v>647</v>
      </c>
      <c r="B266" s="4" t="s">
        <v>41</v>
      </c>
      <c r="C266" s="4">
        <v>118.8667</v>
      </c>
      <c r="D266" s="4" t="s">
        <v>42</v>
      </c>
      <c r="E266" s="4" t="s">
        <v>37</v>
      </c>
      <c r="F266" s="4">
        <v>51.91</v>
      </c>
      <c r="G266" s="4">
        <v>4.78</v>
      </c>
      <c r="H266" s="4">
        <v>1.7654042718E10</v>
      </c>
      <c r="I266" s="4">
        <v>2.6546624938E10</v>
      </c>
      <c r="J266" s="4" t="s">
        <v>648</v>
      </c>
      <c r="K266" s="4" t="s">
        <v>649</v>
      </c>
      <c r="L266" s="4">
        <v>9.05</v>
      </c>
      <c r="M266" s="4">
        <v>1075.74</v>
      </c>
      <c r="N266" s="4">
        <v>1076.0</v>
      </c>
      <c r="O266" s="4">
        <v>89308.0</v>
      </c>
      <c r="P266" s="4">
        <f t="shared" si="1"/>
        <v>118.8666667</v>
      </c>
      <c r="Q266" s="4" t="str">
        <f t="shared" si="2"/>
        <v>Normal</v>
      </c>
      <c r="R266" s="1" t="str">
        <f t="shared" si="3"/>
        <v>Underutilized</v>
      </c>
      <c r="S266" s="4">
        <f t="shared" si="4"/>
        <v>41.1650796</v>
      </c>
      <c r="T266" s="1" t="str">
        <f t="shared" si="5"/>
        <v>Normal Cost</v>
      </c>
      <c r="U266" s="4">
        <f t="shared" si="6"/>
        <v>0.03173847808</v>
      </c>
    </row>
    <row r="267">
      <c r="A267" s="4" t="s">
        <v>650</v>
      </c>
      <c r="B267" s="4" t="s">
        <v>122</v>
      </c>
      <c r="C267" s="4">
        <v>466.6962</v>
      </c>
      <c r="D267" s="4" t="s">
        <v>17</v>
      </c>
      <c r="E267" s="4" t="s">
        <v>105</v>
      </c>
      <c r="F267" s="4">
        <v>40.42</v>
      </c>
      <c r="G267" s="4">
        <v>70.42</v>
      </c>
      <c r="H267" s="4">
        <v>7.9766617491E10</v>
      </c>
      <c r="I267" s="4">
        <v>8.8136650406E10</v>
      </c>
      <c r="J267" s="5">
        <v>45299.0125</v>
      </c>
      <c r="K267" s="5">
        <v>45359.995833333334</v>
      </c>
      <c r="L267" s="4">
        <v>7.6</v>
      </c>
      <c r="M267" s="4">
        <v>3546.89</v>
      </c>
      <c r="N267" s="4">
        <v>3547.0</v>
      </c>
      <c r="O267" s="4">
        <v>294401.0</v>
      </c>
      <c r="P267" s="4">
        <f t="shared" si="1"/>
        <v>71.6</v>
      </c>
      <c r="Q267" s="4" t="str">
        <f t="shared" si="2"/>
        <v>Normal</v>
      </c>
      <c r="R267" s="1" t="str">
        <f t="shared" si="3"/>
        <v>Normal</v>
      </c>
      <c r="S267" s="4">
        <f t="shared" si="4"/>
        <v>156.3721037</v>
      </c>
      <c r="T267" s="1" t="str">
        <f t="shared" si="5"/>
        <v>High Cost</v>
      </c>
      <c r="U267" s="4">
        <f t="shared" si="6"/>
        <v>0.01882466432</v>
      </c>
    </row>
    <row r="268">
      <c r="A268" s="4" t="s">
        <v>651</v>
      </c>
      <c r="B268" s="4" t="s">
        <v>147</v>
      </c>
      <c r="C268" s="4">
        <v>129.45</v>
      </c>
      <c r="D268" s="4" t="s">
        <v>42</v>
      </c>
      <c r="E268" s="4" t="s">
        <v>123</v>
      </c>
      <c r="F268" s="4">
        <v>8.92</v>
      </c>
      <c r="G268" s="4">
        <v>70.83</v>
      </c>
      <c r="H268" s="4">
        <v>1.1207230058E10</v>
      </c>
      <c r="I268" s="4">
        <v>1.7444929033E10</v>
      </c>
      <c r="J268" s="5">
        <v>45419.433333333334</v>
      </c>
      <c r="K268" s="5">
        <v>45572.82708333333</v>
      </c>
      <c r="L268" s="4">
        <v>7.82</v>
      </c>
      <c r="M268" s="4">
        <v>1012.3</v>
      </c>
      <c r="N268" s="4">
        <v>1012.0</v>
      </c>
      <c r="O268" s="4">
        <v>83996.0</v>
      </c>
      <c r="P268" s="4">
        <f t="shared" si="1"/>
        <v>129.45</v>
      </c>
      <c r="Q268" s="4" t="str">
        <f t="shared" si="2"/>
        <v>Underutilized</v>
      </c>
      <c r="R268" s="1" t="str">
        <f t="shared" si="3"/>
        <v>Normal</v>
      </c>
      <c r="S268" s="4">
        <f t="shared" si="4"/>
        <v>26.68440257</v>
      </c>
      <c r="T268" s="1" t="str">
        <f t="shared" si="5"/>
        <v>Normal Cost</v>
      </c>
      <c r="U268" s="4">
        <f t="shared" si="6"/>
        <v>0.04747249869</v>
      </c>
    </row>
    <row r="269">
      <c r="A269" s="4" t="s">
        <v>652</v>
      </c>
      <c r="B269" s="4" t="s">
        <v>16</v>
      </c>
      <c r="C269" s="4">
        <v>479.1793</v>
      </c>
      <c r="D269" s="4" t="s">
        <v>17</v>
      </c>
      <c r="E269" s="4" t="s">
        <v>74</v>
      </c>
      <c r="F269" s="4">
        <v>33.56</v>
      </c>
      <c r="G269" s="4">
        <v>71.15</v>
      </c>
      <c r="H269" s="4">
        <v>8.0918182788E10</v>
      </c>
      <c r="I269" s="4">
        <v>8.3320113115E10</v>
      </c>
      <c r="J269" s="4" t="s">
        <v>653</v>
      </c>
      <c r="K269" s="4" t="s">
        <v>654</v>
      </c>
      <c r="L269" s="4">
        <v>2.96</v>
      </c>
      <c r="M269" s="4">
        <v>1418.37</v>
      </c>
      <c r="N269" s="4">
        <v>1418.0</v>
      </c>
      <c r="O269" s="4">
        <v>117694.0</v>
      </c>
      <c r="P269" s="4">
        <f t="shared" si="1"/>
        <v>47.91666667</v>
      </c>
      <c r="Q269" s="4" t="str">
        <f t="shared" si="2"/>
        <v>Normal</v>
      </c>
      <c r="R269" s="1" t="str">
        <f t="shared" si="3"/>
        <v>Normal</v>
      </c>
      <c r="S269" s="4">
        <f t="shared" si="4"/>
        <v>152.9588326</v>
      </c>
      <c r="T269" s="1" t="str">
        <f t="shared" si="5"/>
        <v>Normal Cost</v>
      </c>
      <c r="U269" s="4">
        <f t="shared" si="6"/>
        <v>0.04448400088</v>
      </c>
    </row>
    <row r="270">
      <c r="A270" s="4" t="s">
        <v>655</v>
      </c>
      <c r="B270" s="4" t="s">
        <v>273</v>
      </c>
      <c r="C270" s="4">
        <v>982.2498</v>
      </c>
      <c r="D270" s="4" t="s">
        <v>17</v>
      </c>
      <c r="E270" s="4" t="s">
        <v>70</v>
      </c>
      <c r="F270" s="4">
        <v>17.08</v>
      </c>
      <c r="G270" s="4">
        <v>91.07</v>
      </c>
      <c r="H270" s="4">
        <v>1.3345361356E10</v>
      </c>
      <c r="I270" s="4">
        <v>1.3858425661E10</v>
      </c>
      <c r="J270" s="5">
        <v>45511.538194444445</v>
      </c>
      <c r="K270" s="5">
        <v>45633.49166666667</v>
      </c>
      <c r="L270" s="4">
        <v>8.59</v>
      </c>
      <c r="M270" s="4">
        <v>8437.53</v>
      </c>
      <c r="N270" s="4">
        <v>8438.0</v>
      </c>
      <c r="O270" s="4">
        <v>700354.0</v>
      </c>
      <c r="P270" s="4">
        <f t="shared" si="1"/>
        <v>94.88333333</v>
      </c>
      <c r="Q270" s="4" t="str">
        <f t="shared" si="2"/>
        <v>Underutilized</v>
      </c>
      <c r="R270" s="1" t="str">
        <f t="shared" si="3"/>
        <v>High</v>
      </c>
      <c r="S270" s="4">
        <f t="shared" si="4"/>
        <v>25.33550096</v>
      </c>
      <c r="T270" s="1" t="str">
        <f t="shared" si="5"/>
        <v>High Cost</v>
      </c>
      <c r="U270" s="4">
        <f t="shared" si="6"/>
        <v>0.007721095332</v>
      </c>
    </row>
    <row r="271">
      <c r="A271" s="4" t="s">
        <v>656</v>
      </c>
      <c r="B271" s="4" t="s">
        <v>183</v>
      </c>
      <c r="C271" s="4">
        <v>194.8714</v>
      </c>
      <c r="D271" s="4" t="s">
        <v>21</v>
      </c>
      <c r="E271" s="4" t="s">
        <v>37</v>
      </c>
      <c r="F271" s="4">
        <v>18.2</v>
      </c>
      <c r="G271" s="4">
        <v>26.03</v>
      </c>
      <c r="H271" s="4">
        <v>9.7735710909E10</v>
      </c>
      <c r="I271" s="6">
        <v>1.03576E11</v>
      </c>
      <c r="J271" s="4" t="s">
        <v>657</v>
      </c>
      <c r="K271" s="5">
        <v>45299.09722222222</v>
      </c>
      <c r="L271" s="4">
        <v>2.74</v>
      </c>
      <c r="M271" s="4">
        <v>533.95</v>
      </c>
      <c r="N271" s="4">
        <v>534.0</v>
      </c>
      <c r="O271" s="4">
        <v>44322.0</v>
      </c>
      <c r="P271" s="4">
        <f t="shared" si="1"/>
        <v>120</v>
      </c>
      <c r="Q271" s="4" t="str">
        <f t="shared" si="2"/>
        <v>Underutilized</v>
      </c>
      <c r="R271" s="1" t="str">
        <f t="shared" si="3"/>
        <v>Underutilized</v>
      </c>
      <c r="S271" s="6">
        <f t="shared" si="4"/>
        <v>187.4861409</v>
      </c>
      <c r="T271" s="1" t="str">
        <f t="shared" si="5"/>
        <v>Normal Cost</v>
      </c>
      <c r="U271" s="4">
        <f t="shared" si="6"/>
        <v>0.04989621407</v>
      </c>
    </row>
    <row r="272">
      <c r="A272" s="4" t="s">
        <v>658</v>
      </c>
      <c r="B272" s="4" t="s">
        <v>169</v>
      </c>
      <c r="C272" s="4">
        <v>995.4</v>
      </c>
      <c r="D272" s="4" t="s">
        <v>21</v>
      </c>
      <c r="E272" s="4" t="s">
        <v>37</v>
      </c>
      <c r="F272" s="4">
        <v>32.11</v>
      </c>
      <c r="G272" s="4">
        <v>36.38</v>
      </c>
      <c r="H272" s="4">
        <v>3.7777140467E10</v>
      </c>
      <c r="I272" s="4">
        <v>3.8001018152E10</v>
      </c>
      <c r="J272" s="4" t="s">
        <v>659</v>
      </c>
      <c r="K272" s="4" t="s">
        <v>660</v>
      </c>
      <c r="L272" s="4">
        <v>1.77</v>
      </c>
      <c r="M272" s="4">
        <v>1761.86</v>
      </c>
      <c r="N272" s="4">
        <v>1762.0</v>
      </c>
      <c r="O272" s="4">
        <v>146246.0</v>
      </c>
      <c r="P272" s="4">
        <f t="shared" si="1"/>
        <v>29.83333333</v>
      </c>
      <c r="Q272" s="4" t="str">
        <f t="shared" si="2"/>
        <v>Normal</v>
      </c>
      <c r="R272" s="1" t="str">
        <f t="shared" si="3"/>
        <v>Underutilized</v>
      </c>
      <c r="S272" s="4">
        <f t="shared" si="4"/>
        <v>70.57390978</v>
      </c>
      <c r="T272" s="1" t="str">
        <f t="shared" si="5"/>
        <v>Normal Cost</v>
      </c>
      <c r="U272" s="4">
        <f t="shared" si="6"/>
        <v>0.02341602505</v>
      </c>
    </row>
    <row r="273">
      <c r="A273" s="4" t="s">
        <v>661</v>
      </c>
      <c r="B273" s="4" t="s">
        <v>147</v>
      </c>
      <c r="C273" s="4">
        <v>83.0</v>
      </c>
      <c r="D273" s="4" t="s">
        <v>42</v>
      </c>
      <c r="E273" s="4" t="s">
        <v>22</v>
      </c>
      <c r="F273" s="4">
        <v>68.3</v>
      </c>
      <c r="G273" s="4">
        <v>88.53</v>
      </c>
      <c r="H273" s="4">
        <v>8.3987459484E10</v>
      </c>
      <c r="I273" s="4">
        <v>8.4757771662E10</v>
      </c>
      <c r="J273" s="4" t="s">
        <v>662</v>
      </c>
      <c r="K273" s="4" t="s">
        <v>663</v>
      </c>
      <c r="L273" s="4">
        <v>1.83</v>
      </c>
      <c r="M273" s="4">
        <v>151.89</v>
      </c>
      <c r="N273" s="4">
        <v>152.0</v>
      </c>
      <c r="O273" s="4">
        <v>12616.0</v>
      </c>
      <c r="P273" s="4">
        <f t="shared" si="1"/>
        <v>83</v>
      </c>
      <c r="Q273" s="4" t="str">
        <f t="shared" si="2"/>
        <v>Normal</v>
      </c>
      <c r="R273" s="1" t="str">
        <f t="shared" si="3"/>
        <v>High</v>
      </c>
      <c r="S273" s="4">
        <f t="shared" si="4"/>
        <v>157.1562431</v>
      </c>
      <c r="T273" s="1" t="str">
        <f t="shared" si="5"/>
        <v>Normal Cost</v>
      </c>
      <c r="U273" s="4">
        <f t="shared" si="6"/>
        <v>0.6215519975</v>
      </c>
    </row>
    <row r="274">
      <c r="A274" s="4" t="s">
        <v>664</v>
      </c>
      <c r="B274" s="4" t="s">
        <v>99</v>
      </c>
      <c r="C274" s="4">
        <v>616.4254</v>
      </c>
      <c r="D274" s="4" t="s">
        <v>17</v>
      </c>
      <c r="E274" s="4" t="s">
        <v>37</v>
      </c>
      <c r="F274" s="4">
        <v>32.51</v>
      </c>
      <c r="G274" s="4">
        <v>19.15</v>
      </c>
      <c r="H274" s="4">
        <v>2.5286343338E10</v>
      </c>
      <c r="I274" s="4">
        <v>2.7269641999E10</v>
      </c>
      <c r="J274" s="4" t="s">
        <v>665</v>
      </c>
      <c r="K274" s="4" t="s">
        <v>666</v>
      </c>
      <c r="L274" s="4">
        <v>9.37</v>
      </c>
      <c r="M274" s="4">
        <v>5775.91</v>
      </c>
      <c r="N274" s="4">
        <v>5776.0</v>
      </c>
      <c r="O274" s="4">
        <v>479408.0</v>
      </c>
      <c r="P274" s="4">
        <f t="shared" si="1"/>
        <v>137.4666667</v>
      </c>
      <c r="Q274" s="4" t="str">
        <f t="shared" si="2"/>
        <v>Normal</v>
      </c>
      <c r="R274" s="1" t="str">
        <f t="shared" si="3"/>
        <v>Underutilized</v>
      </c>
      <c r="S274" s="4">
        <f t="shared" si="4"/>
        <v>48.94657558</v>
      </c>
      <c r="T274" s="1" t="str">
        <f t="shared" si="5"/>
        <v>High Cost</v>
      </c>
      <c r="U274" s="4">
        <f t="shared" si="6"/>
        <v>0.005387895071</v>
      </c>
    </row>
    <row r="275">
      <c r="A275" s="4" t="s">
        <v>667</v>
      </c>
      <c r="B275" s="4" t="s">
        <v>41</v>
      </c>
      <c r="C275" s="4">
        <v>136.75</v>
      </c>
      <c r="D275" s="4" t="s">
        <v>42</v>
      </c>
      <c r="E275" s="4" t="s">
        <v>22</v>
      </c>
      <c r="F275" s="4">
        <v>4.02</v>
      </c>
      <c r="G275" s="4">
        <v>94.8</v>
      </c>
      <c r="H275" s="4">
        <v>6.223155302E9</v>
      </c>
      <c r="I275" s="4">
        <v>1.0482162987E10</v>
      </c>
      <c r="J275" s="5">
        <v>45359.64861111111</v>
      </c>
      <c r="K275" s="5">
        <v>45543.34652777778</v>
      </c>
      <c r="L275" s="4">
        <v>7.49</v>
      </c>
      <c r="M275" s="4">
        <v>1024.26</v>
      </c>
      <c r="N275" s="4">
        <v>1024.0</v>
      </c>
      <c r="O275" s="4">
        <v>84992.0</v>
      </c>
      <c r="P275" s="4">
        <f t="shared" si="1"/>
        <v>136.75</v>
      </c>
      <c r="Q275" s="4" t="str">
        <f t="shared" si="2"/>
        <v>Underutilized</v>
      </c>
      <c r="R275" s="1" t="str">
        <f t="shared" si="3"/>
        <v>High</v>
      </c>
      <c r="S275" s="4">
        <f t="shared" si="4"/>
        <v>15.55804004</v>
      </c>
      <c r="T275" s="1" t="str">
        <f t="shared" si="5"/>
        <v>Normal Cost</v>
      </c>
      <c r="U275" s="4">
        <f t="shared" si="6"/>
        <v>0.05813488328</v>
      </c>
    </row>
    <row r="276">
      <c r="A276" s="4" t="s">
        <v>668</v>
      </c>
      <c r="B276" s="4" t="s">
        <v>20</v>
      </c>
      <c r="C276" s="4">
        <v>45.1096</v>
      </c>
      <c r="D276" s="4" t="s">
        <v>17</v>
      </c>
      <c r="E276" s="4" t="s">
        <v>27</v>
      </c>
      <c r="F276" s="4">
        <v>6.62</v>
      </c>
      <c r="G276" s="4">
        <v>2.48</v>
      </c>
      <c r="H276" s="4">
        <v>5.96499864E9</v>
      </c>
      <c r="I276" s="4">
        <v>1.4068838454E10</v>
      </c>
      <c r="J276" s="5">
        <v>45450.45347222222</v>
      </c>
      <c r="K276" s="5">
        <v>45511.25625</v>
      </c>
      <c r="L276" s="4">
        <v>7.8</v>
      </c>
      <c r="M276" s="4">
        <v>351.85</v>
      </c>
      <c r="N276" s="4">
        <v>352.0</v>
      </c>
      <c r="O276" s="4">
        <v>29216.0</v>
      </c>
      <c r="P276" s="4">
        <f t="shared" si="1"/>
        <v>43.26666667</v>
      </c>
      <c r="Q276" s="4" t="str">
        <f t="shared" si="2"/>
        <v>Underutilized</v>
      </c>
      <c r="R276" s="1" t="str">
        <f t="shared" si="3"/>
        <v>Underutilized</v>
      </c>
      <c r="S276" s="4">
        <f t="shared" si="4"/>
        <v>18.65796474</v>
      </c>
      <c r="T276" s="1" t="str">
        <f t="shared" si="5"/>
        <v>Normal Cost</v>
      </c>
      <c r="U276" s="4">
        <f t="shared" si="6"/>
        <v>0.01557365827</v>
      </c>
    </row>
    <row r="277">
      <c r="A277" s="4" t="s">
        <v>669</v>
      </c>
      <c r="B277" s="4" t="s">
        <v>166</v>
      </c>
      <c r="C277" s="4">
        <v>948.5312</v>
      </c>
      <c r="D277" s="4" t="s">
        <v>17</v>
      </c>
      <c r="E277" s="4" t="s">
        <v>32</v>
      </c>
      <c r="F277" s="4">
        <v>74.25</v>
      </c>
      <c r="G277" s="4">
        <v>80.49</v>
      </c>
      <c r="H277" s="4">
        <v>5.7735263274E10</v>
      </c>
      <c r="I277" s="4">
        <v>5.8051523084E10</v>
      </c>
      <c r="J277" s="4" t="s">
        <v>670</v>
      </c>
      <c r="K277" s="4" t="s">
        <v>671</v>
      </c>
      <c r="L277" s="4">
        <v>6.15</v>
      </c>
      <c r="M277" s="4">
        <v>5833.47</v>
      </c>
      <c r="N277" s="4">
        <v>5833.0</v>
      </c>
      <c r="O277" s="4">
        <v>484139.0</v>
      </c>
      <c r="P277" s="4">
        <f t="shared" si="1"/>
        <v>68.26666667</v>
      </c>
      <c r="Q277" s="4" t="str">
        <f t="shared" si="2"/>
        <v>High</v>
      </c>
      <c r="R277" s="1" t="str">
        <f t="shared" si="3"/>
        <v>High</v>
      </c>
      <c r="S277" s="4">
        <f t="shared" si="4"/>
        <v>107.834848</v>
      </c>
      <c r="T277" s="1" t="str">
        <f t="shared" si="5"/>
        <v>High Cost</v>
      </c>
      <c r="U277" s="4">
        <f t="shared" si="6"/>
        <v>0.01598094762</v>
      </c>
    </row>
    <row r="278">
      <c r="A278" s="4" t="s">
        <v>672</v>
      </c>
      <c r="B278" s="4" t="s">
        <v>57</v>
      </c>
      <c r="C278" s="4">
        <v>457.1743</v>
      </c>
      <c r="D278" s="4" t="s">
        <v>21</v>
      </c>
      <c r="E278" s="4" t="s">
        <v>105</v>
      </c>
      <c r="F278" s="4">
        <v>50.29</v>
      </c>
      <c r="G278" s="4">
        <v>51.26</v>
      </c>
      <c r="H278" s="4">
        <v>4.7312241597E10</v>
      </c>
      <c r="I278" s="4">
        <v>5.3532146138E10</v>
      </c>
      <c r="J278" s="4" t="s">
        <v>673</v>
      </c>
      <c r="K278" s="5">
        <v>45331.21527777778</v>
      </c>
      <c r="L278" s="4">
        <v>3.17</v>
      </c>
      <c r="M278" s="4">
        <v>1449.24</v>
      </c>
      <c r="N278" s="4">
        <v>1449.0</v>
      </c>
      <c r="O278" s="4">
        <v>120267.0</v>
      </c>
      <c r="P278" s="4">
        <f t="shared" si="1"/>
        <v>110.1166667</v>
      </c>
      <c r="Q278" s="4" t="str">
        <f t="shared" si="2"/>
        <v>Normal</v>
      </c>
      <c r="R278" s="1" t="str">
        <f t="shared" si="3"/>
        <v>Normal</v>
      </c>
      <c r="S278" s="4">
        <f t="shared" si="4"/>
        <v>93.91865482</v>
      </c>
      <c r="T278" s="1" t="str">
        <f t="shared" si="5"/>
        <v>Normal Cost</v>
      </c>
      <c r="U278" s="4">
        <f t="shared" si="6"/>
        <v>0.0422185637</v>
      </c>
    </row>
    <row r="279">
      <c r="A279" s="4" t="s">
        <v>674</v>
      </c>
      <c r="B279" s="4" t="s">
        <v>112</v>
      </c>
      <c r="C279" s="4">
        <v>40.4833</v>
      </c>
      <c r="D279" s="4" t="s">
        <v>42</v>
      </c>
      <c r="E279" s="4" t="s">
        <v>70</v>
      </c>
      <c r="F279" s="4">
        <v>85.18</v>
      </c>
      <c r="G279" s="4">
        <v>32.81</v>
      </c>
      <c r="H279" s="4">
        <v>2.4102967462E10</v>
      </c>
      <c r="I279" s="4">
        <v>2.8484820198E10</v>
      </c>
      <c r="J279" s="5">
        <v>45329.87222222222</v>
      </c>
      <c r="K279" s="5">
        <v>45389.55902777778</v>
      </c>
      <c r="L279" s="4">
        <v>6.88</v>
      </c>
      <c r="M279" s="4">
        <v>278.53</v>
      </c>
      <c r="N279" s="4">
        <v>279.0</v>
      </c>
      <c r="O279" s="4">
        <v>23157.0</v>
      </c>
      <c r="P279" s="4">
        <f t="shared" si="1"/>
        <v>40.48333333</v>
      </c>
      <c r="Q279" s="4" t="str">
        <f t="shared" si="2"/>
        <v>High</v>
      </c>
      <c r="R279" s="1" t="str">
        <f t="shared" si="3"/>
        <v>Underutilized</v>
      </c>
      <c r="S279" s="4">
        <f t="shared" si="4"/>
        <v>48.9761938</v>
      </c>
      <c r="T279" s="1" t="str">
        <f t="shared" si="5"/>
        <v>Normal Cost</v>
      </c>
      <c r="U279" s="4">
        <f t="shared" si="6"/>
        <v>0.2547609794</v>
      </c>
    </row>
    <row r="280">
      <c r="A280" s="4" t="s">
        <v>675</v>
      </c>
      <c r="B280" s="4" t="s">
        <v>62</v>
      </c>
      <c r="C280" s="4">
        <v>89.5833</v>
      </c>
      <c r="D280" s="4" t="s">
        <v>42</v>
      </c>
      <c r="E280" s="4" t="s">
        <v>22</v>
      </c>
      <c r="F280" s="4">
        <v>63.73</v>
      </c>
      <c r="G280" s="4">
        <v>82.35</v>
      </c>
      <c r="H280" s="4">
        <v>1.3766036928E10</v>
      </c>
      <c r="I280" s="4">
        <v>1.4907381903E10</v>
      </c>
      <c r="J280" s="4" t="s">
        <v>676</v>
      </c>
      <c r="K280" s="4" t="s">
        <v>677</v>
      </c>
      <c r="L280" s="4">
        <v>6.09</v>
      </c>
      <c r="M280" s="4">
        <v>545.56</v>
      </c>
      <c r="N280" s="4">
        <v>546.0</v>
      </c>
      <c r="O280" s="4">
        <v>45318.0</v>
      </c>
      <c r="P280" s="4">
        <f t="shared" si="1"/>
        <v>89.58333333</v>
      </c>
      <c r="Q280" s="4" t="str">
        <f t="shared" si="2"/>
        <v>Normal</v>
      </c>
      <c r="R280" s="1" t="str">
        <f t="shared" si="3"/>
        <v>High</v>
      </c>
      <c r="S280" s="4">
        <f t="shared" si="4"/>
        <v>26.70420225</v>
      </c>
      <c r="T280" s="1" t="str">
        <f t="shared" si="5"/>
        <v>Normal Cost</v>
      </c>
      <c r="U280" s="4">
        <f t="shared" si="6"/>
        <v>0.1611721612</v>
      </c>
    </row>
    <row r="281">
      <c r="A281" s="4" t="s">
        <v>678</v>
      </c>
      <c r="B281" s="4" t="s">
        <v>79</v>
      </c>
      <c r="C281" s="4">
        <v>203.1992</v>
      </c>
      <c r="D281" s="4" t="s">
        <v>17</v>
      </c>
      <c r="E281" s="4" t="s">
        <v>70</v>
      </c>
      <c r="F281" s="4">
        <v>40.52</v>
      </c>
      <c r="G281" s="4">
        <v>68.48</v>
      </c>
      <c r="H281" s="4">
        <v>6.3199644696E10</v>
      </c>
      <c r="I281" s="4">
        <v>6.345413886E10</v>
      </c>
      <c r="J281" s="4" t="s">
        <v>679</v>
      </c>
      <c r="K281" s="4" t="s">
        <v>680</v>
      </c>
      <c r="L281" s="4">
        <v>4.16</v>
      </c>
      <c r="M281" s="4">
        <v>845.31</v>
      </c>
      <c r="N281" s="4">
        <v>845.0</v>
      </c>
      <c r="O281" s="4">
        <v>70135.0</v>
      </c>
      <c r="P281" s="4">
        <f t="shared" si="1"/>
        <v>45.78333333</v>
      </c>
      <c r="Q281" s="4" t="str">
        <f t="shared" si="2"/>
        <v>Normal</v>
      </c>
      <c r="R281" s="1" t="str">
        <f t="shared" si="3"/>
        <v>Normal</v>
      </c>
      <c r="S281" s="4">
        <f t="shared" si="4"/>
        <v>117.9555278</v>
      </c>
      <c r="T281" s="1" t="str">
        <f t="shared" si="5"/>
        <v>Normal Cost</v>
      </c>
      <c r="U281" s="4">
        <f t="shared" si="6"/>
        <v>0.07770727882</v>
      </c>
    </row>
    <row r="282">
      <c r="A282" s="4" t="s">
        <v>681</v>
      </c>
      <c r="B282" s="4" t="s">
        <v>273</v>
      </c>
      <c r="C282" s="4">
        <v>407.7949</v>
      </c>
      <c r="D282" s="4" t="s">
        <v>17</v>
      </c>
      <c r="E282" s="4" t="s">
        <v>105</v>
      </c>
      <c r="F282" s="4">
        <v>9.69</v>
      </c>
      <c r="G282" s="4">
        <v>65.3</v>
      </c>
      <c r="H282" s="4">
        <v>5.4268857907E10</v>
      </c>
      <c r="I282" s="4">
        <v>6.2015184822E10</v>
      </c>
      <c r="J282" s="4" t="s">
        <v>682</v>
      </c>
      <c r="K282" s="4" t="s">
        <v>683</v>
      </c>
      <c r="L282" s="4">
        <v>2.27</v>
      </c>
      <c r="M282" s="4">
        <v>925.69</v>
      </c>
      <c r="N282" s="4">
        <v>926.0</v>
      </c>
      <c r="O282" s="4">
        <v>76858.0</v>
      </c>
      <c r="P282" s="4">
        <f t="shared" si="1"/>
        <v>53.26666667</v>
      </c>
      <c r="Q282" s="4" t="str">
        <f t="shared" si="2"/>
        <v>Underutilized</v>
      </c>
      <c r="R282" s="1" t="str">
        <f t="shared" si="3"/>
        <v>Normal</v>
      </c>
      <c r="S282" s="4">
        <f t="shared" si="4"/>
        <v>108.2979541</v>
      </c>
      <c r="T282" s="1" t="str">
        <f t="shared" si="5"/>
        <v>Normal Cost</v>
      </c>
      <c r="U282" s="4">
        <f t="shared" si="6"/>
        <v>0.04878477192</v>
      </c>
    </row>
    <row r="283">
      <c r="A283" s="4" t="s">
        <v>684</v>
      </c>
      <c r="B283" s="4" t="s">
        <v>26</v>
      </c>
      <c r="C283" s="4">
        <v>210.4333</v>
      </c>
      <c r="D283" s="4" t="s">
        <v>21</v>
      </c>
      <c r="E283" s="4" t="s">
        <v>27</v>
      </c>
      <c r="F283" s="4">
        <v>84.06</v>
      </c>
      <c r="G283" s="4">
        <v>56.96</v>
      </c>
      <c r="H283" s="4">
        <v>6.8388437354E10</v>
      </c>
      <c r="I283" s="4">
        <v>7.6892712268E10</v>
      </c>
      <c r="J283" s="4" t="s">
        <v>685</v>
      </c>
      <c r="K283" s="4" t="s">
        <v>686</v>
      </c>
      <c r="L283" s="4">
        <v>3.63</v>
      </c>
      <c r="M283" s="4">
        <v>763.87</v>
      </c>
      <c r="N283" s="4">
        <v>764.0</v>
      </c>
      <c r="O283" s="4">
        <v>63412.0</v>
      </c>
      <c r="P283" s="4">
        <f t="shared" si="1"/>
        <v>78.85</v>
      </c>
      <c r="Q283" s="4" t="str">
        <f t="shared" si="2"/>
        <v>High</v>
      </c>
      <c r="R283" s="1" t="str">
        <f t="shared" si="3"/>
        <v>Normal</v>
      </c>
      <c r="S283" s="4">
        <f t="shared" si="4"/>
        <v>135.3036143</v>
      </c>
      <c r="T283" s="1" t="str">
        <f t="shared" si="5"/>
        <v>Normal Cost</v>
      </c>
      <c r="U283" s="4">
        <f t="shared" si="6"/>
        <v>0.111193465</v>
      </c>
    </row>
    <row r="284">
      <c r="A284" s="4" t="s">
        <v>687</v>
      </c>
      <c r="B284" s="4" t="s">
        <v>46</v>
      </c>
      <c r="C284" s="4">
        <v>687.6223</v>
      </c>
      <c r="D284" s="4" t="s">
        <v>21</v>
      </c>
      <c r="E284" s="4" t="s">
        <v>37</v>
      </c>
      <c r="F284" s="4">
        <v>71.14</v>
      </c>
      <c r="G284" s="4">
        <v>94.07</v>
      </c>
      <c r="H284" s="4">
        <v>3.8892223577E10</v>
      </c>
      <c r="I284" s="4">
        <v>4.0407543548E10</v>
      </c>
      <c r="J284" s="5">
        <v>45329.623611111114</v>
      </c>
      <c r="K284" s="5">
        <v>45450.308333333334</v>
      </c>
      <c r="L284" s="4">
        <v>2.39</v>
      </c>
      <c r="M284" s="4">
        <v>1643.42</v>
      </c>
      <c r="N284" s="4">
        <v>1643.0</v>
      </c>
      <c r="O284" s="4">
        <v>136369.0</v>
      </c>
      <c r="P284" s="4">
        <f t="shared" si="1"/>
        <v>88.43333333</v>
      </c>
      <c r="Q284" s="4" t="str">
        <f t="shared" si="2"/>
        <v>High</v>
      </c>
      <c r="R284" s="1" t="str">
        <f t="shared" si="3"/>
        <v>High</v>
      </c>
      <c r="S284" s="4">
        <f t="shared" si="4"/>
        <v>73.85366329</v>
      </c>
      <c r="T284" s="1" t="str">
        <f t="shared" si="5"/>
        <v>Normal Cost</v>
      </c>
      <c r="U284" s="4">
        <f t="shared" si="6"/>
        <v>0.0605746174</v>
      </c>
    </row>
    <row r="285">
      <c r="A285" s="4" t="s">
        <v>688</v>
      </c>
      <c r="B285" s="4" t="s">
        <v>166</v>
      </c>
      <c r="C285" s="4">
        <v>479.8823</v>
      </c>
      <c r="D285" s="4" t="s">
        <v>17</v>
      </c>
      <c r="E285" s="4" t="s">
        <v>18</v>
      </c>
      <c r="F285" s="4">
        <v>77.45</v>
      </c>
      <c r="G285" s="4">
        <v>1.08</v>
      </c>
      <c r="H285" s="4">
        <v>7.2020991027E10</v>
      </c>
      <c r="I285" s="4">
        <v>7.2727629424E10</v>
      </c>
      <c r="J285" s="4" t="s">
        <v>689</v>
      </c>
      <c r="K285" s="4" t="s">
        <v>690</v>
      </c>
      <c r="L285" s="4">
        <v>8.15</v>
      </c>
      <c r="M285" s="4">
        <v>3911.04</v>
      </c>
      <c r="N285" s="4">
        <v>3911.0</v>
      </c>
      <c r="O285" s="4">
        <v>324613.0</v>
      </c>
      <c r="P285" s="4">
        <f t="shared" si="1"/>
        <v>59.68333333</v>
      </c>
      <c r="Q285" s="4" t="str">
        <f t="shared" si="2"/>
        <v>High</v>
      </c>
      <c r="R285" s="1" t="str">
        <f t="shared" si="3"/>
        <v>Underutilized</v>
      </c>
      <c r="S285" s="4">
        <f t="shared" si="4"/>
        <v>134.8076579</v>
      </c>
      <c r="T285" s="1" t="str">
        <f t="shared" si="5"/>
        <v>High Cost</v>
      </c>
      <c r="U285" s="4">
        <f t="shared" si="6"/>
        <v>0.01209594194</v>
      </c>
    </row>
    <row r="286">
      <c r="A286" s="4" t="s">
        <v>691</v>
      </c>
      <c r="B286" s="4" t="s">
        <v>60</v>
      </c>
      <c r="C286" s="4">
        <v>109.9833</v>
      </c>
      <c r="D286" s="4" t="s">
        <v>42</v>
      </c>
      <c r="E286" s="4" t="s">
        <v>155</v>
      </c>
      <c r="F286" s="4">
        <v>32.21</v>
      </c>
      <c r="G286" s="4">
        <v>24.58</v>
      </c>
      <c r="H286" s="4">
        <v>1.6213958271E10</v>
      </c>
      <c r="I286" s="4">
        <v>1.9574357777E10</v>
      </c>
      <c r="J286" s="5">
        <v>45633.44652777778</v>
      </c>
      <c r="K286" s="4" t="s">
        <v>692</v>
      </c>
      <c r="L286" s="4">
        <v>6.18</v>
      </c>
      <c r="M286" s="4">
        <v>679.7</v>
      </c>
      <c r="N286" s="4">
        <v>680.0</v>
      </c>
      <c r="O286" s="4">
        <v>56440.0</v>
      </c>
      <c r="P286" s="4">
        <f t="shared" si="1"/>
        <v>109.9833333</v>
      </c>
      <c r="Q286" s="4" t="str">
        <f t="shared" si="2"/>
        <v>Normal</v>
      </c>
      <c r="R286" s="1" t="str">
        <f t="shared" si="3"/>
        <v>Underutilized</v>
      </c>
      <c r="S286" s="4">
        <f t="shared" si="4"/>
        <v>33.33046664</v>
      </c>
      <c r="T286" s="1" t="str">
        <f t="shared" si="5"/>
        <v>Normal Cost</v>
      </c>
      <c r="U286" s="4">
        <f t="shared" si="6"/>
        <v>0.05031006378</v>
      </c>
    </row>
    <row r="287">
      <c r="A287" s="4" t="s">
        <v>693</v>
      </c>
      <c r="B287" s="4" t="s">
        <v>46</v>
      </c>
      <c r="C287" s="4">
        <v>277.6608</v>
      </c>
      <c r="D287" s="4" t="s">
        <v>17</v>
      </c>
      <c r="E287" s="4" t="s">
        <v>74</v>
      </c>
      <c r="F287" s="4">
        <v>66.09</v>
      </c>
      <c r="G287" s="4">
        <v>22.93</v>
      </c>
      <c r="H287" s="4">
        <v>7.3947753429E10</v>
      </c>
      <c r="I287" s="4">
        <v>7.4062804247E10</v>
      </c>
      <c r="J287" s="5">
        <v>45512.31736111111</v>
      </c>
      <c r="K287" s="5">
        <v>45573.55069444444</v>
      </c>
      <c r="L287" s="4">
        <v>3.82</v>
      </c>
      <c r="M287" s="4">
        <v>1060.66</v>
      </c>
      <c r="N287" s="4">
        <v>1061.0</v>
      </c>
      <c r="O287" s="4">
        <v>88063.0</v>
      </c>
      <c r="P287" s="4">
        <f t="shared" si="1"/>
        <v>53.6</v>
      </c>
      <c r="Q287" s="4" t="str">
        <f t="shared" si="2"/>
        <v>Normal</v>
      </c>
      <c r="R287" s="1" t="str">
        <f t="shared" si="3"/>
        <v>Underutilized</v>
      </c>
      <c r="S287" s="4">
        <f t="shared" si="4"/>
        <v>137.8455736</v>
      </c>
      <c r="T287" s="1" t="str">
        <f t="shared" si="5"/>
        <v>Normal Cost</v>
      </c>
      <c r="U287" s="4">
        <f t="shared" si="6"/>
        <v>0.050543361</v>
      </c>
    </row>
    <row r="288">
      <c r="A288" s="4" t="s">
        <v>694</v>
      </c>
      <c r="B288" s="4" t="s">
        <v>128</v>
      </c>
      <c r="C288" s="4">
        <v>941.414</v>
      </c>
      <c r="D288" s="4" t="s">
        <v>17</v>
      </c>
      <c r="E288" s="4" t="s">
        <v>22</v>
      </c>
      <c r="F288" s="4">
        <v>68.48</v>
      </c>
      <c r="G288" s="4">
        <v>73.0</v>
      </c>
      <c r="H288" s="4">
        <v>4.028608736E9</v>
      </c>
      <c r="I288" s="4">
        <v>1.0733576597E10</v>
      </c>
      <c r="J288" s="5">
        <v>45542.64236111111</v>
      </c>
      <c r="K288" s="4" t="s">
        <v>695</v>
      </c>
      <c r="L288" s="4">
        <v>6.86</v>
      </c>
      <c r="M288" s="4">
        <v>6458.1</v>
      </c>
      <c r="N288" s="4">
        <v>6458.0</v>
      </c>
      <c r="O288" s="4">
        <v>536014.0</v>
      </c>
      <c r="P288" s="4">
        <f t="shared" si="1"/>
        <v>128.1333333</v>
      </c>
      <c r="Q288" s="4" t="str">
        <f t="shared" si="2"/>
        <v>Normal</v>
      </c>
      <c r="R288" s="1" t="str">
        <f t="shared" si="3"/>
        <v>Normal</v>
      </c>
      <c r="S288" s="4">
        <f t="shared" si="4"/>
        <v>13.74835645</v>
      </c>
      <c r="T288" s="1" t="str">
        <f t="shared" si="5"/>
        <v>High Cost</v>
      </c>
      <c r="U288" s="4">
        <f t="shared" si="6"/>
        <v>0.01319741649</v>
      </c>
    </row>
    <row r="289">
      <c r="A289" s="4" t="s">
        <v>696</v>
      </c>
      <c r="B289" s="4" t="s">
        <v>20</v>
      </c>
      <c r="C289" s="4">
        <v>381.8599</v>
      </c>
      <c r="D289" s="4" t="s">
        <v>21</v>
      </c>
      <c r="E289" s="4" t="s">
        <v>155</v>
      </c>
      <c r="F289" s="4">
        <v>4.46</v>
      </c>
      <c r="G289" s="4">
        <v>99.8</v>
      </c>
      <c r="H289" s="4">
        <v>4.1790748625E10</v>
      </c>
      <c r="I289" s="4">
        <v>4.3925495516E10</v>
      </c>
      <c r="J289" s="4" t="s">
        <v>697</v>
      </c>
      <c r="K289" s="4" t="s">
        <v>698</v>
      </c>
      <c r="L289" s="4">
        <v>5.71</v>
      </c>
      <c r="M289" s="4">
        <v>2180.42</v>
      </c>
      <c r="N289" s="4">
        <v>2180.0</v>
      </c>
      <c r="O289" s="4">
        <v>180940.0</v>
      </c>
      <c r="P289" s="4">
        <f t="shared" si="1"/>
        <v>124.95</v>
      </c>
      <c r="Q289" s="4" t="str">
        <f t="shared" si="2"/>
        <v>Underutilized</v>
      </c>
      <c r="R289" s="1" t="str">
        <f t="shared" si="3"/>
        <v>High</v>
      </c>
      <c r="S289" s="4">
        <f t="shared" si="4"/>
        <v>79.82947318</v>
      </c>
      <c r="T289" s="1" t="str">
        <f t="shared" si="5"/>
        <v>High Cost</v>
      </c>
      <c r="U289" s="4">
        <f t="shared" si="6"/>
        <v>0.02881065547</v>
      </c>
    </row>
    <row r="290">
      <c r="A290" s="4" t="s">
        <v>699</v>
      </c>
      <c r="B290" s="4" t="s">
        <v>66</v>
      </c>
      <c r="C290" s="4">
        <v>747.7278</v>
      </c>
      <c r="D290" s="4" t="s">
        <v>21</v>
      </c>
      <c r="E290" s="4" t="s">
        <v>37</v>
      </c>
      <c r="F290" s="4">
        <v>29.11</v>
      </c>
      <c r="G290" s="4">
        <v>28.36</v>
      </c>
      <c r="H290" s="4">
        <v>5.710974286E10</v>
      </c>
      <c r="I290" s="4">
        <v>6.6197385049E10</v>
      </c>
      <c r="J290" s="5">
        <v>45451.27291666667</v>
      </c>
      <c r="K290" s="5">
        <v>45512.58541666667</v>
      </c>
      <c r="L290" s="4">
        <v>7.86</v>
      </c>
      <c r="M290" s="4">
        <v>5877.14</v>
      </c>
      <c r="N290" s="4">
        <v>5877.0</v>
      </c>
      <c r="O290" s="4">
        <v>487791.0</v>
      </c>
      <c r="P290" s="4">
        <f t="shared" si="1"/>
        <v>55.5</v>
      </c>
      <c r="Q290" s="4" t="str">
        <f t="shared" si="2"/>
        <v>Underutilized</v>
      </c>
      <c r="R290" s="1" t="str">
        <f t="shared" si="3"/>
        <v>Underutilized</v>
      </c>
      <c r="S290" s="4">
        <f t="shared" si="4"/>
        <v>114.8387118</v>
      </c>
      <c r="T290" s="1" t="str">
        <f t="shared" si="5"/>
        <v>High Cost</v>
      </c>
      <c r="U290" s="4">
        <f t="shared" si="6"/>
        <v>0.005890842594</v>
      </c>
    </row>
    <row r="291">
      <c r="A291" s="4" t="s">
        <v>700</v>
      </c>
      <c r="B291" s="4" t="s">
        <v>46</v>
      </c>
      <c r="C291" s="4">
        <v>515.3703</v>
      </c>
      <c r="D291" s="4" t="s">
        <v>17</v>
      </c>
      <c r="E291" s="4" t="s">
        <v>18</v>
      </c>
      <c r="F291" s="4">
        <v>20.74</v>
      </c>
      <c r="G291" s="4">
        <v>98.76</v>
      </c>
      <c r="H291" s="4">
        <v>8.8335739819E10</v>
      </c>
      <c r="I291" s="4">
        <v>9.6914457716E10</v>
      </c>
      <c r="J291" s="5">
        <v>45633.73819444444</v>
      </c>
      <c r="K291" s="4" t="s">
        <v>701</v>
      </c>
      <c r="L291" s="4">
        <v>9.55</v>
      </c>
      <c r="M291" s="4">
        <v>4921.79</v>
      </c>
      <c r="N291" s="4">
        <v>4922.0</v>
      </c>
      <c r="O291" s="4">
        <v>408526.0</v>
      </c>
      <c r="P291" s="4">
        <f t="shared" si="1"/>
        <v>62.18333333</v>
      </c>
      <c r="Q291" s="4" t="str">
        <f t="shared" si="2"/>
        <v>Underutilized</v>
      </c>
      <c r="R291" s="1" t="str">
        <f t="shared" si="3"/>
        <v>High</v>
      </c>
      <c r="S291" s="4">
        <f t="shared" si="4"/>
        <v>172.5276909</v>
      </c>
      <c r="T291" s="1" t="str">
        <f t="shared" si="5"/>
        <v>High Cost</v>
      </c>
      <c r="U291" s="4">
        <f t="shared" si="6"/>
        <v>0.01462575209</v>
      </c>
    </row>
    <row r="292">
      <c r="A292" s="4" t="s">
        <v>702</v>
      </c>
      <c r="B292" s="4" t="s">
        <v>41</v>
      </c>
      <c r="C292" s="4">
        <v>71.4</v>
      </c>
      <c r="D292" s="4" t="s">
        <v>42</v>
      </c>
      <c r="E292" s="4" t="s">
        <v>32</v>
      </c>
      <c r="F292" s="4">
        <v>60.35</v>
      </c>
      <c r="G292" s="4">
        <v>81.87</v>
      </c>
      <c r="H292" s="4">
        <v>1.031886918E9</v>
      </c>
      <c r="I292" s="4">
        <v>2.820539317E9</v>
      </c>
      <c r="J292" s="4" t="s">
        <v>703</v>
      </c>
      <c r="K292" s="4" t="s">
        <v>704</v>
      </c>
      <c r="L292" s="4">
        <v>3.05</v>
      </c>
      <c r="M292" s="4">
        <v>217.77</v>
      </c>
      <c r="N292" s="4">
        <v>218.0</v>
      </c>
      <c r="O292" s="4">
        <v>18094.0</v>
      </c>
      <c r="P292" s="4">
        <f t="shared" si="1"/>
        <v>71.4</v>
      </c>
      <c r="Q292" s="4" t="str">
        <f t="shared" si="2"/>
        <v>Normal</v>
      </c>
      <c r="R292" s="1" t="str">
        <f t="shared" si="3"/>
        <v>High</v>
      </c>
      <c r="S292" s="4">
        <f t="shared" si="4"/>
        <v>3.58785152</v>
      </c>
      <c r="T292" s="1" t="str">
        <f t="shared" si="5"/>
        <v>Normal Cost</v>
      </c>
      <c r="U292" s="4">
        <f t="shared" si="6"/>
        <v>0.3930032055</v>
      </c>
    </row>
    <row r="293">
      <c r="A293" s="4" t="s">
        <v>705</v>
      </c>
      <c r="B293" s="4" t="s">
        <v>31</v>
      </c>
      <c r="C293" s="4">
        <v>177.7278</v>
      </c>
      <c r="D293" s="4" t="s">
        <v>21</v>
      </c>
      <c r="E293" s="4" t="s">
        <v>27</v>
      </c>
      <c r="F293" s="4">
        <v>40.15</v>
      </c>
      <c r="G293" s="4">
        <v>7.95</v>
      </c>
      <c r="H293" s="4">
        <v>9.2640197584E10</v>
      </c>
      <c r="I293" s="4">
        <v>9.2794051251E10</v>
      </c>
      <c r="J293" s="5">
        <v>45572.775</v>
      </c>
      <c r="K293" s="5">
        <v>45633.42152777778</v>
      </c>
      <c r="L293" s="4">
        <v>6.65</v>
      </c>
      <c r="M293" s="4">
        <v>1181.89</v>
      </c>
      <c r="N293" s="4">
        <v>1182.0</v>
      </c>
      <c r="O293" s="4">
        <v>98106.0</v>
      </c>
      <c r="P293" s="4">
        <f t="shared" si="1"/>
        <v>39.51666667</v>
      </c>
      <c r="Q293" s="4" t="str">
        <f t="shared" si="2"/>
        <v>Normal</v>
      </c>
      <c r="R293" s="1" t="str">
        <f t="shared" si="3"/>
        <v>Underutilized</v>
      </c>
      <c r="S293" s="4">
        <f t="shared" si="4"/>
        <v>172.699102</v>
      </c>
      <c r="T293" s="1" t="str">
        <f t="shared" si="5"/>
        <v>Normal Cost</v>
      </c>
      <c r="U293" s="4">
        <f t="shared" si="6"/>
        <v>0.02451430086</v>
      </c>
    </row>
    <row r="294">
      <c r="A294" s="4" t="s">
        <v>706</v>
      </c>
      <c r="B294" s="4" t="s">
        <v>147</v>
      </c>
      <c r="C294" s="4">
        <v>70.9</v>
      </c>
      <c r="D294" s="4" t="s">
        <v>42</v>
      </c>
      <c r="E294" s="4" t="s">
        <v>58</v>
      </c>
      <c r="F294" s="4">
        <v>99.65</v>
      </c>
      <c r="G294" s="4">
        <v>64.13</v>
      </c>
      <c r="H294" s="4">
        <v>6.9458668373E10</v>
      </c>
      <c r="I294" s="4">
        <v>7.4057033715E10</v>
      </c>
      <c r="J294" s="4" t="s">
        <v>707</v>
      </c>
      <c r="K294" s="4" t="s">
        <v>708</v>
      </c>
      <c r="L294" s="4">
        <v>6.52</v>
      </c>
      <c r="M294" s="4">
        <v>462.27</v>
      </c>
      <c r="N294" s="4">
        <v>462.0</v>
      </c>
      <c r="O294" s="4">
        <v>38346.0</v>
      </c>
      <c r="P294" s="4">
        <f t="shared" si="1"/>
        <v>70.9</v>
      </c>
      <c r="Q294" s="4" t="str">
        <f t="shared" si="2"/>
        <v>High</v>
      </c>
      <c r="R294" s="1" t="str">
        <f t="shared" si="3"/>
        <v>Normal</v>
      </c>
      <c r="S294" s="4">
        <f t="shared" si="4"/>
        <v>133.6594132</v>
      </c>
      <c r="T294" s="1" t="str">
        <f t="shared" si="5"/>
        <v>Normal Cost</v>
      </c>
      <c r="U294" s="4">
        <f t="shared" si="6"/>
        <v>0.2135555208</v>
      </c>
    </row>
    <row r="295">
      <c r="A295" s="4" t="s">
        <v>709</v>
      </c>
      <c r="B295" s="4" t="s">
        <v>20</v>
      </c>
      <c r="C295" s="4">
        <v>417.5436</v>
      </c>
      <c r="D295" s="4" t="s">
        <v>21</v>
      </c>
      <c r="E295" s="4" t="s">
        <v>27</v>
      </c>
      <c r="F295" s="4">
        <v>26.2</v>
      </c>
      <c r="G295" s="4">
        <v>39.45</v>
      </c>
      <c r="H295" s="4">
        <v>8.3207228959E10</v>
      </c>
      <c r="I295" s="4">
        <v>8.7342143354E10</v>
      </c>
      <c r="J295" s="4" t="s">
        <v>710</v>
      </c>
      <c r="K295" s="5">
        <v>45330.47083333333</v>
      </c>
      <c r="L295" s="4">
        <v>5.3</v>
      </c>
      <c r="M295" s="4">
        <v>2212.98</v>
      </c>
      <c r="N295" s="4">
        <v>2213.0</v>
      </c>
      <c r="O295" s="4">
        <v>183679.0</v>
      </c>
      <c r="P295" s="4">
        <f t="shared" si="1"/>
        <v>142.8</v>
      </c>
      <c r="Q295" s="4" t="str">
        <f t="shared" si="2"/>
        <v>Underutilized</v>
      </c>
      <c r="R295" s="1" t="str">
        <f t="shared" si="3"/>
        <v>Underutilized</v>
      </c>
      <c r="S295" s="4">
        <f t="shared" si="4"/>
        <v>158.8364805</v>
      </c>
      <c r="T295" s="1" t="str">
        <f t="shared" si="5"/>
        <v>High Cost</v>
      </c>
      <c r="U295" s="4">
        <f t="shared" si="6"/>
        <v>0.01787085078</v>
      </c>
    </row>
    <row r="296">
      <c r="A296" s="4" t="s">
        <v>711</v>
      </c>
      <c r="B296" s="4" t="s">
        <v>79</v>
      </c>
      <c r="C296" s="4">
        <v>64.1684</v>
      </c>
      <c r="D296" s="4" t="s">
        <v>17</v>
      </c>
      <c r="E296" s="4" t="s">
        <v>123</v>
      </c>
      <c r="F296" s="4">
        <v>98.89</v>
      </c>
      <c r="G296" s="4">
        <v>90.96</v>
      </c>
      <c r="H296" s="4">
        <v>2.8166238801E10</v>
      </c>
      <c r="I296" s="4">
        <v>3.353296822E10</v>
      </c>
      <c r="J296" s="5">
        <v>45481.36388888889</v>
      </c>
      <c r="K296" s="5">
        <v>45573.65833333333</v>
      </c>
      <c r="L296" s="4">
        <v>1.83</v>
      </c>
      <c r="M296" s="4">
        <v>117.43</v>
      </c>
      <c r="N296" s="4">
        <v>117.0</v>
      </c>
      <c r="O296" s="4">
        <v>9711.0</v>
      </c>
      <c r="P296" s="4">
        <f t="shared" si="1"/>
        <v>79.06666667</v>
      </c>
      <c r="Q296" s="4" t="str">
        <f t="shared" si="2"/>
        <v>High</v>
      </c>
      <c r="R296" s="1" t="str">
        <f t="shared" si="3"/>
        <v>High</v>
      </c>
      <c r="S296" s="4">
        <f t="shared" si="4"/>
        <v>57.46186433</v>
      </c>
      <c r="T296" s="1" t="str">
        <f t="shared" si="5"/>
        <v>Normal Cost</v>
      </c>
      <c r="U296" s="4">
        <f t="shared" si="6"/>
        <v>0.9774997426</v>
      </c>
    </row>
    <row r="297">
      <c r="A297" s="4" t="s">
        <v>712</v>
      </c>
      <c r="B297" s="4" t="s">
        <v>79</v>
      </c>
      <c r="C297" s="4">
        <v>119.3159</v>
      </c>
      <c r="D297" s="4" t="s">
        <v>17</v>
      </c>
      <c r="E297" s="4" t="s">
        <v>37</v>
      </c>
      <c r="F297" s="4">
        <v>22.8</v>
      </c>
      <c r="G297" s="4">
        <v>42.14</v>
      </c>
      <c r="H297" s="4">
        <v>2.857084277E9</v>
      </c>
      <c r="I297" s="4">
        <v>1.0388720149E10</v>
      </c>
      <c r="J297" s="4" t="s">
        <v>713</v>
      </c>
      <c r="K297" s="4" t="s">
        <v>714</v>
      </c>
      <c r="L297" s="4">
        <v>7.93</v>
      </c>
      <c r="M297" s="4">
        <v>946.18</v>
      </c>
      <c r="N297" s="4">
        <v>946.0</v>
      </c>
      <c r="O297" s="4">
        <v>78518.0</v>
      </c>
      <c r="P297" s="4">
        <f t="shared" si="1"/>
        <v>108.3833333</v>
      </c>
      <c r="Q297" s="4" t="str">
        <f t="shared" si="2"/>
        <v>Underutilized</v>
      </c>
      <c r="R297" s="1" t="str">
        <f t="shared" si="3"/>
        <v>Normal</v>
      </c>
      <c r="S297" s="4">
        <f t="shared" si="4"/>
        <v>12.33611668</v>
      </c>
      <c r="T297" s="1" t="str">
        <f t="shared" si="5"/>
        <v>Normal Cost</v>
      </c>
      <c r="U297" s="4">
        <f t="shared" si="6"/>
        <v>0.04135357498</v>
      </c>
    </row>
    <row r="298">
      <c r="A298" s="4" t="s">
        <v>715</v>
      </c>
      <c r="B298" s="4" t="s">
        <v>62</v>
      </c>
      <c r="C298" s="4">
        <v>62.4667</v>
      </c>
      <c r="D298" s="4" t="s">
        <v>42</v>
      </c>
      <c r="E298" s="4" t="s">
        <v>155</v>
      </c>
      <c r="F298" s="4">
        <v>13.03</v>
      </c>
      <c r="G298" s="4">
        <v>88.6</v>
      </c>
      <c r="H298" s="4">
        <v>5.6299065995E10</v>
      </c>
      <c r="I298" s="4">
        <v>5.8695200121E10</v>
      </c>
      <c r="J298" s="4" t="s">
        <v>716</v>
      </c>
      <c r="K298" s="4" t="s">
        <v>717</v>
      </c>
      <c r="L298" s="4">
        <v>9.62</v>
      </c>
      <c r="M298" s="4">
        <v>600.93</v>
      </c>
      <c r="N298" s="4">
        <v>601.0</v>
      </c>
      <c r="O298" s="4">
        <v>49883.0</v>
      </c>
      <c r="P298" s="4">
        <f t="shared" si="1"/>
        <v>62.46666667</v>
      </c>
      <c r="Q298" s="4" t="str">
        <f t="shared" si="2"/>
        <v>Underutilized</v>
      </c>
      <c r="R298" s="1" t="str">
        <f t="shared" si="3"/>
        <v>High</v>
      </c>
      <c r="S298" s="4">
        <f t="shared" si="4"/>
        <v>107.096756</v>
      </c>
      <c r="T298" s="1" t="str">
        <f t="shared" si="5"/>
        <v>Normal Cost</v>
      </c>
      <c r="U298" s="4">
        <f t="shared" si="6"/>
        <v>0.101868372</v>
      </c>
    </row>
    <row r="299">
      <c r="A299" s="4" t="s">
        <v>718</v>
      </c>
      <c r="B299" s="4" t="s">
        <v>147</v>
      </c>
      <c r="C299" s="4">
        <v>60.7</v>
      </c>
      <c r="D299" s="4" t="s">
        <v>42</v>
      </c>
      <c r="E299" s="4" t="s">
        <v>37</v>
      </c>
      <c r="F299" s="4">
        <v>38.88</v>
      </c>
      <c r="G299" s="4">
        <v>59.1</v>
      </c>
      <c r="H299" s="4">
        <v>3.4279058769E10</v>
      </c>
      <c r="I299" s="4">
        <v>3.4342664992E10</v>
      </c>
      <c r="J299" s="5">
        <v>45511.60277777778</v>
      </c>
      <c r="K299" s="5">
        <v>45603.131944444445</v>
      </c>
      <c r="L299" s="4">
        <v>6.52</v>
      </c>
      <c r="M299" s="4">
        <v>395.76</v>
      </c>
      <c r="N299" s="4">
        <v>396.0</v>
      </c>
      <c r="O299" s="4">
        <v>32868.0</v>
      </c>
      <c r="P299" s="4">
        <f t="shared" si="1"/>
        <v>60.7</v>
      </c>
      <c r="Q299" s="4" t="str">
        <f t="shared" si="2"/>
        <v>Normal</v>
      </c>
      <c r="R299" s="1" t="str">
        <f t="shared" si="3"/>
        <v>Normal</v>
      </c>
      <c r="S299" s="4">
        <f t="shared" si="4"/>
        <v>63.90896045</v>
      </c>
      <c r="T299" s="1" t="str">
        <f t="shared" si="5"/>
        <v>Normal Cost</v>
      </c>
      <c r="U299" s="4">
        <f t="shared" si="6"/>
        <v>0.1490507484</v>
      </c>
    </row>
    <row r="300">
      <c r="A300" s="4" t="s">
        <v>719</v>
      </c>
      <c r="B300" s="4" t="s">
        <v>79</v>
      </c>
      <c r="C300" s="4">
        <v>331.7406</v>
      </c>
      <c r="D300" s="4" t="s">
        <v>17</v>
      </c>
      <c r="E300" s="4" t="s">
        <v>70</v>
      </c>
      <c r="F300" s="4">
        <v>8.42</v>
      </c>
      <c r="G300" s="4">
        <v>45.09</v>
      </c>
      <c r="H300" s="4">
        <v>8.190551982E10</v>
      </c>
      <c r="I300" s="4">
        <v>8.6264730884E10</v>
      </c>
      <c r="J300" s="4" t="s">
        <v>720</v>
      </c>
      <c r="K300" s="4" t="s">
        <v>721</v>
      </c>
      <c r="L300" s="4">
        <v>3.09</v>
      </c>
      <c r="M300" s="4">
        <v>1025.08</v>
      </c>
      <c r="N300" s="4">
        <v>1025.0</v>
      </c>
      <c r="O300" s="4">
        <v>85075.0</v>
      </c>
      <c r="P300" s="4">
        <f t="shared" si="1"/>
        <v>111.3333333</v>
      </c>
      <c r="Q300" s="4" t="str">
        <f t="shared" si="2"/>
        <v>Underutilized</v>
      </c>
      <c r="R300" s="1" t="str">
        <f t="shared" si="3"/>
        <v>Normal</v>
      </c>
      <c r="S300" s="4">
        <f t="shared" si="4"/>
        <v>156.6207509</v>
      </c>
      <c r="T300" s="1" t="str">
        <f t="shared" si="5"/>
        <v>Normal Cost</v>
      </c>
      <c r="U300" s="4">
        <f t="shared" si="6"/>
        <v>0.03144872172</v>
      </c>
    </row>
    <row r="301">
      <c r="A301" s="4" t="s">
        <v>722</v>
      </c>
      <c r="B301" s="4" t="s">
        <v>62</v>
      </c>
      <c r="C301" s="4">
        <v>125.55</v>
      </c>
      <c r="D301" s="4" t="s">
        <v>42</v>
      </c>
      <c r="E301" s="4" t="s">
        <v>70</v>
      </c>
      <c r="F301" s="4">
        <v>17.84</v>
      </c>
      <c r="G301" s="4">
        <v>37.57</v>
      </c>
      <c r="H301" s="4">
        <v>7.5269655994E10</v>
      </c>
      <c r="I301" s="4">
        <v>8.08348427E10</v>
      </c>
      <c r="J301" s="4" t="s">
        <v>723</v>
      </c>
      <c r="K301" s="4" t="s">
        <v>724</v>
      </c>
      <c r="L301" s="4">
        <v>9.55</v>
      </c>
      <c r="M301" s="4">
        <v>1199.0</v>
      </c>
      <c r="N301" s="4">
        <v>1199.0</v>
      </c>
      <c r="O301" s="4">
        <v>99517.0</v>
      </c>
      <c r="P301" s="4">
        <f t="shared" si="1"/>
        <v>125.55</v>
      </c>
      <c r="Q301" s="4" t="str">
        <f t="shared" si="2"/>
        <v>Underutilized</v>
      </c>
      <c r="R301" s="1" t="str">
        <f t="shared" si="3"/>
        <v>Underutilized</v>
      </c>
      <c r="S301" s="4">
        <f t="shared" si="4"/>
        <v>145.3836436</v>
      </c>
      <c r="T301" s="1" t="str">
        <f t="shared" si="5"/>
        <v>Normal Cost</v>
      </c>
      <c r="U301" s="4">
        <f t="shared" si="6"/>
        <v>0.02783946461</v>
      </c>
    </row>
    <row r="302">
      <c r="A302" s="4" t="s">
        <v>725</v>
      </c>
      <c r="B302" s="4" t="s">
        <v>16</v>
      </c>
      <c r="C302" s="4">
        <v>163.075</v>
      </c>
      <c r="D302" s="4" t="s">
        <v>17</v>
      </c>
      <c r="E302" s="4" t="s">
        <v>18</v>
      </c>
      <c r="F302" s="4">
        <v>20.21</v>
      </c>
      <c r="G302" s="4">
        <v>93.53</v>
      </c>
      <c r="H302" s="4">
        <v>7.872419289E10</v>
      </c>
      <c r="I302" s="4">
        <v>8.3475645504E10</v>
      </c>
      <c r="J302" s="5">
        <v>45359.09166666667</v>
      </c>
      <c r="K302" s="5">
        <v>45512.245833333334</v>
      </c>
      <c r="L302" s="4">
        <v>3.32</v>
      </c>
      <c r="M302" s="4">
        <v>541.41</v>
      </c>
      <c r="N302" s="4">
        <v>541.0</v>
      </c>
      <c r="O302" s="4">
        <v>44903.0</v>
      </c>
      <c r="P302" s="4">
        <f t="shared" si="1"/>
        <v>123.7</v>
      </c>
      <c r="Q302" s="4" t="str">
        <f t="shared" si="2"/>
        <v>Underutilized</v>
      </c>
      <c r="R302" s="1" t="str">
        <f t="shared" si="3"/>
        <v>High</v>
      </c>
      <c r="S302" s="4">
        <f t="shared" si="4"/>
        <v>151.0603711</v>
      </c>
      <c r="T302" s="1" t="str">
        <f t="shared" si="5"/>
        <v>Normal Cost</v>
      </c>
      <c r="U302" s="4">
        <f t="shared" si="6"/>
        <v>0.1266507806</v>
      </c>
    </row>
    <row r="303">
      <c r="A303" s="4" t="s">
        <v>726</v>
      </c>
      <c r="B303" s="4" t="s">
        <v>128</v>
      </c>
      <c r="C303" s="4">
        <v>724.7898</v>
      </c>
      <c r="D303" s="4" t="s">
        <v>21</v>
      </c>
      <c r="E303" s="4" t="s">
        <v>27</v>
      </c>
      <c r="F303" s="4">
        <v>73.18</v>
      </c>
      <c r="G303" s="4">
        <v>60.63</v>
      </c>
      <c r="H303" s="4">
        <v>7.8477752098E10</v>
      </c>
      <c r="I303" s="4">
        <v>8.8271877239E10</v>
      </c>
      <c r="J303" s="4" t="s">
        <v>727</v>
      </c>
      <c r="K303" s="4" t="s">
        <v>728</v>
      </c>
      <c r="L303" s="4">
        <v>9.79</v>
      </c>
      <c r="M303" s="4">
        <v>7095.69</v>
      </c>
      <c r="N303" s="4">
        <v>7096.0</v>
      </c>
      <c r="O303" s="4">
        <v>588968.0</v>
      </c>
      <c r="P303" s="4">
        <f t="shared" si="1"/>
        <v>129.5166667</v>
      </c>
      <c r="Q303" s="4" t="str">
        <f t="shared" si="2"/>
        <v>High</v>
      </c>
      <c r="R303" s="1" t="str">
        <f t="shared" si="3"/>
        <v>Normal</v>
      </c>
      <c r="S303" s="4">
        <f t="shared" si="4"/>
        <v>155.2976941</v>
      </c>
      <c r="T303" s="1" t="str">
        <f t="shared" si="5"/>
        <v>High Cost</v>
      </c>
      <c r="U303" s="4">
        <f t="shared" si="6"/>
        <v>0.01135970036</v>
      </c>
    </row>
    <row r="304">
      <c r="A304" s="4" t="s">
        <v>729</v>
      </c>
      <c r="B304" s="4" t="s">
        <v>26</v>
      </c>
      <c r="C304" s="4">
        <v>589.1842</v>
      </c>
      <c r="D304" s="4" t="s">
        <v>21</v>
      </c>
      <c r="E304" s="4" t="s">
        <v>70</v>
      </c>
      <c r="F304" s="4">
        <v>69.14</v>
      </c>
      <c r="G304" s="4">
        <v>13.82</v>
      </c>
      <c r="H304" s="4">
        <v>8.7811828441E10</v>
      </c>
      <c r="I304" s="4">
        <v>9.4364577288E10</v>
      </c>
      <c r="J304" s="4" t="s">
        <v>730</v>
      </c>
      <c r="K304" s="5">
        <v>45360.59652777778</v>
      </c>
      <c r="L304" s="4">
        <v>7.93</v>
      </c>
      <c r="M304" s="4">
        <v>4672.23</v>
      </c>
      <c r="N304" s="4">
        <v>4672.0</v>
      </c>
      <c r="O304" s="4">
        <v>387776.0</v>
      </c>
      <c r="P304" s="4">
        <f t="shared" si="1"/>
        <v>118.9666667</v>
      </c>
      <c r="Q304" s="4" t="str">
        <f t="shared" si="2"/>
        <v>Normal</v>
      </c>
      <c r="R304" s="1" t="str">
        <f t="shared" si="3"/>
        <v>Underutilized</v>
      </c>
      <c r="S304" s="4">
        <f t="shared" si="4"/>
        <v>169.6649992</v>
      </c>
      <c r="T304" s="1" t="str">
        <f t="shared" si="5"/>
        <v>High Cost</v>
      </c>
      <c r="U304" s="4">
        <f t="shared" si="6"/>
        <v>0.01069689718</v>
      </c>
    </row>
    <row r="305">
      <c r="A305" s="4" t="s">
        <v>731</v>
      </c>
      <c r="B305" s="4" t="s">
        <v>31</v>
      </c>
      <c r="C305" s="4">
        <v>295.4871</v>
      </c>
      <c r="D305" s="4" t="s">
        <v>17</v>
      </c>
      <c r="E305" s="4" t="s">
        <v>70</v>
      </c>
      <c r="F305" s="4">
        <v>38.52</v>
      </c>
      <c r="G305" s="4">
        <v>27.02</v>
      </c>
      <c r="H305" s="4">
        <v>3.592743618E9</v>
      </c>
      <c r="I305" s="4">
        <v>7.584104509E9</v>
      </c>
      <c r="J305" s="5">
        <v>45572.72083333333</v>
      </c>
      <c r="K305" s="5">
        <v>45633.26597222222</v>
      </c>
      <c r="L305" s="4">
        <v>3.76</v>
      </c>
      <c r="M305" s="4">
        <v>1111.03</v>
      </c>
      <c r="N305" s="4">
        <v>1111.0</v>
      </c>
      <c r="O305" s="4">
        <v>92213.0</v>
      </c>
      <c r="P305" s="4">
        <f t="shared" si="1"/>
        <v>37.08333333</v>
      </c>
      <c r="Q305" s="4" t="str">
        <f t="shared" si="2"/>
        <v>Normal</v>
      </c>
      <c r="R305" s="1" t="str">
        <f t="shared" si="3"/>
        <v>Underutilized</v>
      </c>
      <c r="S305" s="4">
        <f t="shared" si="4"/>
        <v>10.40925097</v>
      </c>
      <c r="T305" s="1" t="str">
        <f t="shared" si="5"/>
        <v>Normal Cost</v>
      </c>
      <c r="U305" s="4">
        <f t="shared" si="6"/>
        <v>0.03553728867</v>
      </c>
    </row>
    <row r="306">
      <c r="A306" s="4" t="s">
        <v>732</v>
      </c>
      <c r="B306" s="4" t="s">
        <v>41</v>
      </c>
      <c r="C306" s="4">
        <v>93.4167</v>
      </c>
      <c r="D306" s="4" t="s">
        <v>42</v>
      </c>
      <c r="E306" s="4" t="s">
        <v>58</v>
      </c>
      <c r="F306" s="4">
        <v>39.06</v>
      </c>
      <c r="G306" s="4">
        <v>68.85</v>
      </c>
      <c r="H306" s="4">
        <v>9.9747398472E10</v>
      </c>
      <c r="I306" s="6">
        <v>1.06154E11</v>
      </c>
      <c r="J306" s="4" t="s">
        <v>733</v>
      </c>
      <c r="K306" s="4" t="s">
        <v>734</v>
      </c>
      <c r="L306" s="4">
        <v>3.94</v>
      </c>
      <c r="M306" s="4">
        <v>368.06</v>
      </c>
      <c r="N306" s="4">
        <v>368.0</v>
      </c>
      <c r="O306" s="4">
        <v>30544.0</v>
      </c>
      <c r="P306" s="4">
        <f t="shared" si="1"/>
        <v>93.41666667</v>
      </c>
      <c r="Q306" s="4" t="str">
        <f t="shared" si="2"/>
        <v>Normal</v>
      </c>
      <c r="R306" s="1" t="str">
        <f t="shared" si="3"/>
        <v>Normal</v>
      </c>
      <c r="S306" s="6">
        <f t="shared" si="4"/>
        <v>191.7606205</v>
      </c>
      <c r="T306" s="1" t="str">
        <f t="shared" si="5"/>
        <v>Normal Cost</v>
      </c>
      <c r="U306" s="4">
        <f t="shared" si="6"/>
        <v>0.1766468046</v>
      </c>
    </row>
    <row r="307">
      <c r="A307" s="4" t="s">
        <v>735</v>
      </c>
      <c r="B307" s="4" t="s">
        <v>41</v>
      </c>
      <c r="C307" s="4">
        <v>46.3667</v>
      </c>
      <c r="D307" s="4" t="s">
        <v>42</v>
      </c>
      <c r="E307" s="4" t="s">
        <v>18</v>
      </c>
      <c r="F307" s="4">
        <v>26.96</v>
      </c>
      <c r="G307" s="4">
        <v>61.26</v>
      </c>
      <c r="H307" s="4">
        <v>2.865101214E10</v>
      </c>
      <c r="I307" s="4">
        <v>3.6341944171E10</v>
      </c>
      <c r="J307" s="4" t="s">
        <v>736</v>
      </c>
      <c r="K307" s="4" t="s">
        <v>737</v>
      </c>
      <c r="L307" s="4">
        <v>2.9</v>
      </c>
      <c r="M307" s="4">
        <v>134.46</v>
      </c>
      <c r="N307" s="4">
        <v>134.0</v>
      </c>
      <c r="O307" s="4">
        <v>11122.0</v>
      </c>
      <c r="P307" s="4">
        <f t="shared" si="1"/>
        <v>46.36666667</v>
      </c>
      <c r="Q307" s="4" t="str">
        <f t="shared" si="2"/>
        <v>Underutilized</v>
      </c>
      <c r="R307" s="1" t="str">
        <f t="shared" si="3"/>
        <v>Normal</v>
      </c>
      <c r="S307" s="4">
        <f t="shared" si="4"/>
        <v>60.5294074</v>
      </c>
      <c r="T307" s="1" t="str">
        <f t="shared" si="5"/>
        <v>Normal Cost</v>
      </c>
      <c r="U307" s="4">
        <f t="shared" si="6"/>
        <v>0.3966013307</v>
      </c>
    </row>
    <row r="308">
      <c r="A308" s="4" t="s">
        <v>738</v>
      </c>
      <c r="B308" s="4" t="s">
        <v>26</v>
      </c>
      <c r="C308" s="4">
        <v>406.9697</v>
      </c>
      <c r="D308" s="4" t="s">
        <v>21</v>
      </c>
      <c r="E308" s="4" t="s">
        <v>123</v>
      </c>
      <c r="F308" s="4">
        <v>75.97</v>
      </c>
      <c r="G308" s="4">
        <v>35.59</v>
      </c>
      <c r="H308" s="4">
        <v>7.1136873838E10</v>
      </c>
      <c r="I308" s="4">
        <v>7.9539464593E10</v>
      </c>
      <c r="J308" s="4" t="s">
        <v>739</v>
      </c>
      <c r="K308" s="4" t="s">
        <v>740</v>
      </c>
      <c r="L308" s="4">
        <v>2.95</v>
      </c>
      <c r="M308" s="4">
        <v>1200.56</v>
      </c>
      <c r="N308" s="4">
        <v>1201.0</v>
      </c>
      <c r="O308" s="4">
        <v>99683.0</v>
      </c>
      <c r="P308" s="4">
        <f t="shared" si="1"/>
        <v>52.81666667</v>
      </c>
      <c r="Q308" s="4" t="str">
        <f t="shared" si="2"/>
        <v>High</v>
      </c>
      <c r="R308" s="1" t="str">
        <f t="shared" si="3"/>
        <v>Underutilized</v>
      </c>
      <c r="S308" s="4">
        <f t="shared" si="4"/>
        <v>140.3282754</v>
      </c>
      <c r="T308" s="1" t="str">
        <f t="shared" si="5"/>
        <v>Normal Cost</v>
      </c>
      <c r="U308" s="4">
        <f t="shared" si="6"/>
        <v>0.05595738491</v>
      </c>
    </row>
    <row r="309">
      <c r="A309" s="4" t="s">
        <v>741</v>
      </c>
      <c r="B309" s="4" t="s">
        <v>31</v>
      </c>
      <c r="C309" s="4">
        <v>778.2469</v>
      </c>
      <c r="D309" s="4" t="s">
        <v>21</v>
      </c>
      <c r="E309" s="4" t="s">
        <v>58</v>
      </c>
      <c r="F309" s="4">
        <v>1.26</v>
      </c>
      <c r="G309" s="4">
        <v>40.65</v>
      </c>
      <c r="H309" s="4">
        <v>2.4624786354E10</v>
      </c>
      <c r="I309" s="4">
        <v>3.2975101756E10</v>
      </c>
      <c r="J309" s="4" t="s">
        <v>742</v>
      </c>
      <c r="K309" s="4" t="s">
        <v>743</v>
      </c>
      <c r="L309" s="4">
        <v>5.55</v>
      </c>
      <c r="M309" s="4">
        <v>4319.27</v>
      </c>
      <c r="N309" s="4">
        <v>4319.0</v>
      </c>
      <c r="O309" s="4">
        <v>358477.0</v>
      </c>
      <c r="P309" s="4">
        <f t="shared" si="1"/>
        <v>46.03333333</v>
      </c>
      <c r="Q309" s="4" t="str">
        <f t="shared" si="2"/>
        <v>Underutilized</v>
      </c>
      <c r="R309" s="1" t="str">
        <f t="shared" si="3"/>
        <v>Normal</v>
      </c>
      <c r="S309" s="4">
        <f t="shared" si="4"/>
        <v>53.64407609</v>
      </c>
      <c r="T309" s="1" t="str">
        <f t="shared" si="5"/>
        <v>High Cost</v>
      </c>
      <c r="U309" s="4">
        <f t="shared" si="6"/>
        <v>0.005845563314</v>
      </c>
    </row>
    <row r="310">
      <c r="A310" s="4" t="s">
        <v>744</v>
      </c>
      <c r="B310" s="4" t="s">
        <v>147</v>
      </c>
      <c r="C310" s="4">
        <v>118.1</v>
      </c>
      <c r="D310" s="4" t="s">
        <v>42</v>
      </c>
      <c r="E310" s="4" t="s">
        <v>32</v>
      </c>
      <c r="F310" s="4">
        <v>84.66</v>
      </c>
      <c r="G310" s="4">
        <v>59.16</v>
      </c>
      <c r="H310" s="4">
        <v>4.773068726E9</v>
      </c>
      <c r="I310" s="4">
        <v>5.71712999E9</v>
      </c>
      <c r="J310" s="5">
        <v>45358.865277777775</v>
      </c>
      <c r="K310" s="5">
        <v>45511.78611111111</v>
      </c>
      <c r="L310" s="4">
        <v>3.34</v>
      </c>
      <c r="M310" s="4">
        <v>394.45</v>
      </c>
      <c r="N310" s="4">
        <v>394.0</v>
      </c>
      <c r="O310" s="4">
        <v>32702.0</v>
      </c>
      <c r="P310" s="4">
        <f t="shared" si="1"/>
        <v>118.1</v>
      </c>
      <c r="Q310" s="4" t="str">
        <f t="shared" si="2"/>
        <v>High</v>
      </c>
      <c r="R310" s="1" t="str">
        <f t="shared" si="3"/>
        <v>Normal</v>
      </c>
      <c r="S310" s="4">
        <f t="shared" si="4"/>
        <v>9.769758876</v>
      </c>
      <c r="T310" s="1" t="str">
        <f t="shared" si="5"/>
        <v>Normal Cost</v>
      </c>
      <c r="U310" s="4">
        <f t="shared" si="6"/>
        <v>0.2198948077</v>
      </c>
    </row>
    <row r="311">
      <c r="A311" s="4" t="s">
        <v>745</v>
      </c>
      <c r="B311" s="4" t="s">
        <v>112</v>
      </c>
      <c r="C311" s="4">
        <v>86.9833</v>
      </c>
      <c r="D311" s="4" t="s">
        <v>42</v>
      </c>
      <c r="E311" s="4" t="s">
        <v>32</v>
      </c>
      <c r="F311" s="4">
        <v>95.91</v>
      </c>
      <c r="G311" s="4">
        <v>89.27</v>
      </c>
      <c r="H311" s="4">
        <v>7.0761031842E10</v>
      </c>
      <c r="I311" s="4">
        <v>7.9512127244E10</v>
      </c>
      <c r="J311" s="5">
        <v>45572.50347222222</v>
      </c>
      <c r="K311" s="4" t="s">
        <v>746</v>
      </c>
      <c r="L311" s="4">
        <v>7.63</v>
      </c>
      <c r="M311" s="4">
        <v>663.68</v>
      </c>
      <c r="N311" s="4">
        <v>664.0</v>
      </c>
      <c r="O311" s="4">
        <v>55112.0</v>
      </c>
      <c r="P311" s="4">
        <f t="shared" si="1"/>
        <v>86.98333333</v>
      </c>
      <c r="Q311" s="4" t="str">
        <f t="shared" si="2"/>
        <v>High</v>
      </c>
      <c r="R311" s="1" t="str">
        <f t="shared" si="3"/>
        <v>High</v>
      </c>
      <c r="S311" s="4">
        <f t="shared" si="4"/>
        <v>139.9527854</v>
      </c>
      <c r="T311" s="1" t="str">
        <f t="shared" si="5"/>
        <v>Normal Cost</v>
      </c>
      <c r="U311" s="4">
        <f t="shared" si="6"/>
        <v>0.1680033387</v>
      </c>
    </row>
    <row r="312">
      <c r="A312" s="4" t="s">
        <v>747</v>
      </c>
      <c r="B312" s="4" t="s">
        <v>46</v>
      </c>
      <c r="C312" s="4">
        <v>406.7662</v>
      </c>
      <c r="D312" s="4" t="s">
        <v>17</v>
      </c>
      <c r="E312" s="4" t="s">
        <v>18</v>
      </c>
      <c r="F312" s="4">
        <v>61.25</v>
      </c>
      <c r="G312" s="4">
        <v>52.83</v>
      </c>
      <c r="H312" s="4">
        <v>3.6836744438E10</v>
      </c>
      <c r="I312" s="4">
        <v>4.4586206736E10</v>
      </c>
      <c r="J312" s="4" t="s">
        <v>748</v>
      </c>
      <c r="K312" s="4" t="s">
        <v>749</v>
      </c>
      <c r="L312" s="4">
        <v>8.65</v>
      </c>
      <c r="M312" s="4">
        <v>3518.53</v>
      </c>
      <c r="N312" s="4">
        <v>3519.0</v>
      </c>
      <c r="O312" s="4">
        <v>292077.0</v>
      </c>
      <c r="P312" s="4">
        <f t="shared" si="1"/>
        <v>43.28333333</v>
      </c>
      <c r="Q312" s="4" t="str">
        <f t="shared" si="2"/>
        <v>Normal</v>
      </c>
      <c r="R312" s="1" t="str">
        <f t="shared" si="3"/>
        <v>Normal</v>
      </c>
      <c r="S312" s="4">
        <f t="shared" si="4"/>
        <v>75.83103252</v>
      </c>
      <c r="T312" s="1" t="str">
        <f t="shared" si="5"/>
        <v>High Cost</v>
      </c>
      <c r="U312" s="4">
        <f t="shared" si="6"/>
        <v>0.01952909678</v>
      </c>
    </row>
    <row r="313">
      <c r="A313" s="4" t="s">
        <v>750</v>
      </c>
      <c r="B313" s="4" t="s">
        <v>20</v>
      </c>
      <c r="C313" s="4">
        <v>675.0447</v>
      </c>
      <c r="D313" s="4" t="s">
        <v>17</v>
      </c>
      <c r="E313" s="4" t="s">
        <v>22</v>
      </c>
      <c r="F313" s="4">
        <v>31.52</v>
      </c>
      <c r="G313" s="4">
        <v>46.67</v>
      </c>
      <c r="H313" s="4">
        <v>3.4586931717E10</v>
      </c>
      <c r="I313" s="4">
        <v>4.3826455816E10</v>
      </c>
      <c r="J313" s="4" t="s">
        <v>751</v>
      </c>
      <c r="K313" s="4" t="s">
        <v>752</v>
      </c>
      <c r="L313" s="4">
        <v>8.47</v>
      </c>
      <c r="M313" s="4">
        <v>5717.63</v>
      </c>
      <c r="N313" s="4">
        <v>5718.0</v>
      </c>
      <c r="O313" s="4">
        <v>474594.0</v>
      </c>
      <c r="P313" s="4">
        <f t="shared" si="1"/>
        <v>39.36666667</v>
      </c>
      <c r="Q313" s="4" t="str">
        <f t="shared" si="2"/>
        <v>Normal</v>
      </c>
      <c r="R313" s="1" t="str">
        <f t="shared" si="3"/>
        <v>Normal</v>
      </c>
      <c r="S313" s="4">
        <f t="shared" si="4"/>
        <v>73.02815796</v>
      </c>
      <c r="T313" s="1" t="str">
        <f t="shared" si="5"/>
        <v>High Cost</v>
      </c>
      <c r="U313" s="4">
        <f t="shared" si="6"/>
        <v>0.008237567268</v>
      </c>
    </row>
    <row r="314">
      <c r="A314" s="4" t="s">
        <v>753</v>
      </c>
      <c r="B314" s="4" t="s">
        <v>273</v>
      </c>
      <c r="C314" s="4">
        <v>152.5828</v>
      </c>
      <c r="D314" s="4" t="s">
        <v>21</v>
      </c>
      <c r="E314" s="4" t="s">
        <v>18</v>
      </c>
      <c r="F314" s="4">
        <v>31.48</v>
      </c>
      <c r="G314" s="4">
        <v>80.03</v>
      </c>
      <c r="H314" s="4">
        <v>7.4586150767E10</v>
      </c>
      <c r="I314" s="4">
        <v>8.1343833263E10</v>
      </c>
      <c r="J314" s="4" t="s">
        <v>754</v>
      </c>
      <c r="K314" s="4" t="s">
        <v>755</v>
      </c>
      <c r="L314" s="4">
        <v>1.54</v>
      </c>
      <c r="M314" s="4">
        <v>234.98</v>
      </c>
      <c r="N314" s="4">
        <v>235.0</v>
      </c>
      <c r="O314" s="4">
        <v>19505.0</v>
      </c>
      <c r="P314" s="4">
        <f t="shared" si="1"/>
        <v>37.71666667</v>
      </c>
      <c r="Q314" s="4" t="str">
        <f t="shared" si="2"/>
        <v>Normal</v>
      </c>
      <c r="R314" s="1" t="str">
        <f t="shared" si="3"/>
        <v>High</v>
      </c>
      <c r="S314" s="4">
        <f t="shared" si="4"/>
        <v>145.2211142</v>
      </c>
      <c r="T314" s="1" t="str">
        <f t="shared" si="5"/>
        <v>Normal Cost</v>
      </c>
      <c r="U314" s="4">
        <f t="shared" si="6"/>
        <v>0.2858497821</v>
      </c>
    </row>
    <row r="315">
      <c r="A315" s="4" t="s">
        <v>756</v>
      </c>
      <c r="B315" s="4" t="s">
        <v>183</v>
      </c>
      <c r="C315" s="4">
        <v>250.3807</v>
      </c>
      <c r="D315" s="4" t="s">
        <v>17</v>
      </c>
      <c r="E315" s="4" t="s">
        <v>70</v>
      </c>
      <c r="F315" s="4">
        <v>78.41</v>
      </c>
      <c r="G315" s="4">
        <v>51.91</v>
      </c>
      <c r="H315" s="4">
        <v>5.6910738249E10</v>
      </c>
      <c r="I315" s="4">
        <v>5.795980854E10</v>
      </c>
      <c r="J315" s="5">
        <v>45358.88958333333</v>
      </c>
      <c r="K315" s="5">
        <v>45480.82083333333</v>
      </c>
      <c r="L315" s="4">
        <v>3.77</v>
      </c>
      <c r="M315" s="4">
        <v>943.94</v>
      </c>
      <c r="N315" s="4">
        <v>944.0</v>
      </c>
      <c r="O315" s="4">
        <v>78352.0</v>
      </c>
      <c r="P315" s="4">
        <f t="shared" si="1"/>
        <v>94.35</v>
      </c>
      <c r="Q315" s="4" t="str">
        <f t="shared" si="2"/>
        <v>High</v>
      </c>
      <c r="R315" s="1" t="str">
        <f t="shared" si="3"/>
        <v>Normal</v>
      </c>
      <c r="S315" s="4">
        <f t="shared" si="4"/>
        <v>106.9815334</v>
      </c>
      <c r="T315" s="1" t="str">
        <f t="shared" si="5"/>
        <v>Normal Cost</v>
      </c>
      <c r="U315" s="4">
        <f t="shared" si="6"/>
        <v>0.08316316112</v>
      </c>
    </row>
    <row r="316">
      <c r="A316" s="4" t="s">
        <v>757</v>
      </c>
      <c r="B316" s="4" t="s">
        <v>16</v>
      </c>
      <c r="C316" s="4">
        <v>376.8075</v>
      </c>
      <c r="D316" s="4" t="s">
        <v>17</v>
      </c>
      <c r="E316" s="4" t="s">
        <v>74</v>
      </c>
      <c r="F316" s="4">
        <v>20.6</v>
      </c>
      <c r="G316" s="4">
        <v>1.99</v>
      </c>
      <c r="H316" s="4">
        <v>3.9391998186E10</v>
      </c>
      <c r="I316" s="4">
        <v>4.4986088106E10</v>
      </c>
      <c r="J316" s="5">
        <v>45330.12986111111</v>
      </c>
      <c r="K316" s="5">
        <v>45481.16805555556</v>
      </c>
      <c r="L316" s="4">
        <v>1.35</v>
      </c>
      <c r="M316" s="4">
        <v>508.69</v>
      </c>
      <c r="N316" s="4">
        <v>509.0</v>
      </c>
      <c r="O316" s="4">
        <v>42247.0</v>
      </c>
      <c r="P316" s="4">
        <f t="shared" si="1"/>
        <v>120.9166667</v>
      </c>
      <c r="Q316" s="4" t="str">
        <f t="shared" si="2"/>
        <v>Underutilized</v>
      </c>
      <c r="R316" s="1" t="str">
        <f t="shared" si="3"/>
        <v>Underutilized</v>
      </c>
      <c r="S316" s="4">
        <f t="shared" si="4"/>
        <v>78.58321657</v>
      </c>
      <c r="T316" s="1" t="str">
        <f t="shared" si="5"/>
        <v>Normal Cost</v>
      </c>
      <c r="U316" s="4">
        <f t="shared" si="6"/>
        <v>0.0267356262</v>
      </c>
    </row>
    <row r="317">
      <c r="A317" s="4" t="s">
        <v>758</v>
      </c>
      <c r="B317" s="4" t="s">
        <v>20</v>
      </c>
      <c r="C317" s="4">
        <v>881.6954</v>
      </c>
      <c r="D317" s="4" t="s">
        <v>21</v>
      </c>
      <c r="E317" s="4" t="s">
        <v>18</v>
      </c>
      <c r="F317" s="4">
        <v>29.61</v>
      </c>
      <c r="G317" s="4">
        <v>41.17</v>
      </c>
      <c r="H317" s="4">
        <v>5.2142857257E10</v>
      </c>
      <c r="I317" s="4">
        <v>5.4045175891E10</v>
      </c>
      <c r="J317" s="5">
        <v>45573.11111111111</v>
      </c>
      <c r="K317" s="4" t="s">
        <v>759</v>
      </c>
      <c r="L317" s="4">
        <v>8.63</v>
      </c>
      <c r="M317" s="4">
        <v>7609.03</v>
      </c>
      <c r="N317" s="4">
        <v>7609.0</v>
      </c>
      <c r="O317" s="4">
        <v>631547.0</v>
      </c>
      <c r="P317" s="4">
        <f t="shared" si="1"/>
        <v>82.51666667</v>
      </c>
      <c r="Q317" s="4" t="str">
        <f t="shared" si="2"/>
        <v>Underutilized</v>
      </c>
      <c r="R317" s="1" t="str">
        <f t="shared" si="3"/>
        <v>Normal</v>
      </c>
      <c r="S317" s="4">
        <f t="shared" si="4"/>
        <v>98.89531242</v>
      </c>
      <c r="T317" s="1" t="str">
        <f t="shared" si="5"/>
        <v>High Cost</v>
      </c>
      <c r="U317" s="4">
        <f t="shared" si="6"/>
        <v>0.00560370012</v>
      </c>
    </row>
    <row r="318">
      <c r="A318" s="4" t="s">
        <v>760</v>
      </c>
      <c r="B318" s="4" t="s">
        <v>20</v>
      </c>
      <c r="C318" s="4">
        <v>468.1951</v>
      </c>
      <c r="D318" s="4" t="s">
        <v>21</v>
      </c>
      <c r="E318" s="4" t="s">
        <v>37</v>
      </c>
      <c r="F318" s="4">
        <v>92.1</v>
      </c>
      <c r="G318" s="4">
        <v>60.77</v>
      </c>
      <c r="H318" s="4">
        <v>8.1939046283E10</v>
      </c>
      <c r="I318" s="4">
        <v>8.6683174597E10</v>
      </c>
      <c r="J318" s="5">
        <v>45390.256944444445</v>
      </c>
      <c r="K318" s="5">
        <v>45512.68680555555</v>
      </c>
      <c r="L318" s="4">
        <v>1.54</v>
      </c>
      <c r="M318" s="4">
        <v>721.02</v>
      </c>
      <c r="N318" s="4">
        <v>721.0</v>
      </c>
      <c r="O318" s="4">
        <v>59843.0</v>
      </c>
      <c r="P318" s="4">
        <f t="shared" si="1"/>
        <v>106.3166667</v>
      </c>
      <c r="Q318" s="4" t="str">
        <f t="shared" si="2"/>
        <v>High</v>
      </c>
      <c r="R318" s="1" t="str">
        <f t="shared" si="3"/>
        <v>Normal</v>
      </c>
      <c r="S318" s="4">
        <f t="shared" si="4"/>
        <v>157.0416809</v>
      </c>
      <c r="T318" s="1" t="str">
        <f t="shared" si="5"/>
        <v>Normal Cost</v>
      </c>
      <c r="U318" s="4">
        <f t="shared" si="6"/>
        <v>0.1277258827</v>
      </c>
    </row>
    <row r="319">
      <c r="A319" s="4" t="s">
        <v>761</v>
      </c>
      <c r="B319" s="4" t="s">
        <v>79</v>
      </c>
      <c r="C319" s="4">
        <v>113.9094</v>
      </c>
      <c r="D319" s="4" t="s">
        <v>21</v>
      </c>
      <c r="E319" s="4" t="s">
        <v>18</v>
      </c>
      <c r="F319" s="4">
        <v>60.01</v>
      </c>
      <c r="G319" s="4">
        <v>78.71</v>
      </c>
      <c r="H319" s="4">
        <v>2.5364257534E10</v>
      </c>
      <c r="I319" s="4">
        <v>3.5178408351E10</v>
      </c>
      <c r="J319" s="5">
        <v>45298.89027777778</v>
      </c>
      <c r="K319" s="5">
        <v>45480.52013888889</v>
      </c>
      <c r="L319" s="4">
        <v>4.63</v>
      </c>
      <c r="M319" s="4">
        <v>527.4</v>
      </c>
      <c r="N319" s="4">
        <v>527.0</v>
      </c>
      <c r="O319" s="4">
        <v>43741.0</v>
      </c>
      <c r="P319" s="4">
        <f t="shared" si="1"/>
        <v>135.1166667</v>
      </c>
      <c r="Q319" s="4" t="str">
        <f t="shared" si="2"/>
        <v>Normal</v>
      </c>
      <c r="R319" s="1" t="str">
        <f t="shared" si="3"/>
        <v>High</v>
      </c>
      <c r="S319" s="4">
        <f t="shared" si="4"/>
        <v>56.38475147</v>
      </c>
      <c r="T319" s="1" t="str">
        <f t="shared" si="5"/>
        <v>Normal Cost</v>
      </c>
      <c r="U319" s="4">
        <f t="shared" si="6"/>
        <v>0.1585697629</v>
      </c>
    </row>
    <row r="320">
      <c r="A320" s="4" t="s">
        <v>762</v>
      </c>
      <c r="B320" s="4" t="s">
        <v>57</v>
      </c>
      <c r="C320" s="4">
        <v>23.909</v>
      </c>
      <c r="D320" s="4" t="s">
        <v>21</v>
      </c>
      <c r="E320" s="4" t="s">
        <v>155</v>
      </c>
      <c r="F320" s="4">
        <v>68.87</v>
      </c>
      <c r="G320" s="4">
        <v>77.27</v>
      </c>
      <c r="H320" s="4">
        <v>3.730716178E10</v>
      </c>
      <c r="I320" s="4">
        <v>3.9665526563E10</v>
      </c>
      <c r="J320" s="4" t="s">
        <v>763</v>
      </c>
      <c r="K320" s="4" t="s">
        <v>764</v>
      </c>
      <c r="L320" s="4">
        <v>3.46</v>
      </c>
      <c r="M320" s="4">
        <v>82.73</v>
      </c>
      <c r="N320" s="4">
        <v>83.0</v>
      </c>
      <c r="O320" s="4">
        <v>6889.0</v>
      </c>
      <c r="P320" s="4">
        <f t="shared" si="1"/>
        <v>39.86666667</v>
      </c>
      <c r="Q320" s="4" t="str">
        <f t="shared" si="2"/>
        <v>Normal</v>
      </c>
      <c r="R320" s="1" t="str">
        <f t="shared" si="3"/>
        <v>High</v>
      </c>
      <c r="S320" s="4">
        <f t="shared" si="4"/>
        <v>71.68640228</v>
      </c>
      <c r="T320" s="1" t="str">
        <f t="shared" si="5"/>
        <v>Normal Cost</v>
      </c>
      <c r="U320" s="4">
        <f t="shared" si="6"/>
        <v>1.060676441</v>
      </c>
    </row>
    <row r="321">
      <c r="A321" s="4" t="s">
        <v>765</v>
      </c>
      <c r="B321" s="4" t="s">
        <v>99</v>
      </c>
      <c r="C321" s="4">
        <v>79.1905</v>
      </c>
      <c r="D321" s="4" t="s">
        <v>17</v>
      </c>
      <c r="E321" s="4" t="s">
        <v>18</v>
      </c>
      <c r="F321" s="4">
        <v>98.14</v>
      </c>
      <c r="G321" s="4">
        <v>55.84</v>
      </c>
      <c r="H321" s="4">
        <v>8.6611985073E10</v>
      </c>
      <c r="I321" s="4">
        <v>8.8475289609E10</v>
      </c>
      <c r="J321" s="4" t="s">
        <v>766</v>
      </c>
      <c r="K321" s="4" t="s">
        <v>767</v>
      </c>
      <c r="L321" s="4">
        <v>5.37</v>
      </c>
      <c r="M321" s="4">
        <v>425.25</v>
      </c>
      <c r="N321" s="4">
        <v>425.0</v>
      </c>
      <c r="O321" s="4">
        <v>35275.0</v>
      </c>
      <c r="P321" s="4">
        <f t="shared" si="1"/>
        <v>30.6</v>
      </c>
      <c r="Q321" s="4" t="str">
        <f t="shared" si="2"/>
        <v>High</v>
      </c>
      <c r="R321" s="1" t="str">
        <f t="shared" si="3"/>
        <v>Normal</v>
      </c>
      <c r="S321" s="4">
        <f t="shared" si="4"/>
        <v>163.0627314</v>
      </c>
      <c r="T321" s="1" t="str">
        <f t="shared" si="5"/>
        <v>Normal Cost</v>
      </c>
      <c r="U321" s="4">
        <f t="shared" si="6"/>
        <v>0.2182565556</v>
      </c>
    </row>
    <row r="322">
      <c r="A322" s="4" t="s">
        <v>768</v>
      </c>
      <c r="B322" s="4" t="s">
        <v>273</v>
      </c>
      <c r="C322" s="4">
        <v>366.9656</v>
      </c>
      <c r="D322" s="4" t="s">
        <v>17</v>
      </c>
      <c r="E322" s="4" t="s">
        <v>54</v>
      </c>
      <c r="F322" s="4">
        <v>84.63</v>
      </c>
      <c r="G322" s="4">
        <v>96.47</v>
      </c>
      <c r="H322" s="4">
        <v>4.0233865968E10</v>
      </c>
      <c r="I322" s="4">
        <v>4.9040528356E10</v>
      </c>
      <c r="J322" s="4" t="s">
        <v>769</v>
      </c>
      <c r="K322" s="4" t="s">
        <v>770</v>
      </c>
      <c r="L322" s="4">
        <v>8.88</v>
      </c>
      <c r="M322" s="4">
        <v>3258.65</v>
      </c>
      <c r="N322" s="4">
        <v>3259.0</v>
      </c>
      <c r="O322" s="4">
        <v>270497.0</v>
      </c>
      <c r="P322" s="4">
        <f t="shared" si="1"/>
        <v>116.0666667</v>
      </c>
      <c r="Q322" s="4" t="str">
        <f t="shared" si="2"/>
        <v>High</v>
      </c>
      <c r="R322" s="1" t="str">
        <f t="shared" si="3"/>
        <v>High</v>
      </c>
      <c r="S322" s="4">
        <f t="shared" si="4"/>
        <v>83.14325877</v>
      </c>
      <c r="T322" s="1" t="str">
        <f t="shared" si="5"/>
        <v>High Cost</v>
      </c>
      <c r="U322" s="4">
        <f t="shared" si="6"/>
        <v>0.03347541747</v>
      </c>
    </row>
    <row r="323">
      <c r="A323" s="4" t="s">
        <v>771</v>
      </c>
      <c r="B323" s="4" t="s">
        <v>41</v>
      </c>
      <c r="C323" s="4">
        <v>117.0833</v>
      </c>
      <c r="D323" s="4" t="s">
        <v>42</v>
      </c>
      <c r="E323" s="4" t="s">
        <v>58</v>
      </c>
      <c r="F323" s="4">
        <v>87.35</v>
      </c>
      <c r="G323" s="4">
        <v>70.7</v>
      </c>
      <c r="H323" s="4">
        <v>5.1699509941E10</v>
      </c>
      <c r="I323" s="4">
        <v>5.6177287267E10</v>
      </c>
      <c r="J323" s="5">
        <v>45451.243055555555</v>
      </c>
      <c r="K323" s="5">
        <v>45604.12152777778</v>
      </c>
      <c r="L323" s="4">
        <v>5.94</v>
      </c>
      <c r="M323" s="4">
        <v>695.47</v>
      </c>
      <c r="N323" s="4">
        <v>695.0</v>
      </c>
      <c r="O323" s="4">
        <v>57685.0</v>
      </c>
      <c r="P323" s="4">
        <f t="shared" si="1"/>
        <v>117.0833333</v>
      </c>
      <c r="Q323" s="4" t="str">
        <f t="shared" si="2"/>
        <v>High</v>
      </c>
      <c r="R323" s="1" t="str">
        <f t="shared" si="3"/>
        <v>Normal</v>
      </c>
      <c r="S323" s="4">
        <f t="shared" si="4"/>
        <v>100.4680965</v>
      </c>
      <c r="T323" s="1" t="str">
        <f t="shared" si="5"/>
        <v>Normal Cost</v>
      </c>
      <c r="U323" s="4">
        <f t="shared" si="6"/>
        <v>0.1369940192</v>
      </c>
    </row>
    <row r="324">
      <c r="A324" s="4" t="s">
        <v>772</v>
      </c>
      <c r="B324" s="4" t="s">
        <v>60</v>
      </c>
      <c r="C324" s="4">
        <v>105.0167</v>
      </c>
      <c r="D324" s="4" t="s">
        <v>42</v>
      </c>
      <c r="E324" s="4" t="s">
        <v>70</v>
      </c>
      <c r="F324" s="4">
        <v>60.48</v>
      </c>
      <c r="G324" s="4">
        <v>2.65</v>
      </c>
      <c r="H324" s="4">
        <v>9.313854289E10</v>
      </c>
      <c r="I324" s="4">
        <v>9.3485815275E10</v>
      </c>
      <c r="J324" s="4" t="s">
        <v>773</v>
      </c>
      <c r="K324" s="4" t="s">
        <v>774</v>
      </c>
      <c r="L324" s="4">
        <v>9.2</v>
      </c>
      <c r="M324" s="4">
        <v>966.15</v>
      </c>
      <c r="N324" s="4">
        <v>966.0</v>
      </c>
      <c r="O324" s="4">
        <v>80178.0</v>
      </c>
      <c r="P324" s="4">
        <f t="shared" si="1"/>
        <v>105.0166667</v>
      </c>
      <c r="Q324" s="4" t="str">
        <f t="shared" si="2"/>
        <v>Normal</v>
      </c>
      <c r="R324" s="1" t="str">
        <f t="shared" si="3"/>
        <v>Underutilized</v>
      </c>
      <c r="S324" s="4">
        <f t="shared" si="4"/>
        <v>173.8074777</v>
      </c>
      <c r="T324" s="1" t="str">
        <f t="shared" si="5"/>
        <v>Normal Cost</v>
      </c>
      <c r="U324" s="4">
        <f t="shared" si="6"/>
        <v>0.03936865474</v>
      </c>
    </row>
    <row r="325">
      <c r="A325" s="4" t="s">
        <v>775</v>
      </c>
      <c r="B325" s="4" t="s">
        <v>122</v>
      </c>
      <c r="C325" s="4">
        <v>636.7192</v>
      </c>
      <c r="D325" s="4" t="s">
        <v>17</v>
      </c>
      <c r="E325" s="4" t="s">
        <v>18</v>
      </c>
      <c r="F325" s="4">
        <v>69.63</v>
      </c>
      <c r="G325" s="4">
        <v>29.21</v>
      </c>
      <c r="H325" s="4">
        <v>3.777085117E9</v>
      </c>
      <c r="I325" s="4">
        <v>6.701606221E9</v>
      </c>
      <c r="J325" s="5">
        <v>45389.5</v>
      </c>
      <c r="K325" s="5">
        <v>45572.36111111111</v>
      </c>
      <c r="L325" s="4">
        <v>1.12</v>
      </c>
      <c r="M325" s="4">
        <v>713.13</v>
      </c>
      <c r="N325" s="4">
        <v>713.0</v>
      </c>
      <c r="O325" s="4">
        <v>59179.0</v>
      </c>
      <c r="P325" s="4">
        <f t="shared" si="1"/>
        <v>140.6666667</v>
      </c>
      <c r="Q325" s="4" t="str">
        <f t="shared" si="2"/>
        <v>Normal</v>
      </c>
      <c r="R325" s="1" t="str">
        <f t="shared" si="3"/>
        <v>Underutilized</v>
      </c>
      <c r="S325" s="4">
        <f t="shared" si="4"/>
        <v>9.759041796</v>
      </c>
      <c r="T325" s="1" t="str">
        <f t="shared" si="5"/>
        <v>Normal Cost</v>
      </c>
      <c r="U325" s="4">
        <f t="shared" si="6"/>
        <v>0.08350935298</v>
      </c>
    </row>
    <row r="326">
      <c r="A326" s="4" t="s">
        <v>776</v>
      </c>
      <c r="B326" s="4" t="s">
        <v>273</v>
      </c>
      <c r="C326" s="4">
        <v>753.0083</v>
      </c>
      <c r="D326" s="4" t="s">
        <v>21</v>
      </c>
      <c r="E326" s="4" t="s">
        <v>32</v>
      </c>
      <c r="F326" s="4">
        <v>26.45</v>
      </c>
      <c r="G326" s="4">
        <v>34.41</v>
      </c>
      <c r="H326" s="4">
        <v>7.2340339037E10</v>
      </c>
      <c r="I326" s="4">
        <v>7.4874466857E10</v>
      </c>
      <c r="J326" s="5">
        <v>45511.81041666667</v>
      </c>
      <c r="K326" s="4" t="s">
        <v>777</v>
      </c>
      <c r="L326" s="4">
        <v>4.34</v>
      </c>
      <c r="M326" s="4">
        <v>3268.06</v>
      </c>
      <c r="N326" s="4">
        <v>3268.0</v>
      </c>
      <c r="O326" s="4">
        <v>271244.0</v>
      </c>
      <c r="P326" s="4">
        <f t="shared" si="1"/>
        <v>120.4666667</v>
      </c>
      <c r="Q326" s="4" t="str">
        <f t="shared" si="2"/>
        <v>Underutilized</v>
      </c>
      <c r="R326" s="1" t="str">
        <f t="shared" si="3"/>
        <v>Underutilized</v>
      </c>
      <c r="S326" s="4">
        <f t="shared" si="4"/>
        <v>137.104472</v>
      </c>
      <c r="T326" s="1" t="str">
        <f t="shared" si="5"/>
        <v>High Cost</v>
      </c>
      <c r="U326" s="4">
        <f t="shared" si="6"/>
        <v>0.01121868133</v>
      </c>
    </row>
    <row r="327">
      <c r="A327" s="4" t="s">
        <v>778</v>
      </c>
      <c r="B327" s="4" t="s">
        <v>350</v>
      </c>
      <c r="C327" s="4">
        <v>460.4479</v>
      </c>
      <c r="D327" s="4" t="s">
        <v>21</v>
      </c>
      <c r="E327" s="4" t="s">
        <v>123</v>
      </c>
      <c r="F327" s="4">
        <v>68.88</v>
      </c>
      <c r="G327" s="4">
        <v>94.74</v>
      </c>
      <c r="H327" s="4">
        <v>7.3702127574E10</v>
      </c>
      <c r="I327" s="4">
        <v>7.4049499148E10</v>
      </c>
      <c r="J327" s="5">
        <v>45604.895833333336</v>
      </c>
      <c r="K327" s="4" t="s">
        <v>779</v>
      </c>
      <c r="L327" s="4">
        <v>6.96</v>
      </c>
      <c r="M327" s="4">
        <v>3204.72</v>
      </c>
      <c r="N327" s="4">
        <v>3205.0</v>
      </c>
      <c r="O327" s="4">
        <v>266015.0</v>
      </c>
      <c r="P327" s="4">
        <f t="shared" si="1"/>
        <v>92.05</v>
      </c>
      <c r="Q327" s="4" t="str">
        <f t="shared" si="2"/>
        <v>Normal</v>
      </c>
      <c r="R327" s="1" t="str">
        <f t="shared" si="3"/>
        <v>High</v>
      </c>
      <c r="S327" s="4">
        <f t="shared" si="4"/>
        <v>137.6044254</v>
      </c>
      <c r="T327" s="1" t="str">
        <f t="shared" si="5"/>
        <v>High Cost</v>
      </c>
      <c r="U327" s="4">
        <f t="shared" si="6"/>
        <v>0.03075390485</v>
      </c>
    </row>
    <row r="328">
      <c r="A328" s="4" t="s">
        <v>780</v>
      </c>
      <c r="B328" s="4" t="s">
        <v>139</v>
      </c>
      <c r="C328" s="4">
        <v>103.3</v>
      </c>
      <c r="D328" s="4" t="s">
        <v>42</v>
      </c>
      <c r="E328" s="4" t="s">
        <v>123</v>
      </c>
      <c r="F328" s="4">
        <v>18.42</v>
      </c>
      <c r="G328" s="4">
        <v>2.48</v>
      </c>
      <c r="H328" s="4">
        <v>4.0692757568E10</v>
      </c>
      <c r="I328" s="4">
        <v>4.5569071764E10</v>
      </c>
      <c r="J328" s="4" t="s">
        <v>781</v>
      </c>
      <c r="K328" s="5">
        <v>45390.32847222222</v>
      </c>
      <c r="L328" s="4">
        <v>8.19</v>
      </c>
      <c r="M328" s="4">
        <v>846.03</v>
      </c>
      <c r="N328" s="4">
        <v>846.0</v>
      </c>
      <c r="O328" s="4">
        <v>70218.0</v>
      </c>
      <c r="P328" s="4">
        <f t="shared" si="1"/>
        <v>103.3</v>
      </c>
      <c r="Q328" s="4" t="str">
        <f t="shared" si="2"/>
        <v>Underutilized</v>
      </c>
      <c r="R328" s="1" t="str">
        <f t="shared" si="3"/>
        <v>Underutilized</v>
      </c>
      <c r="S328" s="4">
        <f t="shared" si="4"/>
        <v>80.33758898</v>
      </c>
      <c r="T328" s="1" t="str">
        <f t="shared" si="5"/>
        <v>Normal Cost</v>
      </c>
      <c r="U328" s="4">
        <f t="shared" si="6"/>
        <v>0.01488222393</v>
      </c>
    </row>
    <row r="329">
      <c r="A329" s="4" t="s">
        <v>782</v>
      </c>
      <c r="B329" s="4" t="s">
        <v>46</v>
      </c>
      <c r="C329" s="4">
        <v>618.0578</v>
      </c>
      <c r="D329" s="4" t="s">
        <v>21</v>
      </c>
      <c r="E329" s="4" t="s">
        <v>105</v>
      </c>
      <c r="F329" s="4">
        <v>37.03</v>
      </c>
      <c r="G329" s="4">
        <v>47.91</v>
      </c>
      <c r="H329" s="4">
        <v>8.8779763311E10</v>
      </c>
      <c r="I329" s="4">
        <v>8.9159125555E10</v>
      </c>
      <c r="J329" s="5">
        <v>45420.17361111111</v>
      </c>
      <c r="K329" s="5">
        <v>45481.56597222222</v>
      </c>
      <c r="L329" s="4">
        <v>9.39</v>
      </c>
      <c r="M329" s="4">
        <v>5803.56</v>
      </c>
      <c r="N329" s="4">
        <v>5804.0</v>
      </c>
      <c r="O329" s="4">
        <v>481732.0</v>
      </c>
      <c r="P329" s="4">
        <f t="shared" si="1"/>
        <v>57.41666667</v>
      </c>
      <c r="Q329" s="4" t="str">
        <f t="shared" si="2"/>
        <v>Normal</v>
      </c>
      <c r="R329" s="1" t="str">
        <f t="shared" si="3"/>
        <v>Normal</v>
      </c>
      <c r="S329" s="4">
        <f t="shared" si="4"/>
        <v>165.7185041</v>
      </c>
      <c r="T329" s="1" t="str">
        <f t="shared" si="5"/>
        <v>High Cost</v>
      </c>
      <c r="U329" s="4">
        <f t="shared" si="6"/>
        <v>0.00881610522</v>
      </c>
    </row>
    <row r="330">
      <c r="A330" s="4" t="s">
        <v>783</v>
      </c>
      <c r="B330" s="4" t="s">
        <v>36</v>
      </c>
      <c r="C330" s="4">
        <v>788.1574</v>
      </c>
      <c r="D330" s="4" t="s">
        <v>21</v>
      </c>
      <c r="E330" s="4" t="s">
        <v>27</v>
      </c>
      <c r="F330" s="4">
        <v>13.67</v>
      </c>
      <c r="G330" s="4">
        <v>83.33</v>
      </c>
      <c r="H330" s="4">
        <v>5.7395783635E10</v>
      </c>
      <c r="I330" s="4">
        <v>6.6477797434E10</v>
      </c>
      <c r="J330" s="5">
        <v>45390.30972222222</v>
      </c>
      <c r="K330" s="5">
        <v>45451.705555555556</v>
      </c>
      <c r="L330" s="4">
        <v>2.61</v>
      </c>
      <c r="M330" s="4">
        <v>2057.09</v>
      </c>
      <c r="N330" s="4">
        <v>2057.0</v>
      </c>
      <c r="O330" s="4">
        <v>170731.0</v>
      </c>
      <c r="P330" s="4">
        <f t="shared" si="1"/>
        <v>57.5</v>
      </c>
      <c r="Q330" s="4" t="str">
        <f t="shared" si="2"/>
        <v>Underutilized</v>
      </c>
      <c r="R330" s="1" t="str">
        <f t="shared" si="3"/>
        <v>High</v>
      </c>
      <c r="S330" s="4">
        <f t="shared" si="4"/>
        <v>115.3662624</v>
      </c>
      <c r="T330" s="1" t="str">
        <f t="shared" si="5"/>
        <v>Normal Cost</v>
      </c>
      <c r="U330" s="4">
        <f t="shared" si="6"/>
        <v>0.02840726054</v>
      </c>
    </row>
    <row r="331">
      <c r="A331" s="4" t="s">
        <v>784</v>
      </c>
      <c r="B331" s="4" t="s">
        <v>122</v>
      </c>
      <c r="C331" s="4">
        <v>217.147</v>
      </c>
      <c r="D331" s="4" t="s">
        <v>21</v>
      </c>
      <c r="E331" s="4" t="s">
        <v>27</v>
      </c>
      <c r="F331" s="4">
        <v>27.43</v>
      </c>
      <c r="G331" s="4">
        <v>84.27</v>
      </c>
      <c r="H331" s="4">
        <v>8.3416670685E10</v>
      </c>
      <c r="I331" s="4">
        <v>8.8105164618E10</v>
      </c>
      <c r="J331" s="5">
        <v>45299.26666666667</v>
      </c>
      <c r="K331" s="5">
        <v>45420.075</v>
      </c>
      <c r="L331" s="4">
        <v>7.5</v>
      </c>
      <c r="M331" s="4">
        <v>1628.6</v>
      </c>
      <c r="N331" s="4">
        <v>1629.0</v>
      </c>
      <c r="O331" s="4">
        <v>135207.0</v>
      </c>
      <c r="P331" s="4">
        <f t="shared" si="1"/>
        <v>91.4</v>
      </c>
      <c r="Q331" s="4" t="str">
        <f t="shared" si="2"/>
        <v>Underutilized</v>
      </c>
      <c r="R331" s="1" t="str">
        <f t="shared" si="3"/>
        <v>High</v>
      </c>
      <c r="S331" s="4">
        <f t="shared" si="4"/>
        <v>159.7421573</v>
      </c>
      <c r="T331" s="1" t="str">
        <f t="shared" si="5"/>
        <v>Normal Cost</v>
      </c>
      <c r="U331" s="4">
        <f t="shared" si="6"/>
        <v>0.04130703292</v>
      </c>
    </row>
    <row r="332">
      <c r="A332" s="4" t="s">
        <v>785</v>
      </c>
      <c r="B332" s="4" t="s">
        <v>139</v>
      </c>
      <c r="C332" s="4">
        <v>116.3833</v>
      </c>
      <c r="D332" s="4" t="s">
        <v>42</v>
      </c>
      <c r="E332" s="4" t="s">
        <v>32</v>
      </c>
      <c r="F332" s="4">
        <v>93.19</v>
      </c>
      <c r="G332" s="4">
        <v>83.81</v>
      </c>
      <c r="H332" s="4">
        <v>5.3504390791E10</v>
      </c>
      <c r="I332" s="4">
        <v>5.8269033764E10</v>
      </c>
      <c r="J332" s="4" t="s">
        <v>786</v>
      </c>
      <c r="K332" s="4" t="s">
        <v>787</v>
      </c>
      <c r="L332" s="4">
        <v>5.32</v>
      </c>
      <c r="M332" s="4">
        <v>619.16</v>
      </c>
      <c r="N332" s="4">
        <v>619.0</v>
      </c>
      <c r="O332" s="4">
        <v>51377.0</v>
      </c>
      <c r="P332" s="4">
        <f t="shared" si="1"/>
        <v>116.3833333</v>
      </c>
      <c r="Q332" s="4" t="str">
        <f t="shared" si="2"/>
        <v>High</v>
      </c>
      <c r="R332" s="1" t="str">
        <f t="shared" si="3"/>
        <v>High</v>
      </c>
      <c r="S332" s="4">
        <f t="shared" si="4"/>
        <v>104.0971135</v>
      </c>
      <c r="T332" s="1" t="str">
        <f t="shared" si="5"/>
        <v>Normal Cost</v>
      </c>
      <c r="U332" s="4">
        <f t="shared" si="6"/>
        <v>0.1722560679</v>
      </c>
    </row>
    <row r="333">
      <c r="A333" s="4" t="s">
        <v>788</v>
      </c>
      <c r="B333" s="4" t="s">
        <v>112</v>
      </c>
      <c r="C333" s="4">
        <v>34.35</v>
      </c>
      <c r="D333" s="4" t="s">
        <v>42</v>
      </c>
      <c r="E333" s="4" t="s">
        <v>58</v>
      </c>
      <c r="F333" s="4">
        <v>43.47</v>
      </c>
      <c r="G333" s="4">
        <v>0.06</v>
      </c>
      <c r="H333" s="4">
        <v>6.3239879907E10</v>
      </c>
      <c r="I333" s="4">
        <v>6.5056157071E10</v>
      </c>
      <c r="J333" s="5">
        <v>45390.342361111114</v>
      </c>
      <c r="K333" s="5">
        <v>45420.77361111111</v>
      </c>
      <c r="L333" s="4">
        <v>1.06</v>
      </c>
      <c r="M333" s="4">
        <v>36.41</v>
      </c>
      <c r="N333" s="4">
        <v>36.0</v>
      </c>
      <c r="O333" s="4">
        <v>2988.0</v>
      </c>
      <c r="P333" s="4">
        <f t="shared" si="1"/>
        <v>34.35</v>
      </c>
      <c r="Q333" s="4" t="str">
        <f t="shared" si="2"/>
        <v>Normal</v>
      </c>
      <c r="R333" s="1" t="str">
        <f t="shared" si="3"/>
        <v>Underutilized</v>
      </c>
      <c r="S333" s="4">
        <f t="shared" si="4"/>
        <v>119.4849955</v>
      </c>
      <c r="T333" s="1" t="str">
        <f t="shared" si="5"/>
        <v>Normal Cost</v>
      </c>
      <c r="U333" s="4">
        <f t="shared" si="6"/>
        <v>0.7284136546</v>
      </c>
    </row>
    <row r="334">
      <c r="A334" s="4" t="s">
        <v>789</v>
      </c>
      <c r="B334" s="4" t="s">
        <v>53</v>
      </c>
      <c r="C334" s="4">
        <v>375.6492</v>
      </c>
      <c r="D334" s="4" t="s">
        <v>21</v>
      </c>
      <c r="E334" s="4" t="s">
        <v>155</v>
      </c>
      <c r="F334" s="4">
        <v>29.57</v>
      </c>
      <c r="G334" s="4">
        <v>45.03</v>
      </c>
      <c r="H334" s="4">
        <v>5.0490854855E10</v>
      </c>
      <c r="I334" s="4">
        <v>6.0271962685E10</v>
      </c>
      <c r="J334" s="4" t="s">
        <v>790</v>
      </c>
      <c r="K334" s="4" t="s">
        <v>791</v>
      </c>
      <c r="L334" s="4">
        <v>1.25</v>
      </c>
      <c r="M334" s="4">
        <v>469.56</v>
      </c>
      <c r="N334" s="4">
        <v>470.0</v>
      </c>
      <c r="O334" s="4">
        <v>39010.0</v>
      </c>
      <c r="P334" s="4">
        <f t="shared" si="1"/>
        <v>44.46666667</v>
      </c>
      <c r="Q334" s="4" t="str">
        <f t="shared" si="2"/>
        <v>Underutilized</v>
      </c>
      <c r="R334" s="1" t="str">
        <f t="shared" si="3"/>
        <v>Normal</v>
      </c>
      <c r="S334" s="4">
        <f t="shared" si="4"/>
        <v>103.1559124</v>
      </c>
      <c r="T334" s="1" t="str">
        <f t="shared" si="5"/>
        <v>Normal Cost</v>
      </c>
      <c r="U334" s="4">
        <f t="shared" si="6"/>
        <v>0.09561650859</v>
      </c>
    </row>
    <row r="335">
      <c r="A335" s="4" t="s">
        <v>792</v>
      </c>
      <c r="B335" s="4" t="s">
        <v>139</v>
      </c>
      <c r="C335" s="4">
        <v>73.45</v>
      </c>
      <c r="D335" s="4" t="s">
        <v>42</v>
      </c>
      <c r="E335" s="4" t="s">
        <v>22</v>
      </c>
      <c r="F335" s="4">
        <v>56.31</v>
      </c>
      <c r="G335" s="4">
        <v>71.53</v>
      </c>
      <c r="H335" s="4">
        <v>9.3719184439E10</v>
      </c>
      <c r="I335" s="6">
        <v>1.00431E11</v>
      </c>
      <c r="J335" s="5">
        <v>45390.2</v>
      </c>
      <c r="K335" s="5">
        <v>45481.260416666664</v>
      </c>
      <c r="L335" s="4">
        <v>7.25</v>
      </c>
      <c r="M335" s="4">
        <v>532.51</v>
      </c>
      <c r="N335" s="4">
        <v>533.0</v>
      </c>
      <c r="O335" s="4">
        <v>44239.0</v>
      </c>
      <c r="P335" s="4">
        <f t="shared" si="1"/>
        <v>73.45</v>
      </c>
      <c r="Q335" s="4" t="str">
        <f t="shared" si="2"/>
        <v>Normal</v>
      </c>
      <c r="R335" s="1" t="str">
        <f t="shared" si="3"/>
        <v>Normal</v>
      </c>
      <c r="S335" s="6">
        <f t="shared" si="4"/>
        <v>180.8164496</v>
      </c>
      <c r="T335" s="1" t="str">
        <f t="shared" si="5"/>
        <v>Normal Cost</v>
      </c>
      <c r="U335" s="4">
        <f t="shared" si="6"/>
        <v>0.1444878953</v>
      </c>
    </row>
    <row r="336">
      <c r="A336" s="4" t="s">
        <v>793</v>
      </c>
      <c r="B336" s="4" t="s">
        <v>26</v>
      </c>
      <c r="C336" s="4">
        <v>53.5267</v>
      </c>
      <c r="D336" s="4" t="s">
        <v>17</v>
      </c>
      <c r="E336" s="4" t="s">
        <v>123</v>
      </c>
      <c r="F336" s="4">
        <v>15.56</v>
      </c>
      <c r="G336" s="4">
        <v>49.7</v>
      </c>
      <c r="H336" s="4">
        <v>5.1211702E10</v>
      </c>
      <c r="I336" s="4">
        <v>5.8407799456E10</v>
      </c>
      <c r="J336" s="5">
        <v>45604.09583333333</v>
      </c>
      <c r="K336" s="5">
        <v>45634.45347222222</v>
      </c>
      <c r="L336" s="4">
        <v>9.83</v>
      </c>
      <c r="M336" s="4">
        <v>526.17</v>
      </c>
      <c r="N336" s="4">
        <v>526.0</v>
      </c>
      <c r="O336" s="4">
        <v>43658.0</v>
      </c>
      <c r="P336" s="4">
        <f t="shared" si="1"/>
        <v>32.58333333</v>
      </c>
      <c r="Q336" s="4" t="str">
        <f t="shared" si="2"/>
        <v>Underutilized</v>
      </c>
      <c r="R336" s="1" t="str">
        <f t="shared" si="3"/>
        <v>Normal</v>
      </c>
      <c r="S336" s="4">
        <f t="shared" si="4"/>
        <v>102.0911163</v>
      </c>
      <c r="T336" s="1" t="str">
        <f t="shared" si="5"/>
        <v>Normal Cost</v>
      </c>
      <c r="U336" s="4">
        <f t="shared" si="6"/>
        <v>0.07474002474</v>
      </c>
    </row>
    <row r="337">
      <c r="A337" s="4" t="s">
        <v>794</v>
      </c>
      <c r="B337" s="4" t="s">
        <v>147</v>
      </c>
      <c r="C337" s="4">
        <v>64.4</v>
      </c>
      <c r="D337" s="4" t="s">
        <v>42</v>
      </c>
      <c r="E337" s="4" t="s">
        <v>155</v>
      </c>
      <c r="F337" s="4">
        <v>73.65</v>
      </c>
      <c r="G337" s="4">
        <v>78.18</v>
      </c>
      <c r="H337" s="4">
        <v>7.858161709E9</v>
      </c>
      <c r="I337" s="4">
        <v>1.102079631E10</v>
      </c>
      <c r="J337" s="5">
        <v>45511.461805555555</v>
      </c>
      <c r="K337" s="5">
        <v>45603.14513888889</v>
      </c>
      <c r="L337" s="4">
        <v>3.67</v>
      </c>
      <c r="M337" s="4">
        <v>236.35</v>
      </c>
      <c r="N337" s="4">
        <v>236.0</v>
      </c>
      <c r="O337" s="4">
        <v>19588.0</v>
      </c>
      <c r="P337" s="4">
        <f t="shared" si="1"/>
        <v>64.4</v>
      </c>
      <c r="Q337" s="4" t="str">
        <f t="shared" si="2"/>
        <v>High</v>
      </c>
      <c r="R337" s="1" t="str">
        <f t="shared" si="3"/>
        <v>High</v>
      </c>
      <c r="S337" s="4">
        <f t="shared" si="4"/>
        <v>17.58239979</v>
      </c>
      <c r="T337" s="1" t="str">
        <f t="shared" si="5"/>
        <v>Normal Cost</v>
      </c>
      <c r="U337" s="4">
        <f t="shared" si="6"/>
        <v>0.3875587094</v>
      </c>
    </row>
    <row r="338">
      <c r="A338" s="4" t="s">
        <v>795</v>
      </c>
      <c r="B338" s="4" t="s">
        <v>53</v>
      </c>
      <c r="C338" s="4">
        <v>335.9038</v>
      </c>
      <c r="D338" s="4" t="s">
        <v>21</v>
      </c>
      <c r="E338" s="4" t="s">
        <v>37</v>
      </c>
      <c r="F338" s="4">
        <v>63.9</v>
      </c>
      <c r="G338" s="4">
        <v>21.88</v>
      </c>
      <c r="H338" s="4">
        <v>9.5554380366E10</v>
      </c>
      <c r="I338" s="4">
        <v>9.8928289894E10</v>
      </c>
      <c r="J338" s="5">
        <v>45299.069444444445</v>
      </c>
      <c r="K338" s="5">
        <v>45330.52361111111</v>
      </c>
      <c r="L338" s="4">
        <v>2.1</v>
      </c>
      <c r="M338" s="4">
        <v>705.4</v>
      </c>
      <c r="N338" s="4">
        <v>705.0</v>
      </c>
      <c r="O338" s="4">
        <v>58515.0</v>
      </c>
      <c r="P338" s="4">
        <f t="shared" si="1"/>
        <v>34.9</v>
      </c>
      <c r="Q338" s="4" t="str">
        <f t="shared" si="2"/>
        <v>Normal</v>
      </c>
      <c r="R338" s="1" t="str">
        <f t="shared" si="3"/>
        <v>Underutilized</v>
      </c>
      <c r="S338" s="4">
        <f t="shared" si="4"/>
        <v>181.1261012</v>
      </c>
      <c r="T338" s="1" t="str">
        <f t="shared" si="5"/>
        <v>Normal Cost</v>
      </c>
      <c r="U338" s="4">
        <f t="shared" si="6"/>
        <v>0.0732974451</v>
      </c>
    </row>
    <row r="339">
      <c r="A339" s="4" t="s">
        <v>796</v>
      </c>
      <c r="B339" s="4" t="s">
        <v>20</v>
      </c>
      <c r="C339" s="4">
        <v>290.508</v>
      </c>
      <c r="D339" s="4" t="s">
        <v>17</v>
      </c>
      <c r="E339" s="4" t="s">
        <v>105</v>
      </c>
      <c r="F339" s="4">
        <v>64.4</v>
      </c>
      <c r="G339" s="4">
        <v>61.47</v>
      </c>
      <c r="H339" s="4">
        <v>8.2517483439E10</v>
      </c>
      <c r="I339" s="4">
        <v>9.0231208571E10</v>
      </c>
      <c r="J339" s="5">
        <v>45329.356944444444</v>
      </c>
      <c r="K339" s="5">
        <v>45450.65555555555</v>
      </c>
      <c r="L339" s="4">
        <v>9.99</v>
      </c>
      <c r="M339" s="4">
        <v>2902.17</v>
      </c>
      <c r="N339" s="4">
        <v>2902.0</v>
      </c>
      <c r="O339" s="4">
        <v>240866.0</v>
      </c>
      <c r="P339" s="4">
        <f t="shared" si="1"/>
        <v>103.1666667</v>
      </c>
      <c r="Q339" s="4" t="str">
        <f t="shared" si="2"/>
        <v>Normal</v>
      </c>
      <c r="R339" s="1" t="str">
        <f t="shared" si="3"/>
        <v>Normal</v>
      </c>
      <c r="S339" s="4">
        <f t="shared" si="4"/>
        <v>160.8847566</v>
      </c>
      <c r="T339" s="1" t="str">
        <f t="shared" si="5"/>
        <v>High Cost</v>
      </c>
      <c r="U339" s="4">
        <f t="shared" si="6"/>
        <v>0.02612863584</v>
      </c>
    </row>
    <row r="340">
      <c r="A340" s="4" t="s">
        <v>797</v>
      </c>
      <c r="B340" s="4" t="s">
        <v>57</v>
      </c>
      <c r="C340" s="4">
        <v>998.0055</v>
      </c>
      <c r="D340" s="4" t="s">
        <v>17</v>
      </c>
      <c r="E340" s="4" t="s">
        <v>54</v>
      </c>
      <c r="F340" s="4">
        <v>72.52</v>
      </c>
      <c r="G340" s="4">
        <v>76.42</v>
      </c>
      <c r="H340" s="4">
        <v>7.1141485983E10</v>
      </c>
      <c r="I340" s="4">
        <v>7.3658693575E10</v>
      </c>
      <c r="J340" s="4" t="s">
        <v>798</v>
      </c>
      <c r="K340" s="4" t="s">
        <v>799</v>
      </c>
      <c r="L340" s="4">
        <v>5.54</v>
      </c>
      <c r="M340" s="4">
        <v>5528.95</v>
      </c>
      <c r="N340" s="4">
        <v>5529.0</v>
      </c>
      <c r="O340" s="4">
        <v>458907.0</v>
      </c>
      <c r="P340" s="4">
        <f t="shared" si="1"/>
        <v>100.8</v>
      </c>
      <c r="Q340" s="4" t="str">
        <f t="shared" si="2"/>
        <v>High</v>
      </c>
      <c r="R340" s="1" t="str">
        <f t="shared" si="3"/>
        <v>High</v>
      </c>
      <c r="S340" s="4">
        <f t="shared" si="4"/>
        <v>134.855676</v>
      </c>
      <c r="T340" s="1" t="str">
        <f t="shared" si="5"/>
        <v>High Cost</v>
      </c>
      <c r="U340" s="4">
        <f t="shared" si="6"/>
        <v>0.01622768883</v>
      </c>
    </row>
    <row r="341">
      <c r="A341" s="4" t="s">
        <v>800</v>
      </c>
      <c r="B341" s="4" t="s">
        <v>60</v>
      </c>
      <c r="C341" s="4">
        <v>129.6833</v>
      </c>
      <c r="D341" s="4" t="s">
        <v>42</v>
      </c>
      <c r="E341" s="4" t="s">
        <v>74</v>
      </c>
      <c r="F341" s="4">
        <v>43.54</v>
      </c>
      <c r="G341" s="4">
        <v>40.44</v>
      </c>
      <c r="H341" s="4">
        <v>8.3812667148E10</v>
      </c>
      <c r="I341" s="4">
        <v>9.034736429E10</v>
      </c>
      <c r="J341" s="4" t="s">
        <v>801</v>
      </c>
      <c r="K341" s="4" t="s">
        <v>802</v>
      </c>
      <c r="L341" s="4">
        <v>6.1</v>
      </c>
      <c r="M341" s="4">
        <v>791.07</v>
      </c>
      <c r="N341" s="4">
        <v>791.0</v>
      </c>
      <c r="O341" s="4">
        <v>65653.0</v>
      </c>
      <c r="P341" s="4">
        <f t="shared" si="1"/>
        <v>129.6833333</v>
      </c>
      <c r="Q341" s="4" t="str">
        <f t="shared" si="2"/>
        <v>Normal</v>
      </c>
      <c r="R341" s="1" t="str">
        <f t="shared" si="3"/>
        <v>Normal</v>
      </c>
      <c r="S341" s="4">
        <f t="shared" si="4"/>
        <v>162.1991689</v>
      </c>
      <c r="T341" s="1" t="str">
        <f t="shared" si="5"/>
        <v>Normal Cost</v>
      </c>
      <c r="U341" s="4">
        <f t="shared" si="6"/>
        <v>0.06395747338</v>
      </c>
    </row>
    <row r="342">
      <c r="A342" s="4" t="s">
        <v>803</v>
      </c>
      <c r="B342" s="4" t="s">
        <v>99</v>
      </c>
      <c r="C342" s="4">
        <v>352.7508</v>
      </c>
      <c r="D342" s="4" t="s">
        <v>21</v>
      </c>
      <c r="E342" s="4" t="s">
        <v>105</v>
      </c>
      <c r="F342" s="4">
        <v>2.34</v>
      </c>
      <c r="G342" s="4">
        <v>57.32</v>
      </c>
      <c r="H342" s="4">
        <v>6.503092444E9</v>
      </c>
      <c r="I342" s="4">
        <v>1.0855614594E10</v>
      </c>
      <c r="J342" s="5">
        <v>45511.88125</v>
      </c>
      <c r="K342" s="5">
        <v>45572.59166666667</v>
      </c>
      <c r="L342" s="4">
        <v>4.19</v>
      </c>
      <c r="M342" s="4">
        <v>1478.03</v>
      </c>
      <c r="N342" s="4">
        <v>1478.0</v>
      </c>
      <c r="O342" s="4">
        <v>122674.0</v>
      </c>
      <c r="P342" s="4">
        <f t="shared" si="1"/>
        <v>41.05</v>
      </c>
      <c r="Q342" s="4" t="str">
        <f t="shared" si="2"/>
        <v>Underutilized</v>
      </c>
      <c r="R342" s="1" t="str">
        <f t="shared" si="3"/>
        <v>Normal</v>
      </c>
      <c r="S342" s="4">
        <f t="shared" si="4"/>
        <v>16.16655573</v>
      </c>
      <c r="T342" s="1" t="str">
        <f t="shared" si="5"/>
        <v>Normal Cost</v>
      </c>
      <c r="U342" s="4">
        <f t="shared" si="6"/>
        <v>0.02431648108</v>
      </c>
    </row>
    <row r="343">
      <c r="A343" s="4" t="s">
        <v>804</v>
      </c>
      <c r="B343" s="4" t="s">
        <v>128</v>
      </c>
      <c r="C343" s="4">
        <v>564.102</v>
      </c>
      <c r="D343" s="4" t="s">
        <v>17</v>
      </c>
      <c r="E343" s="4" t="s">
        <v>37</v>
      </c>
      <c r="F343" s="4">
        <v>18.88</v>
      </c>
      <c r="G343" s="4">
        <v>49.82</v>
      </c>
      <c r="H343" s="4">
        <v>3.688312366E9</v>
      </c>
      <c r="I343" s="4">
        <v>4.358233797E9</v>
      </c>
      <c r="J343" s="5">
        <v>45511.69375</v>
      </c>
      <c r="K343" s="5">
        <v>45603.631944444445</v>
      </c>
      <c r="L343" s="4">
        <v>2.9</v>
      </c>
      <c r="M343" s="4">
        <v>1635.9</v>
      </c>
      <c r="N343" s="4">
        <v>1636.0</v>
      </c>
      <c r="O343" s="4">
        <v>135788.0</v>
      </c>
      <c r="P343" s="4">
        <f t="shared" si="1"/>
        <v>70.51666667</v>
      </c>
      <c r="Q343" s="4" t="str">
        <f t="shared" si="2"/>
        <v>Underutilized</v>
      </c>
      <c r="R343" s="1" t="str">
        <f t="shared" si="3"/>
        <v>Normal</v>
      </c>
      <c r="S343" s="4">
        <f t="shared" si="4"/>
        <v>7.493930089</v>
      </c>
      <c r="T343" s="1" t="str">
        <f t="shared" si="5"/>
        <v>Normal Cost</v>
      </c>
      <c r="U343" s="4">
        <f t="shared" si="6"/>
        <v>0.02529678617</v>
      </c>
    </row>
    <row r="344">
      <c r="A344" s="4" t="s">
        <v>805</v>
      </c>
      <c r="B344" s="4" t="s">
        <v>31</v>
      </c>
      <c r="C344" s="4">
        <v>898.8626</v>
      </c>
      <c r="D344" s="4" t="s">
        <v>21</v>
      </c>
      <c r="E344" s="4" t="s">
        <v>74</v>
      </c>
      <c r="F344" s="4">
        <v>2.58</v>
      </c>
      <c r="G344" s="4">
        <v>23.13</v>
      </c>
      <c r="H344" s="4">
        <v>5.3035924242E10</v>
      </c>
      <c r="I344" s="4">
        <v>6.3011001843E10</v>
      </c>
      <c r="J344" s="4" t="s">
        <v>806</v>
      </c>
      <c r="K344" s="4" t="s">
        <v>807</v>
      </c>
      <c r="L344" s="4">
        <v>5.18</v>
      </c>
      <c r="M344" s="4">
        <v>4656.11</v>
      </c>
      <c r="N344" s="4">
        <v>4656.0</v>
      </c>
      <c r="O344" s="4">
        <v>386448.0</v>
      </c>
      <c r="P344" s="4">
        <f t="shared" si="1"/>
        <v>72.4</v>
      </c>
      <c r="Q344" s="4" t="str">
        <f t="shared" si="2"/>
        <v>Underutilized</v>
      </c>
      <c r="R344" s="1" t="str">
        <f t="shared" si="3"/>
        <v>Underutilized</v>
      </c>
      <c r="S344" s="4">
        <f t="shared" si="4"/>
        <v>108.077122</v>
      </c>
      <c r="T344" s="1" t="str">
        <f t="shared" si="5"/>
        <v>High Cost</v>
      </c>
      <c r="U344" s="4">
        <f t="shared" si="6"/>
        <v>0.00332645013</v>
      </c>
    </row>
    <row r="345">
      <c r="A345" s="4" t="s">
        <v>808</v>
      </c>
      <c r="B345" s="4" t="s">
        <v>60</v>
      </c>
      <c r="C345" s="4">
        <v>142.35</v>
      </c>
      <c r="D345" s="4" t="s">
        <v>42</v>
      </c>
      <c r="E345" s="4" t="s">
        <v>155</v>
      </c>
      <c r="F345" s="4">
        <v>79.34</v>
      </c>
      <c r="G345" s="4">
        <v>95.42</v>
      </c>
      <c r="H345" s="4">
        <v>8.6268017228E10</v>
      </c>
      <c r="I345" s="4">
        <v>8.6566473016E10</v>
      </c>
      <c r="J345" s="4" t="s">
        <v>809</v>
      </c>
      <c r="K345" s="4" t="s">
        <v>810</v>
      </c>
      <c r="L345" s="4">
        <v>7.0</v>
      </c>
      <c r="M345" s="4">
        <v>996.45</v>
      </c>
      <c r="N345" s="4">
        <v>996.0</v>
      </c>
      <c r="O345" s="4">
        <v>82668.0</v>
      </c>
      <c r="P345" s="4">
        <f t="shared" si="1"/>
        <v>142.35</v>
      </c>
      <c r="Q345" s="4" t="str">
        <f t="shared" si="2"/>
        <v>High</v>
      </c>
      <c r="R345" s="1" t="str">
        <f t="shared" si="3"/>
        <v>High</v>
      </c>
      <c r="S345" s="4">
        <f t="shared" si="4"/>
        <v>160.9646624</v>
      </c>
      <c r="T345" s="1" t="str">
        <f t="shared" si="5"/>
        <v>Normal Cost</v>
      </c>
      <c r="U345" s="4">
        <f t="shared" si="6"/>
        <v>0.1056999081</v>
      </c>
    </row>
    <row r="346">
      <c r="A346" s="4" t="s">
        <v>811</v>
      </c>
      <c r="B346" s="4" t="s">
        <v>139</v>
      </c>
      <c r="C346" s="4">
        <v>72.1167</v>
      </c>
      <c r="D346" s="4" t="s">
        <v>42</v>
      </c>
      <c r="E346" s="4" t="s">
        <v>54</v>
      </c>
      <c r="F346" s="4">
        <v>30.82</v>
      </c>
      <c r="G346" s="4">
        <v>50.6</v>
      </c>
      <c r="H346" s="4">
        <v>8.9055577237E10</v>
      </c>
      <c r="I346" s="4">
        <v>9.316345914E10</v>
      </c>
      <c r="J346" s="4" t="s">
        <v>812</v>
      </c>
      <c r="K346" s="4" t="s">
        <v>813</v>
      </c>
      <c r="L346" s="4">
        <v>8.17</v>
      </c>
      <c r="M346" s="4">
        <v>589.19</v>
      </c>
      <c r="N346" s="4">
        <v>589.0</v>
      </c>
      <c r="O346" s="4">
        <v>48887.0</v>
      </c>
      <c r="P346" s="4">
        <f t="shared" si="1"/>
        <v>72.11666667</v>
      </c>
      <c r="Q346" s="4" t="str">
        <f t="shared" si="2"/>
        <v>Normal</v>
      </c>
      <c r="R346" s="1" t="str">
        <f t="shared" si="3"/>
        <v>Normal</v>
      </c>
      <c r="S346" s="4">
        <f t="shared" si="4"/>
        <v>169.7047021</v>
      </c>
      <c r="T346" s="1" t="str">
        <f t="shared" si="5"/>
        <v>Normal Cost</v>
      </c>
      <c r="U346" s="4">
        <f t="shared" si="6"/>
        <v>0.08327367194</v>
      </c>
    </row>
    <row r="347">
      <c r="A347" s="4" t="s">
        <v>814</v>
      </c>
      <c r="B347" s="4" t="s">
        <v>166</v>
      </c>
      <c r="C347" s="4">
        <v>342.8746</v>
      </c>
      <c r="D347" s="4" t="s">
        <v>17</v>
      </c>
      <c r="E347" s="4" t="s">
        <v>54</v>
      </c>
      <c r="F347" s="4">
        <v>55.67</v>
      </c>
      <c r="G347" s="4">
        <v>44.48</v>
      </c>
      <c r="H347" s="4">
        <v>4.2891926185E10</v>
      </c>
      <c r="I347" s="4">
        <v>4.6557880799E10</v>
      </c>
      <c r="J347" s="4" t="s">
        <v>815</v>
      </c>
      <c r="K347" s="4" t="s">
        <v>816</v>
      </c>
      <c r="L347" s="4">
        <v>7.65</v>
      </c>
      <c r="M347" s="4">
        <v>2622.99</v>
      </c>
      <c r="N347" s="4">
        <v>2623.0</v>
      </c>
      <c r="O347" s="4">
        <v>217709.0</v>
      </c>
      <c r="P347" s="4">
        <f t="shared" si="1"/>
        <v>91.43333333</v>
      </c>
      <c r="Q347" s="4" t="str">
        <f t="shared" si="2"/>
        <v>Normal</v>
      </c>
      <c r="R347" s="1" t="str">
        <f t="shared" si="3"/>
        <v>Normal</v>
      </c>
      <c r="S347" s="4">
        <f t="shared" si="4"/>
        <v>83.30662454</v>
      </c>
      <c r="T347" s="1" t="str">
        <f t="shared" si="5"/>
        <v>High Cost</v>
      </c>
      <c r="U347" s="4">
        <f t="shared" si="6"/>
        <v>0.0230008865</v>
      </c>
    </row>
    <row r="348">
      <c r="A348" s="4" t="s">
        <v>817</v>
      </c>
      <c r="B348" s="4" t="s">
        <v>62</v>
      </c>
      <c r="C348" s="4">
        <v>104.4167</v>
      </c>
      <c r="D348" s="4" t="s">
        <v>42</v>
      </c>
      <c r="E348" s="4" t="s">
        <v>155</v>
      </c>
      <c r="F348" s="4">
        <v>77.76</v>
      </c>
      <c r="G348" s="4">
        <v>26.69</v>
      </c>
      <c r="H348" s="4">
        <v>4.6183519043E10</v>
      </c>
      <c r="I348" s="4">
        <v>5.2895790556E10</v>
      </c>
      <c r="J348" s="5">
        <v>45511.94305555556</v>
      </c>
      <c r="K348" s="4" t="s">
        <v>818</v>
      </c>
      <c r="L348" s="4">
        <v>4.06</v>
      </c>
      <c r="M348" s="4">
        <v>423.93</v>
      </c>
      <c r="N348" s="4">
        <v>424.0</v>
      </c>
      <c r="O348" s="4">
        <v>35192.0</v>
      </c>
      <c r="P348" s="4">
        <f t="shared" si="1"/>
        <v>104.4166667</v>
      </c>
      <c r="Q348" s="4" t="str">
        <f t="shared" si="2"/>
        <v>High</v>
      </c>
      <c r="R348" s="1" t="str">
        <f t="shared" si="3"/>
        <v>Underutilized</v>
      </c>
      <c r="S348" s="4">
        <f t="shared" si="4"/>
        <v>92.27479771</v>
      </c>
      <c r="T348" s="1" t="str">
        <f t="shared" si="5"/>
        <v>Normal Cost</v>
      </c>
      <c r="U348" s="4">
        <f t="shared" si="6"/>
        <v>0.1484002046</v>
      </c>
    </row>
    <row r="349">
      <c r="A349" s="4" t="s">
        <v>819</v>
      </c>
      <c r="B349" s="4" t="s">
        <v>139</v>
      </c>
      <c r="C349" s="4">
        <v>98.75</v>
      </c>
      <c r="D349" s="4" t="s">
        <v>42</v>
      </c>
      <c r="E349" s="4" t="s">
        <v>22</v>
      </c>
      <c r="F349" s="4">
        <v>82.78</v>
      </c>
      <c r="G349" s="4">
        <v>31.85</v>
      </c>
      <c r="H349" s="4">
        <v>5.8779022555E10</v>
      </c>
      <c r="I349" s="4">
        <v>6.8138790366E10</v>
      </c>
      <c r="J349" s="4" t="s">
        <v>820</v>
      </c>
      <c r="K349" s="5">
        <v>45390.07430555556</v>
      </c>
      <c r="L349" s="4">
        <v>8.69</v>
      </c>
      <c r="M349" s="4">
        <v>858.14</v>
      </c>
      <c r="N349" s="4">
        <v>858.0</v>
      </c>
      <c r="O349" s="4">
        <v>71214.0</v>
      </c>
      <c r="P349" s="4">
        <f t="shared" si="1"/>
        <v>98.75</v>
      </c>
      <c r="Q349" s="4" t="str">
        <f t="shared" si="2"/>
        <v>High</v>
      </c>
      <c r="R349" s="1" t="str">
        <f t="shared" si="3"/>
        <v>Underutilized</v>
      </c>
      <c r="S349" s="4">
        <f t="shared" si="4"/>
        <v>118.2014243</v>
      </c>
      <c r="T349" s="1" t="str">
        <f t="shared" si="5"/>
        <v>Normal Cost</v>
      </c>
      <c r="U349" s="4">
        <f t="shared" si="6"/>
        <v>0.08048277024</v>
      </c>
    </row>
    <row r="350">
      <c r="A350" s="4" t="s">
        <v>821</v>
      </c>
      <c r="B350" s="4" t="s">
        <v>41</v>
      </c>
      <c r="C350" s="4">
        <v>29.9333</v>
      </c>
      <c r="D350" s="4" t="s">
        <v>42</v>
      </c>
      <c r="E350" s="4" t="s">
        <v>37</v>
      </c>
      <c r="F350" s="4">
        <v>33.42</v>
      </c>
      <c r="G350" s="4">
        <v>31.61</v>
      </c>
      <c r="H350" s="4">
        <v>6.2393207408E10</v>
      </c>
      <c r="I350" s="4">
        <v>6.4076790752E10</v>
      </c>
      <c r="J350" s="4" t="s">
        <v>822</v>
      </c>
      <c r="K350" s="4" t="s">
        <v>823</v>
      </c>
      <c r="L350" s="4">
        <v>9.71</v>
      </c>
      <c r="M350" s="4">
        <v>290.65</v>
      </c>
      <c r="N350" s="4">
        <v>291.0</v>
      </c>
      <c r="O350" s="4">
        <v>24153.0</v>
      </c>
      <c r="P350" s="4">
        <f t="shared" si="1"/>
        <v>29.93333333</v>
      </c>
      <c r="Q350" s="4" t="str">
        <f t="shared" si="2"/>
        <v>Normal</v>
      </c>
      <c r="R350" s="1" t="str">
        <f t="shared" si="3"/>
        <v>Underutilized</v>
      </c>
      <c r="S350" s="4">
        <f t="shared" si="4"/>
        <v>117.7843643</v>
      </c>
      <c r="T350" s="1" t="str">
        <f t="shared" si="5"/>
        <v>Normal Cost</v>
      </c>
      <c r="U350" s="4">
        <f t="shared" si="6"/>
        <v>0.1346209581</v>
      </c>
    </row>
    <row r="351">
      <c r="A351" s="4" t="s">
        <v>824</v>
      </c>
      <c r="B351" s="4" t="s">
        <v>31</v>
      </c>
      <c r="C351" s="4">
        <v>247.0655</v>
      </c>
      <c r="D351" s="4" t="s">
        <v>17</v>
      </c>
      <c r="E351" s="4" t="s">
        <v>58</v>
      </c>
      <c r="F351" s="4">
        <v>79.69</v>
      </c>
      <c r="G351" s="4">
        <v>67.46</v>
      </c>
      <c r="H351" s="4">
        <v>1.9398010695E10</v>
      </c>
      <c r="I351" s="4">
        <v>2.3641523168E10</v>
      </c>
      <c r="J351" s="4" t="s">
        <v>825</v>
      </c>
      <c r="K351" s="4" t="s">
        <v>826</v>
      </c>
      <c r="L351" s="4">
        <v>7.93</v>
      </c>
      <c r="M351" s="4">
        <v>1959.23</v>
      </c>
      <c r="N351" s="4">
        <v>1959.0</v>
      </c>
      <c r="O351" s="4">
        <v>162597.0</v>
      </c>
      <c r="P351" s="4">
        <f t="shared" si="1"/>
        <v>88.91666667</v>
      </c>
      <c r="Q351" s="4" t="str">
        <f t="shared" si="2"/>
        <v>High</v>
      </c>
      <c r="R351" s="1" t="str">
        <f t="shared" si="3"/>
        <v>Normal</v>
      </c>
      <c r="S351" s="4">
        <f t="shared" si="4"/>
        <v>40.08368949</v>
      </c>
      <c r="T351" s="1" t="str">
        <f t="shared" si="5"/>
        <v>Normal Cost</v>
      </c>
      <c r="U351" s="4">
        <f t="shared" si="6"/>
        <v>0.04524991236</v>
      </c>
    </row>
    <row r="352">
      <c r="A352" s="4" t="s">
        <v>827</v>
      </c>
      <c r="B352" s="4" t="s">
        <v>99</v>
      </c>
      <c r="C352" s="4">
        <v>529.6849</v>
      </c>
      <c r="D352" s="4" t="s">
        <v>21</v>
      </c>
      <c r="E352" s="4" t="s">
        <v>155</v>
      </c>
      <c r="F352" s="4">
        <v>65.42</v>
      </c>
      <c r="G352" s="4">
        <v>29.42</v>
      </c>
      <c r="H352" s="4">
        <v>5.1345086472E10</v>
      </c>
      <c r="I352" s="4">
        <v>5.4488299958E10</v>
      </c>
      <c r="J352" s="4" t="s">
        <v>828</v>
      </c>
      <c r="K352" s="4" t="s">
        <v>829</v>
      </c>
      <c r="L352" s="4">
        <v>4.64</v>
      </c>
      <c r="M352" s="4">
        <v>2457.74</v>
      </c>
      <c r="N352" s="4">
        <v>2458.0</v>
      </c>
      <c r="O352" s="4">
        <v>204014.0</v>
      </c>
      <c r="P352" s="4">
        <f t="shared" si="1"/>
        <v>115.2166667</v>
      </c>
      <c r="Q352" s="4" t="str">
        <f t="shared" si="2"/>
        <v>Normal</v>
      </c>
      <c r="R352" s="1" t="str">
        <f t="shared" si="3"/>
        <v>Underutilized</v>
      </c>
      <c r="S352" s="4">
        <f t="shared" si="4"/>
        <v>98.56502193</v>
      </c>
      <c r="T352" s="1" t="str">
        <f t="shared" si="5"/>
        <v>High Cost</v>
      </c>
      <c r="U352" s="4">
        <f t="shared" si="6"/>
        <v>0.0232435029</v>
      </c>
    </row>
    <row r="353">
      <c r="A353" s="4" t="s">
        <v>830</v>
      </c>
      <c r="B353" s="4" t="s">
        <v>147</v>
      </c>
      <c r="C353" s="4">
        <v>45.7667</v>
      </c>
      <c r="D353" s="4" t="s">
        <v>42</v>
      </c>
      <c r="E353" s="4" t="s">
        <v>155</v>
      </c>
      <c r="F353" s="4">
        <v>92.04</v>
      </c>
      <c r="G353" s="4">
        <v>82.45</v>
      </c>
      <c r="H353" s="4">
        <v>3.1573493695E10</v>
      </c>
      <c r="I353" s="4">
        <v>3.8621208749E10</v>
      </c>
      <c r="J353" s="5">
        <v>45603.31180555555</v>
      </c>
      <c r="K353" s="4" t="s">
        <v>831</v>
      </c>
      <c r="L353" s="4">
        <v>5.52</v>
      </c>
      <c r="M353" s="4">
        <v>252.63</v>
      </c>
      <c r="N353" s="4">
        <v>253.0</v>
      </c>
      <c r="O353" s="4">
        <v>20999.0</v>
      </c>
      <c r="P353" s="4">
        <f t="shared" si="1"/>
        <v>45.76666667</v>
      </c>
      <c r="Q353" s="4" t="str">
        <f t="shared" si="2"/>
        <v>High</v>
      </c>
      <c r="R353" s="1" t="str">
        <f t="shared" si="3"/>
        <v>High</v>
      </c>
      <c r="S353" s="4">
        <f t="shared" si="4"/>
        <v>65.373911</v>
      </c>
      <c r="T353" s="1" t="str">
        <f t="shared" si="5"/>
        <v>Normal Cost</v>
      </c>
      <c r="U353" s="4">
        <f t="shared" si="6"/>
        <v>0.4154721653</v>
      </c>
    </row>
    <row r="354">
      <c r="A354" s="4" t="s">
        <v>832</v>
      </c>
      <c r="B354" s="4" t="s">
        <v>26</v>
      </c>
      <c r="C354" s="4">
        <v>123.1474</v>
      </c>
      <c r="D354" s="4" t="s">
        <v>21</v>
      </c>
      <c r="E354" s="4" t="s">
        <v>105</v>
      </c>
      <c r="F354" s="4">
        <v>18.99</v>
      </c>
      <c r="G354" s="4">
        <v>59.28</v>
      </c>
      <c r="H354" s="4">
        <v>5.4377988584E10</v>
      </c>
      <c r="I354" s="4">
        <v>5.8507427252E10</v>
      </c>
      <c r="J354" s="5">
        <v>45634.07430555556</v>
      </c>
      <c r="K354" s="4" t="s">
        <v>833</v>
      </c>
      <c r="L354" s="4">
        <v>6.31</v>
      </c>
      <c r="M354" s="4">
        <v>777.06</v>
      </c>
      <c r="N354" s="4">
        <v>777.0</v>
      </c>
      <c r="O354" s="4">
        <v>64491.0</v>
      </c>
      <c r="P354" s="4">
        <f t="shared" si="1"/>
        <v>117.2</v>
      </c>
      <c r="Q354" s="4" t="str">
        <f t="shared" si="2"/>
        <v>Underutilized</v>
      </c>
      <c r="R354" s="1" t="str">
        <f t="shared" si="3"/>
        <v>Normal</v>
      </c>
      <c r="S354" s="4">
        <f t="shared" si="4"/>
        <v>105.1327361</v>
      </c>
      <c r="T354" s="1" t="str">
        <f t="shared" si="5"/>
        <v>Normal Cost</v>
      </c>
      <c r="U354" s="4">
        <f t="shared" si="6"/>
        <v>0.06068288598</v>
      </c>
    </row>
    <row r="355">
      <c r="A355" s="4" t="s">
        <v>834</v>
      </c>
      <c r="B355" s="4" t="s">
        <v>169</v>
      </c>
      <c r="C355" s="4">
        <v>415.0475</v>
      </c>
      <c r="D355" s="4" t="s">
        <v>21</v>
      </c>
      <c r="E355" s="4" t="s">
        <v>105</v>
      </c>
      <c r="F355" s="4">
        <v>65.15</v>
      </c>
      <c r="G355" s="4">
        <v>81.42</v>
      </c>
      <c r="H355" s="4">
        <v>6.1746897051E10</v>
      </c>
      <c r="I355" s="4">
        <v>6.8053505667E10</v>
      </c>
      <c r="J355" s="5">
        <v>45604.02777777778</v>
      </c>
      <c r="K355" s="4" t="s">
        <v>835</v>
      </c>
      <c r="L355" s="4">
        <v>1.33</v>
      </c>
      <c r="M355" s="4">
        <v>552.01</v>
      </c>
      <c r="N355" s="4">
        <v>552.0</v>
      </c>
      <c r="O355" s="4">
        <v>45816.0</v>
      </c>
      <c r="P355" s="4">
        <f t="shared" si="1"/>
        <v>139.8833333</v>
      </c>
      <c r="Q355" s="4" t="str">
        <f t="shared" si="2"/>
        <v>Normal</v>
      </c>
      <c r="R355" s="1" t="str">
        <f t="shared" si="3"/>
        <v>High</v>
      </c>
      <c r="S355" s="4">
        <f t="shared" si="4"/>
        <v>120.8860452</v>
      </c>
      <c r="T355" s="1" t="str">
        <f t="shared" si="5"/>
        <v>Normal Cost</v>
      </c>
      <c r="U355" s="4">
        <f t="shared" si="6"/>
        <v>0.1599550375</v>
      </c>
    </row>
    <row r="356">
      <c r="A356" s="4" t="s">
        <v>836</v>
      </c>
      <c r="B356" s="4" t="s">
        <v>83</v>
      </c>
      <c r="C356" s="4">
        <v>562.1492</v>
      </c>
      <c r="D356" s="4" t="s">
        <v>21</v>
      </c>
      <c r="E356" s="4" t="s">
        <v>37</v>
      </c>
      <c r="F356" s="4">
        <v>10.79</v>
      </c>
      <c r="G356" s="4">
        <v>45.08</v>
      </c>
      <c r="H356" s="4">
        <v>6.6518850001E10</v>
      </c>
      <c r="I356" s="4">
        <v>7.3243258909E10</v>
      </c>
      <c r="J356" s="4" t="s">
        <v>837</v>
      </c>
      <c r="K356" s="4" t="s">
        <v>838</v>
      </c>
      <c r="L356" s="4">
        <v>8.23</v>
      </c>
      <c r="M356" s="4">
        <v>4626.49</v>
      </c>
      <c r="N356" s="4">
        <v>4626.0</v>
      </c>
      <c r="O356" s="4">
        <v>383958.0</v>
      </c>
      <c r="P356" s="4">
        <f t="shared" si="1"/>
        <v>74.6</v>
      </c>
      <c r="Q356" s="4" t="str">
        <f t="shared" si="2"/>
        <v>Underutilized</v>
      </c>
      <c r="R356" s="1" t="str">
        <f t="shared" si="3"/>
        <v>Normal</v>
      </c>
      <c r="S356" s="4">
        <f t="shared" si="4"/>
        <v>130.1636071</v>
      </c>
      <c r="T356" s="1" t="str">
        <f t="shared" si="5"/>
        <v>High Cost</v>
      </c>
      <c r="U356" s="4">
        <f t="shared" si="6"/>
        <v>0.007275535345</v>
      </c>
    </row>
    <row r="357">
      <c r="A357" s="4" t="s">
        <v>839</v>
      </c>
      <c r="B357" s="4" t="s">
        <v>122</v>
      </c>
      <c r="C357" s="4">
        <v>411.0275</v>
      </c>
      <c r="D357" s="4" t="s">
        <v>17</v>
      </c>
      <c r="E357" s="4" t="s">
        <v>22</v>
      </c>
      <c r="F357" s="4">
        <v>57.33</v>
      </c>
      <c r="G357" s="4">
        <v>79.37</v>
      </c>
      <c r="H357" s="4">
        <v>6.5136667002E10</v>
      </c>
      <c r="I357" s="4">
        <v>7.3782969971E10</v>
      </c>
      <c r="J357" s="4" t="s">
        <v>840</v>
      </c>
      <c r="K357" s="4" t="s">
        <v>841</v>
      </c>
      <c r="L357" s="4">
        <v>3.2</v>
      </c>
      <c r="M357" s="4">
        <v>1315.29</v>
      </c>
      <c r="N357" s="4">
        <v>1315.0</v>
      </c>
      <c r="O357" s="4">
        <v>109145.0</v>
      </c>
      <c r="P357" s="4">
        <f t="shared" si="1"/>
        <v>82.51666667</v>
      </c>
      <c r="Q357" s="4" t="str">
        <f t="shared" si="2"/>
        <v>Normal</v>
      </c>
      <c r="R357" s="1" t="str">
        <f t="shared" si="3"/>
        <v>High</v>
      </c>
      <c r="S357" s="4">
        <f t="shared" si="4"/>
        <v>129.378994</v>
      </c>
      <c r="T357" s="1" t="str">
        <f t="shared" si="5"/>
        <v>Normal Cost</v>
      </c>
      <c r="U357" s="4">
        <f t="shared" si="6"/>
        <v>0.06262311604</v>
      </c>
    </row>
    <row r="358">
      <c r="A358" s="4" t="s">
        <v>842</v>
      </c>
      <c r="B358" s="4" t="s">
        <v>31</v>
      </c>
      <c r="C358" s="4">
        <v>137.2256</v>
      </c>
      <c r="D358" s="4" t="s">
        <v>17</v>
      </c>
      <c r="E358" s="4" t="s">
        <v>32</v>
      </c>
      <c r="F358" s="4">
        <v>62.81</v>
      </c>
      <c r="G358" s="4">
        <v>7.46</v>
      </c>
      <c r="H358" s="4">
        <v>9.263934936E10</v>
      </c>
      <c r="I358" s="4">
        <v>9.6100658663E10</v>
      </c>
      <c r="J358" s="4" t="s">
        <v>843</v>
      </c>
      <c r="K358" s="4" t="s">
        <v>844</v>
      </c>
      <c r="L358" s="4">
        <v>9.68</v>
      </c>
      <c r="M358" s="4">
        <v>1328.34</v>
      </c>
      <c r="N358" s="4">
        <v>1328.0</v>
      </c>
      <c r="O358" s="4">
        <v>110224.0</v>
      </c>
      <c r="P358" s="4">
        <f t="shared" si="1"/>
        <v>139.6833333</v>
      </c>
      <c r="Q358" s="4" t="str">
        <f t="shared" si="2"/>
        <v>Normal</v>
      </c>
      <c r="R358" s="1" t="str">
        <f t="shared" si="3"/>
        <v>Underutilized</v>
      </c>
      <c r="S358" s="4">
        <f t="shared" si="4"/>
        <v>175.7778302</v>
      </c>
      <c r="T358" s="1" t="str">
        <f t="shared" si="5"/>
        <v>Normal Cost</v>
      </c>
      <c r="U358" s="4">
        <f t="shared" si="6"/>
        <v>0.03187599797</v>
      </c>
    </row>
    <row r="359">
      <c r="A359" s="4" t="s">
        <v>845</v>
      </c>
      <c r="B359" s="4" t="s">
        <v>166</v>
      </c>
      <c r="C359" s="4">
        <v>28.625</v>
      </c>
      <c r="D359" s="4" t="s">
        <v>21</v>
      </c>
      <c r="E359" s="4" t="s">
        <v>37</v>
      </c>
      <c r="F359" s="4">
        <v>62.21</v>
      </c>
      <c r="G359" s="4">
        <v>85.89</v>
      </c>
      <c r="H359" s="4">
        <v>1.376717326E10</v>
      </c>
      <c r="I359" s="4">
        <v>2.3195002465E10</v>
      </c>
      <c r="J359" s="5">
        <v>45358.19930555556</v>
      </c>
      <c r="K359" s="5">
        <v>45389.711805555555</v>
      </c>
      <c r="L359" s="4">
        <v>3.13</v>
      </c>
      <c r="M359" s="4">
        <v>89.6</v>
      </c>
      <c r="N359" s="4">
        <v>90.0</v>
      </c>
      <c r="O359" s="4">
        <v>7470.0</v>
      </c>
      <c r="P359" s="4">
        <f t="shared" si="1"/>
        <v>36.3</v>
      </c>
      <c r="Q359" s="4" t="str">
        <f t="shared" si="2"/>
        <v>Normal</v>
      </c>
      <c r="R359" s="1" t="str">
        <f t="shared" si="3"/>
        <v>High</v>
      </c>
      <c r="S359" s="4">
        <f t="shared" si="4"/>
        <v>34.42370866</v>
      </c>
      <c r="T359" s="1" t="str">
        <f t="shared" si="5"/>
        <v>Normal Cost</v>
      </c>
      <c r="U359" s="4">
        <f t="shared" si="6"/>
        <v>0.9912985274</v>
      </c>
    </row>
    <row r="360">
      <c r="A360" s="4" t="s">
        <v>846</v>
      </c>
      <c r="B360" s="4" t="s">
        <v>66</v>
      </c>
      <c r="C360" s="4">
        <v>410.1007</v>
      </c>
      <c r="D360" s="4" t="s">
        <v>17</v>
      </c>
      <c r="E360" s="4" t="s">
        <v>74</v>
      </c>
      <c r="F360" s="4">
        <v>22.24</v>
      </c>
      <c r="G360" s="4">
        <v>91.03</v>
      </c>
      <c r="H360" s="4">
        <v>7.1907689924E10</v>
      </c>
      <c r="I360" s="4">
        <v>7.4007087023E10</v>
      </c>
      <c r="J360" s="5">
        <v>45604.07638888889</v>
      </c>
      <c r="K360" s="4" t="s">
        <v>847</v>
      </c>
      <c r="L360" s="4">
        <v>9.57</v>
      </c>
      <c r="M360" s="4">
        <v>3924.66</v>
      </c>
      <c r="N360" s="4">
        <v>3925.0</v>
      </c>
      <c r="O360" s="4">
        <v>325775.0</v>
      </c>
      <c r="P360" s="4">
        <f t="shared" si="1"/>
        <v>115.8833333</v>
      </c>
      <c r="Q360" s="4" t="str">
        <f t="shared" si="2"/>
        <v>Underutilized</v>
      </c>
      <c r="R360" s="1" t="str">
        <f t="shared" si="3"/>
        <v>High</v>
      </c>
      <c r="S360" s="4">
        <f t="shared" si="4"/>
        <v>135.8937257</v>
      </c>
      <c r="T360" s="1" t="str">
        <f t="shared" si="5"/>
        <v>High Cost</v>
      </c>
      <c r="U360" s="4">
        <f t="shared" si="6"/>
        <v>0.01738469803</v>
      </c>
    </row>
    <row r="361">
      <c r="A361" s="4" t="s">
        <v>848</v>
      </c>
      <c r="B361" s="4" t="s">
        <v>166</v>
      </c>
      <c r="C361" s="4">
        <v>930.9815</v>
      </c>
      <c r="D361" s="4" t="s">
        <v>21</v>
      </c>
      <c r="E361" s="4" t="s">
        <v>27</v>
      </c>
      <c r="F361" s="4">
        <v>93.73</v>
      </c>
      <c r="G361" s="4">
        <v>55.25</v>
      </c>
      <c r="H361" s="4">
        <v>2.7914653321E10</v>
      </c>
      <c r="I361" s="4">
        <v>3.5789645194E10</v>
      </c>
      <c r="J361" s="5">
        <v>45573.44305555556</v>
      </c>
      <c r="K361" s="5">
        <v>45634.03611111111</v>
      </c>
      <c r="L361" s="4">
        <v>5.35</v>
      </c>
      <c r="M361" s="4">
        <v>4980.75</v>
      </c>
      <c r="N361" s="4">
        <v>4981.0</v>
      </c>
      <c r="O361" s="4">
        <v>413423.0</v>
      </c>
      <c r="P361" s="4">
        <f t="shared" si="1"/>
        <v>38.23333333</v>
      </c>
      <c r="Q361" s="4" t="str">
        <f t="shared" si="2"/>
        <v>High</v>
      </c>
      <c r="R361" s="1" t="str">
        <f t="shared" si="3"/>
        <v>Normal</v>
      </c>
      <c r="S361" s="4">
        <f t="shared" si="4"/>
        <v>59.32925131</v>
      </c>
      <c r="T361" s="1" t="str">
        <f t="shared" si="5"/>
        <v>High Cost</v>
      </c>
      <c r="U361" s="4">
        <f t="shared" si="6"/>
        <v>0.01801786548</v>
      </c>
    </row>
    <row r="362">
      <c r="A362" s="4" t="s">
        <v>849</v>
      </c>
      <c r="B362" s="4" t="s">
        <v>41</v>
      </c>
      <c r="C362" s="4">
        <v>25.5167</v>
      </c>
      <c r="D362" s="4" t="s">
        <v>42</v>
      </c>
      <c r="E362" s="4" t="s">
        <v>27</v>
      </c>
      <c r="F362" s="4">
        <v>27.55</v>
      </c>
      <c r="G362" s="4">
        <v>95.39</v>
      </c>
      <c r="H362" s="4">
        <v>9.9775084902E10</v>
      </c>
      <c r="I362" s="6">
        <v>1.02755E11</v>
      </c>
      <c r="J362" s="4" t="s">
        <v>850</v>
      </c>
      <c r="K362" s="4" t="s">
        <v>851</v>
      </c>
      <c r="L362" s="4">
        <v>8.34</v>
      </c>
      <c r="M362" s="4">
        <v>212.81</v>
      </c>
      <c r="N362" s="4">
        <v>213.0</v>
      </c>
      <c r="O362" s="4">
        <v>17679.0</v>
      </c>
      <c r="P362" s="4">
        <f t="shared" si="1"/>
        <v>25.51666667</v>
      </c>
      <c r="Q362" s="4" t="str">
        <f t="shared" si="2"/>
        <v>Underutilized</v>
      </c>
      <c r="R362" s="1" t="str">
        <f t="shared" si="3"/>
        <v>High</v>
      </c>
      <c r="S362" s="6">
        <f t="shared" si="4"/>
        <v>188.6208401</v>
      </c>
      <c r="T362" s="1" t="str">
        <f t="shared" si="5"/>
        <v>Normal Cost</v>
      </c>
      <c r="U362" s="4">
        <f t="shared" si="6"/>
        <v>0.3477006618</v>
      </c>
    </row>
    <row r="363">
      <c r="A363" s="4" t="s">
        <v>852</v>
      </c>
      <c r="B363" s="4" t="s">
        <v>16</v>
      </c>
      <c r="C363" s="4">
        <v>707.5327</v>
      </c>
      <c r="D363" s="4" t="s">
        <v>17</v>
      </c>
      <c r="E363" s="4" t="s">
        <v>155</v>
      </c>
      <c r="F363" s="4">
        <v>54.99</v>
      </c>
      <c r="G363" s="4">
        <v>32.47</v>
      </c>
      <c r="H363" s="4">
        <v>8.5654937298E10</v>
      </c>
      <c r="I363" s="4">
        <v>8.8135069507E10</v>
      </c>
      <c r="J363" s="5">
        <v>45634.12222222222</v>
      </c>
      <c r="K363" s="4" t="s">
        <v>853</v>
      </c>
      <c r="L363" s="4">
        <v>3.89</v>
      </c>
      <c r="M363" s="4">
        <v>2752.3</v>
      </c>
      <c r="N363" s="4">
        <v>2752.0</v>
      </c>
      <c r="O363" s="4">
        <v>228416.0</v>
      </c>
      <c r="P363" s="4">
        <f t="shared" si="1"/>
        <v>45.83333333</v>
      </c>
      <c r="Q363" s="4" t="str">
        <f t="shared" si="2"/>
        <v>Normal</v>
      </c>
      <c r="R363" s="1" t="str">
        <f t="shared" si="3"/>
        <v>Underutilized</v>
      </c>
      <c r="S363" s="4">
        <f t="shared" si="4"/>
        <v>161.8545566</v>
      </c>
      <c r="T363" s="1" t="str">
        <f t="shared" si="5"/>
        <v>High Cost</v>
      </c>
      <c r="U363" s="4">
        <f t="shared" si="6"/>
        <v>0.01914489353</v>
      </c>
    </row>
    <row r="364">
      <c r="A364" s="4" t="s">
        <v>854</v>
      </c>
      <c r="B364" s="4" t="s">
        <v>60</v>
      </c>
      <c r="C364" s="4">
        <v>87.4167</v>
      </c>
      <c r="D364" s="4" t="s">
        <v>42</v>
      </c>
      <c r="E364" s="4" t="s">
        <v>32</v>
      </c>
      <c r="F364" s="4">
        <v>41.38</v>
      </c>
      <c r="G364" s="4">
        <v>69.35</v>
      </c>
      <c r="H364" s="4">
        <v>5.4770195468E10</v>
      </c>
      <c r="I364" s="4">
        <v>6.1177105089E10</v>
      </c>
      <c r="J364" s="4" t="s">
        <v>855</v>
      </c>
      <c r="K364" s="4" t="s">
        <v>856</v>
      </c>
      <c r="L364" s="4">
        <v>7.41</v>
      </c>
      <c r="M364" s="4">
        <v>647.76</v>
      </c>
      <c r="N364" s="4">
        <v>648.0</v>
      </c>
      <c r="O364" s="4">
        <v>53784.0</v>
      </c>
      <c r="P364" s="4">
        <f t="shared" si="1"/>
        <v>87.41666667</v>
      </c>
      <c r="Q364" s="4" t="str">
        <f t="shared" si="2"/>
        <v>Normal</v>
      </c>
      <c r="R364" s="1" t="str">
        <f t="shared" si="3"/>
        <v>Normal</v>
      </c>
      <c r="S364" s="4">
        <f t="shared" si="4"/>
        <v>107.9843385</v>
      </c>
      <c r="T364" s="1" t="str">
        <f t="shared" si="5"/>
        <v>Normal Cost</v>
      </c>
      <c r="U364" s="4">
        <f t="shared" si="6"/>
        <v>0.1029395359</v>
      </c>
    </row>
    <row r="365">
      <c r="A365" s="4" t="s">
        <v>857</v>
      </c>
      <c r="B365" s="4" t="s">
        <v>62</v>
      </c>
      <c r="C365" s="4">
        <v>116.0833</v>
      </c>
      <c r="D365" s="4" t="s">
        <v>42</v>
      </c>
      <c r="E365" s="4" t="s">
        <v>37</v>
      </c>
      <c r="F365" s="4">
        <v>25.8</v>
      </c>
      <c r="G365" s="4">
        <v>10.74</v>
      </c>
      <c r="H365" s="4">
        <v>9.5116553397E10</v>
      </c>
      <c r="I365" s="6">
        <v>1.04746E11</v>
      </c>
      <c r="J365" s="4" t="s">
        <v>858</v>
      </c>
      <c r="K365" s="4" t="s">
        <v>859</v>
      </c>
      <c r="L365" s="4">
        <v>9.7</v>
      </c>
      <c r="M365" s="4">
        <v>1126.01</v>
      </c>
      <c r="N365" s="4">
        <v>1126.0</v>
      </c>
      <c r="O365" s="4">
        <v>93458.0</v>
      </c>
      <c r="P365" s="4">
        <f t="shared" si="1"/>
        <v>116.0833333</v>
      </c>
      <c r="Q365" s="4" t="str">
        <f t="shared" si="2"/>
        <v>Underutilized</v>
      </c>
      <c r="R365" s="1" t="str">
        <f t="shared" si="3"/>
        <v>Underutilized</v>
      </c>
      <c r="S365" s="6">
        <f t="shared" si="4"/>
        <v>186.1365078</v>
      </c>
      <c r="T365" s="1" t="str">
        <f t="shared" si="5"/>
        <v>Normal Cost</v>
      </c>
      <c r="U365" s="4">
        <f t="shared" si="6"/>
        <v>0.01954888827</v>
      </c>
    </row>
    <row r="366">
      <c r="A366" s="4" t="s">
        <v>860</v>
      </c>
      <c r="B366" s="4" t="s">
        <v>112</v>
      </c>
      <c r="C366" s="4">
        <v>131.05</v>
      </c>
      <c r="D366" s="4" t="s">
        <v>42</v>
      </c>
      <c r="E366" s="4" t="s">
        <v>32</v>
      </c>
      <c r="F366" s="4">
        <v>21.13</v>
      </c>
      <c r="G366" s="4">
        <v>54.87</v>
      </c>
      <c r="H366" s="4">
        <v>5.7269897913E10</v>
      </c>
      <c r="I366" s="4">
        <v>5.9745397823E10</v>
      </c>
      <c r="J366" s="4" t="s">
        <v>861</v>
      </c>
      <c r="K366" s="4" t="s">
        <v>862</v>
      </c>
      <c r="L366" s="4">
        <v>5.74</v>
      </c>
      <c r="M366" s="4">
        <v>752.23</v>
      </c>
      <c r="N366" s="4">
        <v>752.0</v>
      </c>
      <c r="O366" s="4">
        <v>62416.0</v>
      </c>
      <c r="P366" s="4">
        <f t="shared" si="1"/>
        <v>131.05</v>
      </c>
      <c r="Q366" s="4" t="str">
        <f t="shared" si="2"/>
        <v>Underutilized</v>
      </c>
      <c r="R366" s="1" t="str">
        <f t="shared" si="3"/>
        <v>Normal</v>
      </c>
      <c r="S366" s="4">
        <f t="shared" si="4"/>
        <v>108.9789865</v>
      </c>
      <c r="T366" s="1" t="str">
        <f t="shared" si="5"/>
        <v>Normal Cost</v>
      </c>
      <c r="U366" s="4">
        <f t="shared" si="6"/>
        <v>0.06088182517</v>
      </c>
    </row>
    <row r="367">
      <c r="A367" s="4" t="s">
        <v>863</v>
      </c>
      <c r="B367" s="4" t="s">
        <v>20</v>
      </c>
      <c r="C367" s="4">
        <v>42.4428</v>
      </c>
      <c r="D367" s="4" t="s">
        <v>17</v>
      </c>
      <c r="E367" s="4" t="s">
        <v>37</v>
      </c>
      <c r="F367" s="4">
        <v>75.12</v>
      </c>
      <c r="G367" s="4">
        <v>96.34</v>
      </c>
      <c r="H367" s="4">
        <v>3.9173049234E10</v>
      </c>
      <c r="I367" s="4">
        <v>4.2992951761E10</v>
      </c>
      <c r="J367" s="4" t="s">
        <v>864</v>
      </c>
      <c r="K367" s="4" t="s">
        <v>865</v>
      </c>
      <c r="L367" s="4">
        <v>1.9</v>
      </c>
      <c r="M367" s="4">
        <v>80.64</v>
      </c>
      <c r="N367" s="4">
        <v>81.0</v>
      </c>
      <c r="O367" s="4">
        <v>6723.0</v>
      </c>
      <c r="P367" s="4">
        <f t="shared" si="1"/>
        <v>130.4833333</v>
      </c>
      <c r="Q367" s="4" t="str">
        <f t="shared" si="2"/>
        <v>High</v>
      </c>
      <c r="R367" s="1" t="str">
        <f t="shared" si="3"/>
        <v>High</v>
      </c>
      <c r="S367" s="4">
        <f t="shared" si="4"/>
        <v>76.52305159</v>
      </c>
      <c r="T367" s="1" t="str">
        <f t="shared" si="5"/>
        <v>Normal Cost</v>
      </c>
      <c r="U367" s="4">
        <f t="shared" si="6"/>
        <v>1.275174773</v>
      </c>
    </row>
    <row r="368">
      <c r="A368" s="4" t="s">
        <v>866</v>
      </c>
      <c r="B368" s="4" t="s">
        <v>66</v>
      </c>
      <c r="C368" s="4">
        <v>577.1848</v>
      </c>
      <c r="D368" s="4" t="s">
        <v>21</v>
      </c>
      <c r="E368" s="4" t="s">
        <v>58</v>
      </c>
      <c r="F368" s="4">
        <v>38.24</v>
      </c>
      <c r="G368" s="4">
        <v>36.55</v>
      </c>
      <c r="H368" s="4">
        <v>3.0752391797E10</v>
      </c>
      <c r="I368" s="4">
        <v>3.9657922545E10</v>
      </c>
      <c r="J368" s="5">
        <v>45359.229166666664</v>
      </c>
      <c r="K368" s="5">
        <v>45481.075</v>
      </c>
      <c r="L368" s="4">
        <v>7.42</v>
      </c>
      <c r="M368" s="4">
        <v>4282.71</v>
      </c>
      <c r="N368" s="4">
        <v>4283.0</v>
      </c>
      <c r="O368" s="4">
        <v>355489.0</v>
      </c>
      <c r="P368" s="4">
        <f t="shared" si="1"/>
        <v>92.3</v>
      </c>
      <c r="Q368" s="4" t="str">
        <f t="shared" si="2"/>
        <v>Normal</v>
      </c>
      <c r="R368" s="1" t="str">
        <f t="shared" si="3"/>
        <v>Underutilized</v>
      </c>
      <c r="S368" s="4">
        <f t="shared" si="4"/>
        <v>65.57471523</v>
      </c>
      <c r="T368" s="1" t="str">
        <f t="shared" si="5"/>
        <v>High Cost</v>
      </c>
      <c r="U368" s="4">
        <f t="shared" si="6"/>
        <v>0.01051931283</v>
      </c>
    </row>
    <row r="369">
      <c r="A369" s="4" t="s">
        <v>867</v>
      </c>
      <c r="B369" s="4" t="s">
        <v>41</v>
      </c>
      <c r="C369" s="4">
        <v>107.8333</v>
      </c>
      <c r="D369" s="4" t="s">
        <v>42</v>
      </c>
      <c r="E369" s="4" t="s">
        <v>37</v>
      </c>
      <c r="F369" s="4">
        <v>78.6</v>
      </c>
      <c r="G369" s="4">
        <v>19.79</v>
      </c>
      <c r="H369" s="4">
        <v>3.080550399E10</v>
      </c>
      <c r="I369" s="4">
        <v>3.6559591178E10</v>
      </c>
      <c r="J369" s="4" t="s">
        <v>868</v>
      </c>
      <c r="K369" s="4" t="s">
        <v>869</v>
      </c>
      <c r="L369" s="4">
        <v>9.36</v>
      </c>
      <c r="M369" s="4">
        <v>1009.32</v>
      </c>
      <c r="N369" s="4">
        <v>1009.0</v>
      </c>
      <c r="O369" s="4">
        <v>83747.0</v>
      </c>
      <c r="P369" s="4">
        <f t="shared" si="1"/>
        <v>107.8333333</v>
      </c>
      <c r="Q369" s="4" t="str">
        <f t="shared" si="2"/>
        <v>High</v>
      </c>
      <c r="R369" s="1" t="str">
        <f t="shared" si="3"/>
        <v>Underutilized</v>
      </c>
      <c r="S369" s="4">
        <f t="shared" si="4"/>
        <v>62.73863387</v>
      </c>
      <c r="T369" s="1" t="str">
        <f t="shared" si="5"/>
        <v>Normal Cost</v>
      </c>
      <c r="U369" s="4">
        <f t="shared" si="6"/>
        <v>0.05874240271</v>
      </c>
    </row>
    <row r="370">
      <c r="A370" s="4" t="s">
        <v>870</v>
      </c>
      <c r="B370" s="4" t="s">
        <v>128</v>
      </c>
      <c r="C370" s="4">
        <v>353.0524</v>
      </c>
      <c r="D370" s="4" t="s">
        <v>17</v>
      </c>
      <c r="E370" s="4" t="s">
        <v>105</v>
      </c>
      <c r="F370" s="4">
        <v>79.54</v>
      </c>
      <c r="G370" s="4">
        <v>64.97</v>
      </c>
      <c r="H370" s="4">
        <v>5.2962884609E10</v>
      </c>
      <c r="I370" s="4">
        <v>5.8738624105E10</v>
      </c>
      <c r="J370" s="5">
        <v>45603.20347222222</v>
      </c>
      <c r="K370" s="4" t="s">
        <v>871</v>
      </c>
      <c r="L370" s="4">
        <v>9.01</v>
      </c>
      <c r="M370" s="4">
        <v>3181.0</v>
      </c>
      <c r="N370" s="4">
        <v>3181.0</v>
      </c>
      <c r="O370" s="4">
        <v>264023.0</v>
      </c>
      <c r="P370" s="4">
        <f t="shared" si="1"/>
        <v>50.36666667</v>
      </c>
      <c r="Q370" s="4" t="str">
        <f t="shared" si="2"/>
        <v>High</v>
      </c>
      <c r="R370" s="1" t="str">
        <f t="shared" si="3"/>
        <v>Normal</v>
      </c>
      <c r="S370" s="4">
        <f t="shared" si="4"/>
        <v>104.0301367</v>
      </c>
      <c r="T370" s="1" t="str">
        <f t="shared" si="5"/>
        <v>High Cost</v>
      </c>
      <c r="U370" s="4">
        <f t="shared" si="6"/>
        <v>0.02736693394</v>
      </c>
    </row>
    <row r="371">
      <c r="A371" s="4" t="s">
        <v>872</v>
      </c>
      <c r="B371" s="4" t="s">
        <v>99</v>
      </c>
      <c r="C371" s="4">
        <v>515.6089</v>
      </c>
      <c r="D371" s="4" t="s">
        <v>17</v>
      </c>
      <c r="E371" s="4" t="s">
        <v>123</v>
      </c>
      <c r="F371" s="4">
        <v>85.75</v>
      </c>
      <c r="G371" s="4">
        <v>45.93</v>
      </c>
      <c r="H371" s="4">
        <v>8.8341396062E10</v>
      </c>
      <c r="I371" s="4">
        <v>8.9182122222E10</v>
      </c>
      <c r="J371" s="4" t="s">
        <v>873</v>
      </c>
      <c r="K371" s="4" t="s">
        <v>874</v>
      </c>
      <c r="L371" s="4">
        <v>4.41</v>
      </c>
      <c r="M371" s="4">
        <v>2273.84</v>
      </c>
      <c r="N371" s="4">
        <v>2274.0</v>
      </c>
      <c r="O371" s="4">
        <v>188742.0</v>
      </c>
      <c r="P371" s="4">
        <f t="shared" si="1"/>
        <v>119.9833333</v>
      </c>
      <c r="Q371" s="4" t="str">
        <f t="shared" si="2"/>
        <v>High</v>
      </c>
      <c r="R371" s="1" t="str">
        <f t="shared" si="3"/>
        <v>Normal</v>
      </c>
      <c r="S371" s="4">
        <f t="shared" si="4"/>
        <v>165.3316601</v>
      </c>
      <c r="T371" s="1" t="str">
        <f t="shared" si="5"/>
        <v>High Cost</v>
      </c>
      <c r="U371" s="4">
        <f t="shared" si="6"/>
        <v>0.03488359772</v>
      </c>
    </row>
    <row r="372">
      <c r="A372" s="4" t="s">
        <v>875</v>
      </c>
      <c r="B372" s="4" t="s">
        <v>16</v>
      </c>
      <c r="C372" s="4">
        <v>975.6498</v>
      </c>
      <c r="D372" s="4" t="s">
        <v>17</v>
      </c>
      <c r="E372" s="4" t="s">
        <v>74</v>
      </c>
      <c r="F372" s="4">
        <v>37.68</v>
      </c>
      <c r="G372" s="4">
        <v>74.51</v>
      </c>
      <c r="H372" s="4">
        <v>2.399122689E9</v>
      </c>
      <c r="I372" s="4">
        <v>3.124427882E9</v>
      </c>
      <c r="J372" s="5">
        <v>45512.15902777778</v>
      </c>
      <c r="K372" s="5">
        <v>45543.28402777778</v>
      </c>
      <c r="L372" s="4">
        <v>8.38</v>
      </c>
      <c r="M372" s="4">
        <v>8175.95</v>
      </c>
      <c r="N372" s="4">
        <v>8176.0</v>
      </c>
      <c r="O372" s="4">
        <v>678608.0</v>
      </c>
      <c r="P372" s="4">
        <f t="shared" si="1"/>
        <v>27</v>
      </c>
      <c r="Q372" s="4" t="str">
        <f t="shared" si="2"/>
        <v>Normal</v>
      </c>
      <c r="R372" s="1" t="str">
        <f t="shared" si="3"/>
        <v>Normal</v>
      </c>
      <c r="S372" s="4">
        <f t="shared" si="4"/>
        <v>5.144207339</v>
      </c>
      <c r="T372" s="1" t="str">
        <f t="shared" si="5"/>
        <v>High Cost</v>
      </c>
      <c r="U372" s="4">
        <f t="shared" si="6"/>
        <v>0.008266186075</v>
      </c>
    </row>
    <row r="373">
      <c r="A373" s="4" t="s">
        <v>876</v>
      </c>
      <c r="B373" s="4" t="s">
        <v>66</v>
      </c>
      <c r="C373" s="4">
        <v>806.53</v>
      </c>
      <c r="D373" s="4" t="s">
        <v>21</v>
      </c>
      <c r="E373" s="4" t="s">
        <v>70</v>
      </c>
      <c r="F373" s="4">
        <v>18.97</v>
      </c>
      <c r="G373" s="4">
        <v>49.91</v>
      </c>
      <c r="H373" s="4">
        <v>4.4920915235E10</v>
      </c>
      <c r="I373" s="4">
        <v>5.4289153944E10</v>
      </c>
      <c r="J373" s="4" t="s">
        <v>877</v>
      </c>
      <c r="K373" s="4" t="s">
        <v>878</v>
      </c>
      <c r="L373" s="4">
        <v>2.44</v>
      </c>
      <c r="M373" s="4">
        <v>1967.93</v>
      </c>
      <c r="N373" s="4">
        <v>1968.0</v>
      </c>
      <c r="O373" s="4">
        <v>163344.0</v>
      </c>
      <c r="P373" s="4">
        <f t="shared" si="1"/>
        <v>59.06666667</v>
      </c>
      <c r="Q373" s="4" t="str">
        <f t="shared" si="2"/>
        <v>Underutilized</v>
      </c>
      <c r="R373" s="1" t="str">
        <f t="shared" si="3"/>
        <v>Normal</v>
      </c>
      <c r="S373" s="4">
        <f t="shared" si="4"/>
        <v>92.39657706</v>
      </c>
      <c r="T373" s="1" t="str">
        <f t="shared" si="5"/>
        <v>Normal Cost</v>
      </c>
      <c r="U373" s="4">
        <f t="shared" si="6"/>
        <v>0.02108433735</v>
      </c>
    </row>
    <row r="374">
      <c r="A374" s="4" t="s">
        <v>879</v>
      </c>
      <c r="B374" s="4" t="s">
        <v>62</v>
      </c>
      <c r="C374" s="4">
        <v>31.3667</v>
      </c>
      <c r="D374" s="4" t="s">
        <v>42</v>
      </c>
      <c r="E374" s="4" t="s">
        <v>74</v>
      </c>
      <c r="F374" s="4">
        <v>35.2</v>
      </c>
      <c r="G374" s="4">
        <v>99.25</v>
      </c>
      <c r="H374" s="4">
        <v>8.968415056E10</v>
      </c>
      <c r="I374" s="4">
        <v>9.3368091791E10</v>
      </c>
      <c r="J374" s="4" t="s">
        <v>880</v>
      </c>
      <c r="K374" s="4" t="s">
        <v>881</v>
      </c>
      <c r="L374" s="4">
        <v>3.23</v>
      </c>
      <c r="M374" s="4">
        <v>101.31</v>
      </c>
      <c r="N374" s="4">
        <v>101.0</v>
      </c>
      <c r="O374" s="4">
        <v>8383.0</v>
      </c>
      <c r="P374" s="4">
        <f t="shared" si="1"/>
        <v>31.36666667</v>
      </c>
      <c r="Q374" s="4" t="str">
        <f t="shared" si="2"/>
        <v>Normal</v>
      </c>
      <c r="R374" s="1" t="str">
        <f t="shared" si="3"/>
        <v>High</v>
      </c>
      <c r="S374" s="4">
        <f t="shared" si="4"/>
        <v>170.4806856</v>
      </c>
      <c r="T374" s="1" t="str">
        <f t="shared" si="5"/>
        <v>Normal Cost</v>
      </c>
      <c r="U374" s="4">
        <f t="shared" si="6"/>
        <v>0.8019205535</v>
      </c>
    </row>
    <row r="375">
      <c r="A375" s="4" t="s">
        <v>882</v>
      </c>
      <c r="B375" s="4" t="s">
        <v>83</v>
      </c>
      <c r="C375" s="4">
        <v>56.7674</v>
      </c>
      <c r="D375" s="4" t="s">
        <v>21</v>
      </c>
      <c r="E375" s="4" t="s">
        <v>155</v>
      </c>
      <c r="F375" s="4">
        <v>86.36</v>
      </c>
      <c r="G375" s="4">
        <v>97.38</v>
      </c>
      <c r="H375" s="4">
        <v>4.5663327294E10</v>
      </c>
      <c r="I375" s="4">
        <v>4.8828713612E10</v>
      </c>
      <c r="J375" s="4" t="s">
        <v>883</v>
      </c>
      <c r="K375" s="4" t="s">
        <v>884</v>
      </c>
      <c r="L375" s="4">
        <v>3.49</v>
      </c>
      <c r="M375" s="4">
        <v>198.12</v>
      </c>
      <c r="N375" s="4">
        <v>198.0</v>
      </c>
      <c r="O375" s="4">
        <v>16434.0</v>
      </c>
      <c r="P375" s="4">
        <f t="shared" si="1"/>
        <v>41.28333333</v>
      </c>
      <c r="Q375" s="4" t="str">
        <f t="shared" si="2"/>
        <v>High</v>
      </c>
      <c r="R375" s="1" t="str">
        <f t="shared" si="3"/>
        <v>High</v>
      </c>
      <c r="S375" s="4">
        <f t="shared" si="4"/>
        <v>88.00257082</v>
      </c>
      <c r="T375" s="1" t="str">
        <f t="shared" si="5"/>
        <v>Normal Cost</v>
      </c>
      <c r="U375" s="4">
        <f t="shared" si="6"/>
        <v>0.5590239747</v>
      </c>
    </row>
    <row r="376">
      <c r="A376" s="4" t="s">
        <v>885</v>
      </c>
      <c r="B376" s="4" t="s">
        <v>183</v>
      </c>
      <c r="C376" s="4">
        <v>485.5364</v>
      </c>
      <c r="D376" s="4" t="s">
        <v>17</v>
      </c>
      <c r="E376" s="4" t="s">
        <v>22</v>
      </c>
      <c r="F376" s="4">
        <v>70.34</v>
      </c>
      <c r="G376" s="4">
        <v>22.79</v>
      </c>
      <c r="H376" s="4">
        <v>5.7581322914E10</v>
      </c>
      <c r="I376" s="4">
        <v>5.7670180278E10</v>
      </c>
      <c r="J376" s="4" t="s">
        <v>886</v>
      </c>
      <c r="K376" s="4" t="s">
        <v>887</v>
      </c>
      <c r="L376" s="4">
        <v>6.64</v>
      </c>
      <c r="M376" s="4">
        <v>3223.96</v>
      </c>
      <c r="N376" s="4">
        <v>3224.0</v>
      </c>
      <c r="O376" s="4">
        <v>267592.0</v>
      </c>
      <c r="P376" s="4">
        <f t="shared" si="1"/>
        <v>58.93333333</v>
      </c>
      <c r="Q376" s="4" t="str">
        <f t="shared" si="2"/>
        <v>High</v>
      </c>
      <c r="R376" s="1" t="str">
        <f t="shared" si="3"/>
        <v>Underutilized</v>
      </c>
      <c r="S376" s="4">
        <f t="shared" si="4"/>
        <v>107.3363267</v>
      </c>
      <c r="T376" s="1" t="str">
        <f t="shared" si="5"/>
        <v>High Cost</v>
      </c>
      <c r="U376" s="4">
        <f t="shared" si="6"/>
        <v>0.01740149182</v>
      </c>
    </row>
    <row r="377">
      <c r="A377" s="4" t="s">
        <v>888</v>
      </c>
      <c r="B377" s="4" t="s">
        <v>62</v>
      </c>
      <c r="C377" s="4">
        <v>50.2833</v>
      </c>
      <c r="D377" s="4" t="s">
        <v>42</v>
      </c>
      <c r="E377" s="4" t="s">
        <v>58</v>
      </c>
      <c r="F377" s="4">
        <v>80.52</v>
      </c>
      <c r="G377" s="4">
        <v>3.16</v>
      </c>
      <c r="H377" s="4">
        <v>7.4408297866E10</v>
      </c>
      <c r="I377" s="4">
        <v>8.1146963462E10</v>
      </c>
      <c r="J377" s="4" t="s">
        <v>889</v>
      </c>
      <c r="K377" s="4" t="s">
        <v>890</v>
      </c>
      <c r="L377" s="4">
        <v>3.8</v>
      </c>
      <c r="M377" s="4">
        <v>191.08</v>
      </c>
      <c r="N377" s="4">
        <v>191.0</v>
      </c>
      <c r="O377" s="4">
        <v>15853.0</v>
      </c>
      <c r="P377" s="4">
        <f t="shared" si="1"/>
        <v>50.28333333</v>
      </c>
      <c r="Q377" s="4" t="str">
        <f t="shared" si="2"/>
        <v>High</v>
      </c>
      <c r="R377" s="1" t="str">
        <f t="shared" si="3"/>
        <v>Underutilized</v>
      </c>
      <c r="S377" s="4">
        <f t="shared" si="4"/>
        <v>144.8721265</v>
      </c>
      <c r="T377" s="1" t="str">
        <f t="shared" si="5"/>
        <v>Normal Cost</v>
      </c>
      <c r="U377" s="4">
        <f t="shared" si="6"/>
        <v>0.2639248092</v>
      </c>
    </row>
    <row r="378">
      <c r="A378" s="4" t="s">
        <v>891</v>
      </c>
      <c r="B378" s="4" t="s">
        <v>46</v>
      </c>
      <c r="C378" s="4">
        <v>887.9699</v>
      </c>
      <c r="D378" s="4" t="s">
        <v>17</v>
      </c>
      <c r="E378" s="4" t="s">
        <v>32</v>
      </c>
      <c r="F378" s="4">
        <v>45.55</v>
      </c>
      <c r="G378" s="4">
        <v>33.79</v>
      </c>
      <c r="H378" s="4">
        <v>8.5612385477E10</v>
      </c>
      <c r="I378" s="4">
        <v>9.4510658821E10</v>
      </c>
      <c r="J378" s="5">
        <v>45603.3375</v>
      </c>
      <c r="K378" s="4" t="s">
        <v>892</v>
      </c>
      <c r="L378" s="4">
        <v>2.2</v>
      </c>
      <c r="M378" s="4">
        <v>1953.53</v>
      </c>
      <c r="N378" s="4">
        <v>1954.0</v>
      </c>
      <c r="O378" s="4">
        <v>162182.0</v>
      </c>
      <c r="P378" s="4">
        <f t="shared" si="1"/>
        <v>54.41666667</v>
      </c>
      <c r="Q378" s="4" t="str">
        <f t="shared" si="2"/>
        <v>Normal</v>
      </c>
      <c r="R378" s="1" t="str">
        <f t="shared" si="3"/>
        <v>Underutilized</v>
      </c>
      <c r="S378" s="4">
        <f t="shared" si="4"/>
        <v>167.7526574</v>
      </c>
      <c r="T378" s="1" t="str">
        <f t="shared" si="5"/>
        <v>Normal Cost</v>
      </c>
      <c r="U378" s="4">
        <f t="shared" si="6"/>
        <v>0.02446017437</v>
      </c>
    </row>
    <row r="379">
      <c r="A379" s="4" t="s">
        <v>893</v>
      </c>
      <c r="B379" s="4" t="s">
        <v>60</v>
      </c>
      <c r="C379" s="4">
        <v>109.15</v>
      </c>
      <c r="D379" s="4" t="s">
        <v>42</v>
      </c>
      <c r="E379" s="4" t="s">
        <v>54</v>
      </c>
      <c r="F379" s="4">
        <v>46.61</v>
      </c>
      <c r="G379" s="4">
        <v>20.63</v>
      </c>
      <c r="H379" s="4">
        <v>7.9400349492E10</v>
      </c>
      <c r="I379" s="4">
        <v>8.0102703395E10</v>
      </c>
      <c r="J379" s="5">
        <v>45299.683333333334</v>
      </c>
      <c r="K379" s="5">
        <v>45451.23125</v>
      </c>
      <c r="L379" s="4">
        <v>8.91</v>
      </c>
      <c r="M379" s="4">
        <v>972.53</v>
      </c>
      <c r="N379" s="4">
        <v>973.0</v>
      </c>
      <c r="O379" s="4">
        <v>80759.0</v>
      </c>
      <c r="P379" s="4">
        <f t="shared" si="1"/>
        <v>109.15</v>
      </c>
      <c r="Q379" s="4" t="str">
        <f t="shared" si="2"/>
        <v>Normal</v>
      </c>
      <c r="R379" s="1" t="str">
        <f t="shared" si="3"/>
        <v>Underutilized</v>
      </c>
      <c r="S379" s="4">
        <f t="shared" si="4"/>
        <v>148.5487939</v>
      </c>
      <c r="T379" s="1" t="str">
        <f t="shared" si="5"/>
        <v>Normal Cost</v>
      </c>
      <c r="U379" s="4">
        <f t="shared" si="6"/>
        <v>0.04163003504</v>
      </c>
    </row>
    <row r="380">
      <c r="A380" s="4" t="s">
        <v>894</v>
      </c>
      <c r="B380" s="4" t="s">
        <v>350</v>
      </c>
      <c r="C380" s="4">
        <v>625.8686</v>
      </c>
      <c r="D380" s="4" t="s">
        <v>17</v>
      </c>
      <c r="E380" s="4" t="s">
        <v>22</v>
      </c>
      <c r="F380" s="4">
        <v>12.86</v>
      </c>
      <c r="G380" s="4">
        <v>16.46</v>
      </c>
      <c r="H380" s="4">
        <v>5.4839097396E10</v>
      </c>
      <c r="I380" s="4">
        <v>5.8099887115E10</v>
      </c>
      <c r="J380" s="4" t="s">
        <v>895</v>
      </c>
      <c r="K380" s="4" t="s">
        <v>896</v>
      </c>
      <c r="L380" s="4">
        <v>8.68</v>
      </c>
      <c r="M380" s="4">
        <v>5432.54</v>
      </c>
      <c r="N380" s="4">
        <v>5433.0</v>
      </c>
      <c r="O380" s="4">
        <v>450939.0</v>
      </c>
      <c r="P380" s="4">
        <f t="shared" si="1"/>
        <v>131.5333333</v>
      </c>
      <c r="Q380" s="4" t="str">
        <f t="shared" si="2"/>
        <v>Underutilized</v>
      </c>
      <c r="R380" s="1" t="str">
        <f t="shared" si="3"/>
        <v>Underutilized</v>
      </c>
      <c r="S380" s="4">
        <f t="shared" si="4"/>
        <v>105.1826258</v>
      </c>
      <c r="T380" s="1" t="str">
        <f t="shared" si="5"/>
        <v>High Cost</v>
      </c>
      <c r="U380" s="4">
        <f t="shared" si="6"/>
        <v>0.003250994037</v>
      </c>
    </row>
    <row r="381">
      <c r="A381" s="4" t="s">
        <v>897</v>
      </c>
      <c r="B381" s="4" t="s">
        <v>62</v>
      </c>
      <c r="C381" s="4">
        <v>46.1</v>
      </c>
      <c r="D381" s="4" t="s">
        <v>42</v>
      </c>
      <c r="E381" s="4" t="s">
        <v>54</v>
      </c>
      <c r="F381" s="4">
        <v>95.23</v>
      </c>
      <c r="G381" s="4">
        <v>25.07</v>
      </c>
      <c r="H381" s="4">
        <v>3.8955545333E10</v>
      </c>
      <c r="I381" s="4">
        <v>4.2050153986E10</v>
      </c>
      <c r="J381" s="4" t="s">
        <v>898</v>
      </c>
      <c r="K381" s="4" t="s">
        <v>899</v>
      </c>
      <c r="L381" s="4">
        <v>3.83</v>
      </c>
      <c r="M381" s="4">
        <v>176.56</v>
      </c>
      <c r="N381" s="4">
        <v>177.0</v>
      </c>
      <c r="O381" s="4">
        <v>14691.0</v>
      </c>
      <c r="P381" s="4">
        <f t="shared" si="1"/>
        <v>46.1</v>
      </c>
      <c r="Q381" s="4" t="str">
        <f t="shared" si="2"/>
        <v>High</v>
      </c>
      <c r="R381" s="1" t="str">
        <f t="shared" si="3"/>
        <v>Underutilized</v>
      </c>
      <c r="S381" s="4">
        <f t="shared" si="4"/>
        <v>75.44243645</v>
      </c>
      <c r="T381" s="1" t="str">
        <f t="shared" si="5"/>
        <v>Normal Cost</v>
      </c>
      <c r="U381" s="4">
        <f t="shared" si="6"/>
        <v>0.4094343476</v>
      </c>
    </row>
    <row r="382">
      <c r="A382" s="4" t="s">
        <v>900</v>
      </c>
      <c r="B382" s="4" t="s">
        <v>16</v>
      </c>
      <c r="C382" s="4">
        <v>496.2727</v>
      </c>
      <c r="D382" s="4" t="s">
        <v>21</v>
      </c>
      <c r="E382" s="4" t="s">
        <v>32</v>
      </c>
      <c r="F382" s="4">
        <v>66.17</v>
      </c>
      <c r="G382" s="4">
        <v>85.23</v>
      </c>
      <c r="H382" s="4">
        <v>1.003429085E9</v>
      </c>
      <c r="I382" s="4">
        <v>7.770971775E9</v>
      </c>
      <c r="J382" s="4" t="s">
        <v>901</v>
      </c>
      <c r="K382" s="4" t="s">
        <v>902</v>
      </c>
      <c r="L382" s="4">
        <v>9.9</v>
      </c>
      <c r="M382" s="4">
        <v>4913.1</v>
      </c>
      <c r="N382" s="4">
        <v>4913.0</v>
      </c>
      <c r="O382" s="4">
        <v>407779.0</v>
      </c>
      <c r="P382" s="4">
        <f t="shared" si="1"/>
        <v>36.48333333</v>
      </c>
      <c r="Q382" s="4" t="str">
        <f t="shared" si="2"/>
        <v>Normal</v>
      </c>
      <c r="R382" s="1" t="str">
        <f t="shared" si="3"/>
        <v>High</v>
      </c>
      <c r="S382" s="4">
        <f t="shared" si="4"/>
        <v>8.1717976</v>
      </c>
      <c r="T382" s="1" t="str">
        <f t="shared" si="5"/>
        <v>High Cost</v>
      </c>
      <c r="U382" s="4">
        <f t="shared" si="6"/>
        <v>0.01856397706</v>
      </c>
    </row>
    <row r="383">
      <c r="A383" s="4" t="s">
        <v>903</v>
      </c>
      <c r="B383" s="4" t="s">
        <v>183</v>
      </c>
      <c r="C383" s="4">
        <v>299.7279</v>
      </c>
      <c r="D383" s="4" t="s">
        <v>21</v>
      </c>
      <c r="E383" s="4" t="s">
        <v>155</v>
      </c>
      <c r="F383" s="4">
        <v>6.36</v>
      </c>
      <c r="G383" s="4">
        <v>34.04</v>
      </c>
      <c r="H383" s="4">
        <v>9.1124289122E10</v>
      </c>
      <c r="I383" s="4">
        <v>9.6851845762E10</v>
      </c>
      <c r="J383" s="4" t="s">
        <v>904</v>
      </c>
      <c r="K383" s="4" t="s">
        <v>905</v>
      </c>
      <c r="L383" s="4">
        <v>2.76</v>
      </c>
      <c r="M383" s="4">
        <v>827.25</v>
      </c>
      <c r="N383" s="4">
        <v>827.0</v>
      </c>
      <c r="O383" s="4">
        <v>68641.0</v>
      </c>
      <c r="P383" s="4">
        <f t="shared" si="1"/>
        <v>118.4166667</v>
      </c>
      <c r="Q383" s="4" t="str">
        <f t="shared" si="2"/>
        <v>Underutilized</v>
      </c>
      <c r="R383" s="1" t="str">
        <f t="shared" si="3"/>
        <v>Underutilized</v>
      </c>
      <c r="S383" s="4">
        <f t="shared" si="4"/>
        <v>175.0664179</v>
      </c>
      <c r="T383" s="1" t="str">
        <f t="shared" si="5"/>
        <v>Normal Cost</v>
      </c>
      <c r="U383" s="4">
        <f t="shared" si="6"/>
        <v>0.02942847569</v>
      </c>
    </row>
    <row r="384">
      <c r="A384" s="4" t="s">
        <v>906</v>
      </c>
      <c r="B384" s="4" t="s">
        <v>46</v>
      </c>
      <c r="C384" s="4">
        <v>117.8769</v>
      </c>
      <c r="D384" s="4" t="s">
        <v>21</v>
      </c>
      <c r="E384" s="4" t="s">
        <v>70</v>
      </c>
      <c r="F384" s="4">
        <v>94.48</v>
      </c>
      <c r="G384" s="4">
        <v>95.76</v>
      </c>
      <c r="H384" s="4">
        <v>5.3055192457E10</v>
      </c>
      <c r="I384" s="4">
        <v>5.5777052222E10</v>
      </c>
      <c r="J384" s="4" t="s">
        <v>907</v>
      </c>
      <c r="K384" s="4" t="s">
        <v>908</v>
      </c>
      <c r="L384" s="4">
        <v>9.22</v>
      </c>
      <c r="M384" s="4">
        <v>1086.83</v>
      </c>
      <c r="N384" s="4">
        <v>1087.0</v>
      </c>
      <c r="O384" s="4">
        <v>90221.0</v>
      </c>
      <c r="P384" s="4">
        <f t="shared" si="1"/>
        <v>79.06666667</v>
      </c>
      <c r="Q384" s="4" t="str">
        <f t="shared" si="2"/>
        <v>High</v>
      </c>
      <c r="R384" s="1" t="str">
        <f t="shared" si="3"/>
        <v>High</v>
      </c>
      <c r="S384" s="4">
        <f t="shared" si="4"/>
        <v>101.3579263</v>
      </c>
      <c r="T384" s="1" t="str">
        <f t="shared" si="5"/>
        <v>Normal Cost</v>
      </c>
      <c r="U384" s="4">
        <f t="shared" si="6"/>
        <v>0.1054299997</v>
      </c>
    </row>
    <row r="385">
      <c r="A385" s="4" t="s">
        <v>909</v>
      </c>
      <c r="B385" s="4" t="s">
        <v>60</v>
      </c>
      <c r="C385" s="4">
        <v>64.3167</v>
      </c>
      <c r="D385" s="4" t="s">
        <v>42</v>
      </c>
      <c r="E385" s="4" t="s">
        <v>105</v>
      </c>
      <c r="F385" s="4">
        <v>10.75</v>
      </c>
      <c r="G385" s="4">
        <v>31.36</v>
      </c>
      <c r="H385" s="4">
        <v>6.4401229845E10</v>
      </c>
      <c r="I385" s="4">
        <v>6.8443558418E10</v>
      </c>
      <c r="J385" s="5">
        <v>45358.78333333333</v>
      </c>
      <c r="K385" s="5">
        <v>45450.46319444444</v>
      </c>
      <c r="L385" s="4">
        <v>9.0</v>
      </c>
      <c r="M385" s="4">
        <v>578.85</v>
      </c>
      <c r="N385" s="4">
        <v>579.0</v>
      </c>
      <c r="O385" s="4">
        <v>48057.0</v>
      </c>
      <c r="P385" s="4">
        <f t="shared" si="1"/>
        <v>64.31666667</v>
      </c>
      <c r="Q385" s="4" t="str">
        <f t="shared" si="2"/>
        <v>Underutilized</v>
      </c>
      <c r="R385" s="1" t="str">
        <f t="shared" si="3"/>
        <v>Underutilized</v>
      </c>
      <c r="S385" s="4">
        <f t="shared" si="4"/>
        <v>123.7213502</v>
      </c>
      <c r="T385" s="1" t="str">
        <f t="shared" si="5"/>
        <v>Normal Cost</v>
      </c>
      <c r="U385" s="4">
        <f t="shared" si="6"/>
        <v>0.04381255592</v>
      </c>
    </row>
    <row r="386">
      <c r="A386" s="4" t="s">
        <v>910</v>
      </c>
      <c r="B386" s="4" t="s">
        <v>31</v>
      </c>
      <c r="C386" s="4">
        <v>109.713</v>
      </c>
      <c r="D386" s="4" t="s">
        <v>21</v>
      </c>
      <c r="E386" s="4" t="s">
        <v>123</v>
      </c>
      <c r="F386" s="4">
        <v>84.67</v>
      </c>
      <c r="G386" s="4">
        <v>35.96</v>
      </c>
      <c r="H386" s="4">
        <v>9.8622822131E10</v>
      </c>
      <c r="I386" s="6">
        <v>1.01745E11</v>
      </c>
      <c r="J386" s="4" t="s">
        <v>911</v>
      </c>
      <c r="K386" s="4" t="s">
        <v>912</v>
      </c>
      <c r="L386" s="4">
        <v>6.49</v>
      </c>
      <c r="M386" s="4">
        <v>712.04</v>
      </c>
      <c r="N386" s="4">
        <v>712.0</v>
      </c>
      <c r="O386" s="4">
        <v>59096.0</v>
      </c>
      <c r="P386" s="4">
        <f t="shared" si="1"/>
        <v>106.5666667</v>
      </c>
      <c r="Q386" s="4" t="str">
        <f t="shared" si="2"/>
        <v>High</v>
      </c>
      <c r="R386" s="1" t="str">
        <f t="shared" si="3"/>
        <v>Underutilized</v>
      </c>
      <c r="S386" s="6">
        <f t="shared" si="4"/>
        <v>186.607076</v>
      </c>
      <c r="T386" s="1" t="str">
        <f t="shared" si="5"/>
        <v>Normal Cost</v>
      </c>
      <c r="U386" s="4">
        <f t="shared" si="6"/>
        <v>0.1020627454</v>
      </c>
    </row>
    <row r="387">
      <c r="A387" s="4" t="s">
        <v>913</v>
      </c>
      <c r="B387" s="4" t="s">
        <v>350</v>
      </c>
      <c r="C387" s="4">
        <v>546.5469</v>
      </c>
      <c r="D387" s="4" t="s">
        <v>17</v>
      </c>
      <c r="E387" s="4" t="s">
        <v>74</v>
      </c>
      <c r="F387" s="4">
        <v>98.75</v>
      </c>
      <c r="G387" s="4">
        <v>78.64</v>
      </c>
      <c r="H387" s="4">
        <v>4.9438110444E10</v>
      </c>
      <c r="I387" s="4">
        <v>5.5728177096E10</v>
      </c>
      <c r="J387" s="5">
        <v>45299.697916666664</v>
      </c>
      <c r="K387" s="5">
        <v>45390.55486111111</v>
      </c>
      <c r="L387" s="4">
        <v>3.32</v>
      </c>
      <c r="M387" s="4">
        <v>1814.54</v>
      </c>
      <c r="N387" s="4">
        <v>1815.0</v>
      </c>
      <c r="O387" s="4">
        <v>150645.0</v>
      </c>
      <c r="P387" s="4">
        <f t="shared" si="1"/>
        <v>68.56666667</v>
      </c>
      <c r="Q387" s="4" t="str">
        <f t="shared" si="2"/>
        <v>High</v>
      </c>
      <c r="R387" s="1" t="str">
        <f t="shared" si="3"/>
        <v>High</v>
      </c>
      <c r="S387" s="4">
        <f t="shared" si="4"/>
        <v>97.94373767</v>
      </c>
      <c r="T387" s="1" t="str">
        <f t="shared" si="5"/>
        <v>Normal Cost</v>
      </c>
      <c r="U387" s="4">
        <f t="shared" si="6"/>
        <v>0.05887682963</v>
      </c>
    </row>
    <row r="388">
      <c r="A388" s="4" t="s">
        <v>914</v>
      </c>
      <c r="B388" s="4" t="s">
        <v>169</v>
      </c>
      <c r="C388" s="4">
        <v>584.1002</v>
      </c>
      <c r="D388" s="4" t="s">
        <v>21</v>
      </c>
      <c r="E388" s="4" t="s">
        <v>155</v>
      </c>
      <c r="F388" s="4">
        <v>36.26</v>
      </c>
      <c r="G388" s="4">
        <v>92.8</v>
      </c>
      <c r="H388" s="4">
        <v>7.6647365947E10</v>
      </c>
      <c r="I388" s="4">
        <v>8.403545449E10</v>
      </c>
      <c r="J388" s="4" t="s">
        <v>915</v>
      </c>
      <c r="K388" s="4" t="s">
        <v>916</v>
      </c>
      <c r="L388" s="4">
        <v>8.57</v>
      </c>
      <c r="M388" s="4">
        <v>5005.74</v>
      </c>
      <c r="N388" s="4">
        <v>5006.0</v>
      </c>
      <c r="O388" s="4">
        <v>415498.0</v>
      </c>
      <c r="P388" s="4">
        <f t="shared" si="1"/>
        <v>48.63333333</v>
      </c>
      <c r="Q388" s="4" t="str">
        <f t="shared" si="2"/>
        <v>Normal</v>
      </c>
      <c r="R388" s="1" t="str">
        <f t="shared" si="3"/>
        <v>High</v>
      </c>
      <c r="S388" s="4">
        <f t="shared" si="4"/>
        <v>149.647538</v>
      </c>
      <c r="T388" s="1" t="str">
        <f t="shared" si="5"/>
        <v>High Cost</v>
      </c>
      <c r="U388" s="4">
        <f t="shared" si="6"/>
        <v>0.01553076068</v>
      </c>
    </row>
    <row r="389">
      <c r="A389" s="4" t="s">
        <v>917</v>
      </c>
      <c r="B389" s="4" t="s">
        <v>99</v>
      </c>
      <c r="C389" s="4">
        <v>510.6689</v>
      </c>
      <c r="D389" s="4" t="s">
        <v>21</v>
      </c>
      <c r="E389" s="4" t="s">
        <v>37</v>
      </c>
      <c r="F389" s="4">
        <v>79.13</v>
      </c>
      <c r="G389" s="4">
        <v>2.77</v>
      </c>
      <c r="H389" s="4">
        <v>6.0470173731E10</v>
      </c>
      <c r="I389" s="4">
        <v>6.0672911269E10</v>
      </c>
      <c r="J389" s="4" t="s">
        <v>918</v>
      </c>
      <c r="K389" s="4" t="s">
        <v>919</v>
      </c>
      <c r="L389" s="4">
        <v>6.98</v>
      </c>
      <c r="M389" s="4">
        <v>3564.47</v>
      </c>
      <c r="N389" s="4">
        <v>3564.0</v>
      </c>
      <c r="O389" s="4">
        <v>295812.0</v>
      </c>
      <c r="P389" s="4">
        <f t="shared" si="1"/>
        <v>131.6666667</v>
      </c>
      <c r="Q389" s="4" t="str">
        <f t="shared" si="2"/>
        <v>High</v>
      </c>
      <c r="R389" s="1" t="str">
        <f t="shared" si="3"/>
        <v>Underutilized</v>
      </c>
      <c r="S389" s="4">
        <f t="shared" si="4"/>
        <v>112.8232898</v>
      </c>
      <c r="T389" s="1" t="str">
        <f t="shared" si="5"/>
        <v>High Cost</v>
      </c>
      <c r="U389" s="4">
        <f t="shared" si="6"/>
        <v>0.0138432518</v>
      </c>
    </row>
    <row r="390">
      <c r="A390" s="4" t="s">
        <v>920</v>
      </c>
      <c r="B390" s="4" t="s">
        <v>147</v>
      </c>
      <c r="C390" s="4">
        <v>32.8167</v>
      </c>
      <c r="D390" s="4" t="s">
        <v>42</v>
      </c>
      <c r="E390" s="4" t="s">
        <v>27</v>
      </c>
      <c r="F390" s="4">
        <v>73.99</v>
      </c>
      <c r="G390" s="4">
        <v>93.62</v>
      </c>
      <c r="H390" s="4">
        <v>1.7702733118E10</v>
      </c>
      <c r="I390" s="4">
        <v>2.0832837855E10</v>
      </c>
      <c r="J390" s="4" t="s">
        <v>921</v>
      </c>
      <c r="K390" s="4" t="s">
        <v>922</v>
      </c>
      <c r="L390" s="4">
        <v>3.84</v>
      </c>
      <c r="M390" s="4">
        <v>126.02</v>
      </c>
      <c r="N390" s="4">
        <v>126.0</v>
      </c>
      <c r="O390" s="4">
        <v>10458.0</v>
      </c>
      <c r="P390" s="4">
        <f t="shared" si="1"/>
        <v>32.81666667</v>
      </c>
      <c r="Q390" s="4" t="str">
        <f t="shared" si="2"/>
        <v>High</v>
      </c>
      <c r="R390" s="1" t="str">
        <f t="shared" si="3"/>
        <v>High</v>
      </c>
      <c r="S390" s="4">
        <f t="shared" si="4"/>
        <v>35.88904717</v>
      </c>
      <c r="T390" s="1" t="str">
        <f t="shared" si="5"/>
        <v>Normal Cost</v>
      </c>
      <c r="U390" s="4">
        <f t="shared" si="6"/>
        <v>0.8013482501</v>
      </c>
    </row>
    <row r="391">
      <c r="A391" s="4" t="s">
        <v>923</v>
      </c>
      <c r="B391" s="4" t="s">
        <v>46</v>
      </c>
      <c r="C391" s="4">
        <v>301.1685</v>
      </c>
      <c r="D391" s="4" t="s">
        <v>17</v>
      </c>
      <c r="E391" s="4" t="s">
        <v>32</v>
      </c>
      <c r="F391" s="4">
        <v>64.93</v>
      </c>
      <c r="G391" s="4">
        <v>53.51</v>
      </c>
      <c r="H391" s="4">
        <v>3.3639295727E10</v>
      </c>
      <c r="I391" s="4">
        <v>3.6839965337E10</v>
      </c>
      <c r="J391" s="4" t="s">
        <v>924</v>
      </c>
      <c r="K391" s="4" t="s">
        <v>925</v>
      </c>
      <c r="L391" s="4">
        <v>2.22</v>
      </c>
      <c r="M391" s="4">
        <v>668.59</v>
      </c>
      <c r="N391" s="4">
        <v>669.0</v>
      </c>
      <c r="O391" s="4">
        <v>55527.0</v>
      </c>
      <c r="P391" s="4">
        <f t="shared" si="1"/>
        <v>71.36666667</v>
      </c>
      <c r="Q391" s="4" t="str">
        <f t="shared" si="2"/>
        <v>Normal</v>
      </c>
      <c r="R391" s="1" t="str">
        <f t="shared" si="3"/>
        <v>Normal</v>
      </c>
      <c r="S391" s="4">
        <f t="shared" si="4"/>
        <v>65.63892687</v>
      </c>
      <c r="T391" s="1" t="str">
        <f t="shared" si="5"/>
        <v>Normal Cost</v>
      </c>
      <c r="U391" s="4">
        <f t="shared" si="6"/>
        <v>0.1066508185</v>
      </c>
    </row>
    <row r="392">
      <c r="A392" s="4" t="s">
        <v>926</v>
      </c>
      <c r="B392" s="4" t="s">
        <v>20</v>
      </c>
      <c r="C392" s="4">
        <v>744.5</v>
      </c>
      <c r="D392" s="4" t="s">
        <v>21</v>
      </c>
      <c r="E392" s="4" t="s">
        <v>155</v>
      </c>
      <c r="F392" s="4">
        <v>94.09</v>
      </c>
      <c r="G392" s="4">
        <v>46.58</v>
      </c>
      <c r="H392" s="4">
        <v>4.6437633971E10</v>
      </c>
      <c r="I392" s="4">
        <v>4.6495564971E10</v>
      </c>
      <c r="J392" s="4" t="s">
        <v>927</v>
      </c>
      <c r="K392" s="5">
        <v>45300.58125</v>
      </c>
      <c r="L392" s="4">
        <v>7.91</v>
      </c>
      <c r="M392" s="4">
        <v>5888.99</v>
      </c>
      <c r="N392" s="4">
        <v>5889.0</v>
      </c>
      <c r="O392" s="4">
        <v>488787.0</v>
      </c>
      <c r="P392" s="4">
        <f t="shared" si="1"/>
        <v>127.8</v>
      </c>
      <c r="Q392" s="4" t="str">
        <f t="shared" si="2"/>
        <v>High</v>
      </c>
      <c r="R392" s="1" t="str">
        <f t="shared" si="3"/>
        <v>Normal</v>
      </c>
      <c r="S392" s="4">
        <f t="shared" si="4"/>
        <v>86.55078611</v>
      </c>
      <c r="T392" s="1" t="str">
        <f t="shared" si="5"/>
        <v>High Cost</v>
      </c>
      <c r="U392" s="4">
        <f t="shared" si="6"/>
        <v>0.01438970349</v>
      </c>
    </row>
    <row r="393">
      <c r="A393" s="4" t="s">
        <v>928</v>
      </c>
      <c r="B393" s="4" t="s">
        <v>166</v>
      </c>
      <c r="C393" s="4">
        <v>931.8438</v>
      </c>
      <c r="D393" s="4" t="s">
        <v>21</v>
      </c>
      <c r="E393" s="4" t="s">
        <v>27</v>
      </c>
      <c r="F393" s="4">
        <v>38.82</v>
      </c>
      <c r="G393" s="4">
        <v>30.39</v>
      </c>
      <c r="H393" s="4">
        <v>8.7922833079E10</v>
      </c>
      <c r="I393" s="4">
        <v>9.7539696374E10</v>
      </c>
      <c r="J393" s="5">
        <v>45572.67152777778</v>
      </c>
      <c r="K393" s="4" t="s">
        <v>929</v>
      </c>
      <c r="L393" s="4">
        <v>6.22</v>
      </c>
      <c r="M393" s="4">
        <v>5796.07</v>
      </c>
      <c r="N393" s="4">
        <v>5796.0</v>
      </c>
      <c r="O393" s="4">
        <v>481068.0</v>
      </c>
      <c r="P393" s="4">
        <f t="shared" si="1"/>
        <v>137.9833333</v>
      </c>
      <c r="Q393" s="4" t="str">
        <f t="shared" si="2"/>
        <v>Normal</v>
      </c>
      <c r="R393" s="1" t="str">
        <f t="shared" si="3"/>
        <v>Underutilized</v>
      </c>
      <c r="S393" s="4">
        <f t="shared" si="4"/>
        <v>172.7254404</v>
      </c>
      <c r="T393" s="1" t="str">
        <f t="shared" si="5"/>
        <v>High Cost</v>
      </c>
      <c r="U393" s="4">
        <f t="shared" si="6"/>
        <v>0.007193369752</v>
      </c>
    </row>
    <row r="394">
      <c r="A394" s="4" t="s">
        <v>930</v>
      </c>
      <c r="B394" s="4" t="s">
        <v>26</v>
      </c>
      <c r="C394" s="4">
        <v>769.3033</v>
      </c>
      <c r="D394" s="4" t="s">
        <v>21</v>
      </c>
      <c r="E394" s="4" t="s">
        <v>32</v>
      </c>
      <c r="F394" s="4">
        <v>50.16</v>
      </c>
      <c r="G394" s="4">
        <v>91.46</v>
      </c>
      <c r="H394" s="4">
        <v>4.5773425452E10</v>
      </c>
      <c r="I394" s="4">
        <v>4.9557900371E10</v>
      </c>
      <c r="J394" s="4" t="s">
        <v>931</v>
      </c>
      <c r="K394" s="4" t="s">
        <v>932</v>
      </c>
      <c r="L394" s="4">
        <v>6.95</v>
      </c>
      <c r="M394" s="4">
        <v>5346.66</v>
      </c>
      <c r="N394" s="4">
        <v>5347.0</v>
      </c>
      <c r="O394" s="4">
        <v>443801.0</v>
      </c>
      <c r="P394" s="4">
        <f t="shared" si="1"/>
        <v>123.8333333</v>
      </c>
      <c r="Q394" s="4" t="str">
        <f t="shared" si="2"/>
        <v>Normal</v>
      </c>
      <c r="R394" s="1" t="str">
        <f t="shared" si="3"/>
        <v>High</v>
      </c>
      <c r="S394" s="4">
        <f t="shared" si="4"/>
        <v>88.78421581</v>
      </c>
      <c r="T394" s="1" t="str">
        <f t="shared" si="5"/>
        <v>High Cost</v>
      </c>
      <c r="U394" s="4">
        <f t="shared" si="6"/>
        <v>0.01595534936</v>
      </c>
    </row>
    <row r="395">
      <c r="A395" s="4" t="s">
        <v>933</v>
      </c>
      <c r="B395" s="4" t="s">
        <v>60</v>
      </c>
      <c r="C395" s="4">
        <v>105.55</v>
      </c>
      <c r="D395" s="4" t="s">
        <v>42</v>
      </c>
      <c r="E395" s="4" t="s">
        <v>123</v>
      </c>
      <c r="F395" s="4">
        <v>3.37</v>
      </c>
      <c r="G395" s="4">
        <v>87.82</v>
      </c>
      <c r="H395" s="4">
        <v>5.4964652526E10</v>
      </c>
      <c r="I395" s="4">
        <v>5.5978858331E10</v>
      </c>
      <c r="J395" s="4" t="s">
        <v>934</v>
      </c>
      <c r="K395" s="4" t="s">
        <v>935</v>
      </c>
      <c r="L395" s="4">
        <v>1.68</v>
      </c>
      <c r="M395" s="4">
        <v>177.32</v>
      </c>
      <c r="N395" s="4">
        <v>177.0</v>
      </c>
      <c r="O395" s="4">
        <v>14691.0</v>
      </c>
      <c r="P395" s="4">
        <f t="shared" si="1"/>
        <v>105.55</v>
      </c>
      <c r="Q395" s="4" t="str">
        <f t="shared" si="2"/>
        <v>Underutilized</v>
      </c>
      <c r="R395" s="1" t="str">
        <f t="shared" si="3"/>
        <v>High</v>
      </c>
      <c r="S395" s="4">
        <f t="shared" si="4"/>
        <v>103.3241962</v>
      </c>
      <c r="T395" s="1" t="str">
        <f t="shared" si="5"/>
        <v>Normal Cost</v>
      </c>
      <c r="U395" s="4">
        <f t="shared" si="6"/>
        <v>0.3103600844</v>
      </c>
    </row>
    <row r="396">
      <c r="A396" s="4" t="s">
        <v>936</v>
      </c>
      <c r="B396" s="4" t="s">
        <v>166</v>
      </c>
      <c r="C396" s="4">
        <v>754.5171</v>
      </c>
      <c r="D396" s="4" t="s">
        <v>17</v>
      </c>
      <c r="E396" s="4" t="s">
        <v>37</v>
      </c>
      <c r="F396" s="4">
        <v>41.13</v>
      </c>
      <c r="G396" s="4">
        <v>18.29</v>
      </c>
      <c r="H396" s="4">
        <v>8.0156463931E10</v>
      </c>
      <c r="I396" s="4">
        <v>8.3917965863E10</v>
      </c>
      <c r="J396" s="5">
        <v>45543.645833333336</v>
      </c>
      <c r="K396" s="5">
        <v>45634.194444444445</v>
      </c>
      <c r="L396" s="4">
        <v>4.34</v>
      </c>
      <c r="M396" s="4">
        <v>3274.6</v>
      </c>
      <c r="N396" s="4">
        <v>3275.0</v>
      </c>
      <c r="O396" s="4">
        <v>271825.0</v>
      </c>
      <c r="P396" s="4">
        <f t="shared" si="1"/>
        <v>61.16666667</v>
      </c>
      <c r="Q396" s="4" t="str">
        <f t="shared" si="2"/>
        <v>Normal</v>
      </c>
      <c r="R396" s="1" t="str">
        <f t="shared" si="3"/>
        <v>Underutilized</v>
      </c>
      <c r="S396" s="4">
        <f t="shared" si="4"/>
        <v>152.8062204</v>
      </c>
      <c r="T396" s="1" t="str">
        <f t="shared" si="5"/>
        <v>High Cost</v>
      </c>
      <c r="U396" s="4">
        <f t="shared" si="6"/>
        <v>0.01092982617</v>
      </c>
    </row>
    <row r="397">
      <c r="A397" s="4" t="s">
        <v>937</v>
      </c>
      <c r="B397" s="4" t="s">
        <v>166</v>
      </c>
      <c r="C397" s="4">
        <v>948.2171</v>
      </c>
      <c r="D397" s="4" t="s">
        <v>21</v>
      </c>
      <c r="E397" s="4" t="s">
        <v>54</v>
      </c>
      <c r="F397" s="4">
        <v>22.26</v>
      </c>
      <c r="G397" s="4">
        <v>20.26</v>
      </c>
      <c r="H397" s="4">
        <v>9.7371163399E10</v>
      </c>
      <c r="I397" s="4">
        <v>9.8298454729E10</v>
      </c>
      <c r="J397" s="5">
        <v>45299.459027777775</v>
      </c>
      <c r="K397" s="5">
        <v>45451.51666666667</v>
      </c>
      <c r="L397" s="4">
        <v>5.6</v>
      </c>
      <c r="M397" s="4">
        <v>5310.02</v>
      </c>
      <c r="N397" s="4">
        <v>5310.0</v>
      </c>
      <c r="O397" s="4">
        <v>440730.0</v>
      </c>
      <c r="P397" s="4">
        <f t="shared" si="1"/>
        <v>121.3833333</v>
      </c>
      <c r="Q397" s="4" t="str">
        <f t="shared" si="2"/>
        <v>Underutilized</v>
      </c>
      <c r="R397" s="1" t="str">
        <f t="shared" si="3"/>
        <v>Underutilized</v>
      </c>
      <c r="S397" s="4">
        <f t="shared" si="4"/>
        <v>182.2315325</v>
      </c>
      <c r="T397" s="1" t="str">
        <f t="shared" si="5"/>
        <v>High Cost</v>
      </c>
      <c r="U397" s="4">
        <f t="shared" si="6"/>
        <v>0.004823815034</v>
      </c>
    </row>
    <row r="398">
      <c r="A398" s="4" t="s">
        <v>938</v>
      </c>
      <c r="B398" s="4" t="s">
        <v>66</v>
      </c>
      <c r="C398" s="4">
        <v>446.4162</v>
      </c>
      <c r="D398" s="4" t="s">
        <v>17</v>
      </c>
      <c r="E398" s="4" t="s">
        <v>70</v>
      </c>
      <c r="F398" s="4">
        <v>44.43</v>
      </c>
      <c r="G398" s="4">
        <v>72.55</v>
      </c>
      <c r="H398" s="4">
        <v>4.9120972614E10</v>
      </c>
      <c r="I398" s="4">
        <v>5.7160333323E10</v>
      </c>
      <c r="J398" s="4" t="s">
        <v>939</v>
      </c>
      <c r="K398" s="4" t="s">
        <v>940</v>
      </c>
      <c r="L398" s="4">
        <v>6.33</v>
      </c>
      <c r="M398" s="4">
        <v>2825.81</v>
      </c>
      <c r="N398" s="4">
        <v>2826.0</v>
      </c>
      <c r="O398" s="4">
        <v>234558.0</v>
      </c>
      <c r="P398" s="4">
        <f t="shared" si="1"/>
        <v>97.55</v>
      </c>
      <c r="Q398" s="4" t="str">
        <f t="shared" si="2"/>
        <v>Normal</v>
      </c>
      <c r="R398" s="1" t="str">
        <f t="shared" si="3"/>
        <v>Normal</v>
      </c>
      <c r="S398" s="4">
        <f t="shared" si="4"/>
        <v>98.98217948</v>
      </c>
      <c r="T398" s="1" t="str">
        <f t="shared" si="5"/>
        <v>High Cost</v>
      </c>
      <c r="U398" s="4">
        <f t="shared" si="6"/>
        <v>0.0249362631</v>
      </c>
    </row>
    <row r="399">
      <c r="A399" s="4" t="s">
        <v>941</v>
      </c>
      <c r="B399" s="4" t="s">
        <v>46</v>
      </c>
      <c r="C399" s="4">
        <v>394.3393</v>
      </c>
      <c r="D399" s="4" t="s">
        <v>21</v>
      </c>
      <c r="E399" s="4" t="s">
        <v>54</v>
      </c>
      <c r="F399" s="4">
        <v>84.72</v>
      </c>
      <c r="G399" s="4">
        <v>56.53</v>
      </c>
      <c r="H399" s="4">
        <v>2.9992475352E10</v>
      </c>
      <c r="I399" s="4">
        <v>3.8236530466E10</v>
      </c>
      <c r="J399" s="4" t="s">
        <v>942</v>
      </c>
      <c r="K399" s="4" t="s">
        <v>943</v>
      </c>
      <c r="L399" s="4">
        <v>7.36</v>
      </c>
      <c r="M399" s="4">
        <v>2902.34</v>
      </c>
      <c r="N399" s="4">
        <v>2902.0</v>
      </c>
      <c r="O399" s="4">
        <v>240866.0</v>
      </c>
      <c r="P399" s="4">
        <f t="shared" si="1"/>
        <v>108.7833333</v>
      </c>
      <c r="Q399" s="4" t="str">
        <f t="shared" si="2"/>
        <v>High</v>
      </c>
      <c r="R399" s="1" t="str">
        <f t="shared" si="3"/>
        <v>Normal</v>
      </c>
      <c r="S399" s="4">
        <f t="shared" si="4"/>
        <v>63.54321336</v>
      </c>
      <c r="T399" s="1" t="str">
        <f t="shared" si="5"/>
        <v>High Cost</v>
      </c>
      <c r="U399" s="4">
        <f t="shared" si="6"/>
        <v>0.02932128237</v>
      </c>
    </row>
    <row r="400">
      <c r="A400" s="4" t="s">
        <v>944</v>
      </c>
      <c r="B400" s="4" t="s">
        <v>41</v>
      </c>
      <c r="C400" s="4">
        <v>32.35</v>
      </c>
      <c r="D400" s="4" t="s">
        <v>42</v>
      </c>
      <c r="E400" s="4" t="s">
        <v>74</v>
      </c>
      <c r="F400" s="4">
        <v>57.31</v>
      </c>
      <c r="G400" s="4">
        <v>94.45</v>
      </c>
      <c r="H400" s="4">
        <v>6.1403398421E10</v>
      </c>
      <c r="I400" s="4">
        <v>6.721902992E10</v>
      </c>
      <c r="J400" s="4" t="s">
        <v>945</v>
      </c>
      <c r="K400" s="4" t="s">
        <v>946</v>
      </c>
      <c r="L400" s="4">
        <v>7.15</v>
      </c>
      <c r="M400" s="4">
        <v>231.3</v>
      </c>
      <c r="N400" s="4">
        <v>231.0</v>
      </c>
      <c r="O400" s="4">
        <v>19173.0</v>
      </c>
      <c r="P400" s="4">
        <f t="shared" si="1"/>
        <v>32.35</v>
      </c>
      <c r="Q400" s="4" t="str">
        <f t="shared" si="2"/>
        <v>Normal</v>
      </c>
      <c r="R400" s="1" t="str">
        <f t="shared" si="3"/>
        <v>High</v>
      </c>
      <c r="S400" s="4">
        <f t="shared" si="4"/>
        <v>119.7889711</v>
      </c>
      <c r="T400" s="1" t="str">
        <f t="shared" si="5"/>
        <v>Normal Cost</v>
      </c>
      <c r="U400" s="4">
        <f t="shared" si="6"/>
        <v>0.3957648777</v>
      </c>
    </row>
    <row r="401">
      <c r="A401" s="4" t="s">
        <v>947</v>
      </c>
      <c r="B401" s="4" t="s">
        <v>273</v>
      </c>
      <c r="C401" s="4">
        <v>163.497</v>
      </c>
      <c r="D401" s="4" t="s">
        <v>21</v>
      </c>
      <c r="E401" s="4" t="s">
        <v>22</v>
      </c>
      <c r="F401" s="4">
        <v>88.64</v>
      </c>
      <c r="G401" s="4">
        <v>51.63</v>
      </c>
      <c r="H401" s="4">
        <v>1.075058312E9</v>
      </c>
      <c r="I401" s="4">
        <v>8.4446015E9</v>
      </c>
      <c r="J401" s="5">
        <v>45512.17291666667</v>
      </c>
      <c r="K401" s="4" t="s">
        <v>948</v>
      </c>
      <c r="L401" s="4">
        <v>1.08</v>
      </c>
      <c r="M401" s="4">
        <v>176.58</v>
      </c>
      <c r="N401" s="4">
        <v>177.0</v>
      </c>
      <c r="O401" s="4">
        <v>14691.0</v>
      </c>
      <c r="P401" s="4">
        <f t="shared" si="1"/>
        <v>124.2833333</v>
      </c>
      <c r="Q401" s="4" t="str">
        <f t="shared" si="2"/>
        <v>High</v>
      </c>
      <c r="R401" s="1" t="str">
        <f t="shared" si="3"/>
        <v>Normal</v>
      </c>
      <c r="S401" s="4">
        <f t="shared" si="4"/>
        <v>8.865874086</v>
      </c>
      <c r="T401" s="1" t="str">
        <f t="shared" si="5"/>
        <v>Normal Cost</v>
      </c>
      <c r="U401" s="4">
        <f t="shared" si="6"/>
        <v>0.4774011299</v>
      </c>
    </row>
    <row r="402">
      <c r="A402" s="4" t="s">
        <v>949</v>
      </c>
      <c r="B402" s="4" t="s">
        <v>273</v>
      </c>
      <c r="C402" s="4">
        <v>570.1344</v>
      </c>
      <c r="D402" s="4" t="s">
        <v>17</v>
      </c>
      <c r="E402" s="4" t="s">
        <v>74</v>
      </c>
      <c r="F402" s="4">
        <v>6.2</v>
      </c>
      <c r="G402" s="4">
        <v>55.19</v>
      </c>
      <c r="H402" s="4">
        <v>6.3118343231E10</v>
      </c>
      <c r="I402" s="4">
        <v>7.081258316E10</v>
      </c>
      <c r="J402" s="4" t="s">
        <v>950</v>
      </c>
      <c r="K402" s="4" t="s">
        <v>951</v>
      </c>
      <c r="L402" s="4">
        <v>3.47</v>
      </c>
      <c r="M402" s="4">
        <v>1978.37</v>
      </c>
      <c r="N402" s="4">
        <v>1978.0</v>
      </c>
      <c r="O402" s="4">
        <v>164174.0</v>
      </c>
      <c r="P402" s="4">
        <f t="shared" si="1"/>
        <v>49.81666667</v>
      </c>
      <c r="Q402" s="4" t="str">
        <f t="shared" si="2"/>
        <v>Underutilized</v>
      </c>
      <c r="R402" s="1" t="str">
        <f t="shared" si="3"/>
        <v>Normal</v>
      </c>
      <c r="S402" s="4">
        <f t="shared" si="4"/>
        <v>124.7328952</v>
      </c>
      <c r="T402" s="1" t="str">
        <f t="shared" si="5"/>
        <v>Normal Cost</v>
      </c>
      <c r="U402" s="4">
        <f t="shared" si="6"/>
        <v>0.01869662675</v>
      </c>
    </row>
    <row r="403">
      <c r="A403" s="4" t="s">
        <v>952</v>
      </c>
      <c r="B403" s="4" t="s">
        <v>20</v>
      </c>
      <c r="C403" s="4">
        <v>548.395</v>
      </c>
      <c r="D403" s="4" t="s">
        <v>21</v>
      </c>
      <c r="E403" s="4" t="s">
        <v>37</v>
      </c>
      <c r="F403" s="4">
        <v>13.18</v>
      </c>
      <c r="G403" s="4">
        <v>37.74</v>
      </c>
      <c r="H403" s="4">
        <v>6.4482162259E10</v>
      </c>
      <c r="I403" s="4">
        <v>6.7883170958E10</v>
      </c>
      <c r="J403" s="5">
        <v>45542.98819444444</v>
      </c>
      <c r="K403" s="5">
        <v>45633.21041666667</v>
      </c>
      <c r="L403" s="4">
        <v>8.53</v>
      </c>
      <c r="M403" s="4">
        <v>4677.81</v>
      </c>
      <c r="N403" s="4">
        <v>4678.0</v>
      </c>
      <c r="O403" s="4">
        <v>388274.0</v>
      </c>
      <c r="P403" s="4">
        <f t="shared" si="1"/>
        <v>53.33333333</v>
      </c>
      <c r="Q403" s="4" t="str">
        <f t="shared" si="2"/>
        <v>Underutilized</v>
      </c>
      <c r="R403" s="1" t="str">
        <f t="shared" si="3"/>
        <v>Underutilized</v>
      </c>
      <c r="S403" s="4">
        <f t="shared" si="4"/>
        <v>123.2748229</v>
      </c>
      <c r="T403" s="1" t="str">
        <f t="shared" si="5"/>
        <v>High Cost</v>
      </c>
      <c r="U403" s="4">
        <f t="shared" si="6"/>
        <v>0.006557225052</v>
      </c>
    </row>
    <row r="404">
      <c r="A404" s="4" t="s">
        <v>953</v>
      </c>
      <c r="B404" s="4" t="s">
        <v>169</v>
      </c>
      <c r="C404" s="4">
        <v>793.0592</v>
      </c>
      <c r="D404" s="4" t="s">
        <v>21</v>
      </c>
      <c r="E404" s="4" t="s">
        <v>32</v>
      </c>
      <c r="F404" s="4">
        <v>64.73</v>
      </c>
      <c r="G404" s="4">
        <v>87.5</v>
      </c>
      <c r="H404" s="4">
        <v>3.7069716948E10</v>
      </c>
      <c r="I404" s="4">
        <v>4.4355873519E10</v>
      </c>
      <c r="J404" s="4" t="s">
        <v>954</v>
      </c>
      <c r="K404" s="4" t="s">
        <v>955</v>
      </c>
      <c r="L404" s="4">
        <v>3.55</v>
      </c>
      <c r="M404" s="4">
        <v>2815.36</v>
      </c>
      <c r="N404" s="4">
        <v>2815.0</v>
      </c>
      <c r="O404" s="4">
        <v>233645.0</v>
      </c>
      <c r="P404" s="4">
        <f t="shared" si="1"/>
        <v>44.15</v>
      </c>
      <c r="Q404" s="4" t="str">
        <f t="shared" si="2"/>
        <v>Normal</v>
      </c>
      <c r="R404" s="1" t="str">
        <f t="shared" si="3"/>
        <v>High</v>
      </c>
      <c r="S404" s="4">
        <f t="shared" si="4"/>
        <v>75.83349055</v>
      </c>
      <c r="T404" s="1" t="str">
        <f t="shared" si="5"/>
        <v>High Cost</v>
      </c>
      <c r="U404" s="4">
        <f t="shared" si="6"/>
        <v>0.03257720045</v>
      </c>
    </row>
    <row r="405">
      <c r="A405" s="4" t="s">
        <v>956</v>
      </c>
      <c r="B405" s="4" t="s">
        <v>36</v>
      </c>
      <c r="C405" s="4">
        <v>975.0557</v>
      </c>
      <c r="D405" s="4" t="s">
        <v>21</v>
      </c>
      <c r="E405" s="4" t="s">
        <v>74</v>
      </c>
      <c r="F405" s="4">
        <v>78.98</v>
      </c>
      <c r="G405" s="4">
        <v>27.19</v>
      </c>
      <c r="H405" s="4">
        <v>1.3536351212E10</v>
      </c>
      <c r="I405" s="4">
        <v>1.5874339023E10</v>
      </c>
      <c r="J405" s="4" t="s">
        <v>957</v>
      </c>
      <c r="K405" s="4" t="s">
        <v>958</v>
      </c>
      <c r="L405" s="4">
        <v>3.66</v>
      </c>
      <c r="M405" s="4">
        <v>3568.7</v>
      </c>
      <c r="N405" s="4">
        <v>3569.0</v>
      </c>
      <c r="O405" s="4">
        <v>296227.0</v>
      </c>
      <c r="P405" s="4">
        <f t="shared" si="1"/>
        <v>68.3</v>
      </c>
      <c r="Q405" s="4" t="str">
        <f t="shared" si="2"/>
        <v>High</v>
      </c>
      <c r="R405" s="1" t="str">
        <f t="shared" si="3"/>
        <v>Underutilized</v>
      </c>
      <c r="S405" s="4">
        <f t="shared" si="4"/>
        <v>27.39083975</v>
      </c>
      <c r="T405" s="1" t="str">
        <f t="shared" si="5"/>
        <v>High Cost</v>
      </c>
      <c r="U405" s="4">
        <f t="shared" si="6"/>
        <v>0.01792037863</v>
      </c>
    </row>
    <row r="406">
      <c r="A406" s="4" t="s">
        <v>959</v>
      </c>
      <c r="B406" s="4" t="s">
        <v>16</v>
      </c>
      <c r="C406" s="4">
        <v>709.8165</v>
      </c>
      <c r="D406" s="4" t="s">
        <v>21</v>
      </c>
      <c r="E406" s="4" t="s">
        <v>74</v>
      </c>
      <c r="F406" s="4">
        <v>77.27</v>
      </c>
      <c r="G406" s="4">
        <v>56.3</v>
      </c>
      <c r="H406" s="4">
        <v>7.8065298345E10</v>
      </c>
      <c r="I406" s="4">
        <v>7.888915975E10</v>
      </c>
      <c r="J406" s="4" t="s">
        <v>960</v>
      </c>
      <c r="K406" s="4" t="s">
        <v>961</v>
      </c>
      <c r="L406" s="4">
        <v>3.98</v>
      </c>
      <c r="M406" s="4">
        <v>2825.07</v>
      </c>
      <c r="N406" s="4">
        <v>2825.0</v>
      </c>
      <c r="O406" s="4">
        <v>234475.0</v>
      </c>
      <c r="P406" s="4">
        <f t="shared" si="1"/>
        <v>124.8166667</v>
      </c>
      <c r="Q406" s="4" t="str">
        <f t="shared" si="2"/>
        <v>High</v>
      </c>
      <c r="R406" s="1" t="str">
        <f t="shared" si="3"/>
        <v>Normal</v>
      </c>
      <c r="S406" s="4">
        <f t="shared" si="4"/>
        <v>146.17523</v>
      </c>
      <c r="T406" s="1" t="str">
        <f t="shared" si="5"/>
        <v>High Cost</v>
      </c>
      <c r="U406" s="4">
        <f t="shared" si="6"/>
        <v>0.02848278068</v>
      </c>
    </row>
    <row r="407">
      <c r="A407" s="4" t="s">
        <v>962</v>
      </c>
      <c r="B407" s="4" t="s">
        <v>20</v>
      </c>
      <c r="C407" s="4">
        <v>867.3309</v>
      </c>
      <c r="D407" s="4" t="s">
        <v>21</v>
      </c>
      <c r="E407" s="4" t="s">
        <v>18</v>
      </c>
      <c r="F407" s="4">
        <v>93.94</v>
      </c>
      <c r="G407" s="4">
        <v>69.69</v>
      </c>
      <c r="H407" s="4">
        <v>2.4385888545E10</v>
      </c>
      <c r="I407" s="4">
        <v>3.3204791604E10</v>
      </c>
      <c r="J407" s="4" t="s">
        <v>963</v>
      </c>
      <c r="K407" s="4" t="s">
        <v>964</v>
      </c>
      <c r="L407" s="4">
        <v>3.73</v>
      </c>
      <c r="M407" s="4">
        <v>3235.14</v>
      </c>
      <c r="N407" s="4">
        <v>3235.0</v>
      </c>
      <c r="O407" s="4">
        <v>268505.0</v>
      </c>
      <c r="P407" s="4">
        <f t="shared" si="1"/>
        <v>73.13333333</v>
      </c>
      <c r="Q407" s="4" t="str">
        <f t="shared" si="2"/>
        <v>High</v>
      </c>
      <c r="R407" s="1" t="str">
        <f t="shared" si="3"/>
        <v>Normal</v>
      </c>
      <c r="S407" s="4">
        <f t="shared" si="4"/>
        <v>53.63550051</v>
      </c>
      <c r="T407" s="1" t="str">
        <f t="shared" si="5"/>
        <v>High Cost</v>
      </c>
      <c r="U407" s="4">
        <f t="shared" si="6"/>
        <v>0.03047056852</v>
      </c>
    </row>
    <row r="408">
      <c r="A408" s="4" t="s">
        <v>965</v>
      </c>
      <c r="B408" s="4" t="s">
        <v>26</v>
      </c>
      <c r="C408" s="4">
        <v>528.3413</v>
      </c>
      <c r="D408" s="4" t="s">
        <v>17</v>
      </c>
      <c r="E408" s="4" t="s">
        <v>74</v>
      </c>
      <c r="F408" s="4">
        <v>0.05</v>
      </c>
      <c r="G408" s="4">
        <v>75.85</v>
      </c>
      <c r="H408" s="4">
        <v>3.730728545E10</v>
      </c>
      <c r="I408" s="4">
        <v>4.0101055025E10</v>
      </c>
      <c r="J408" s="5">
        <v>45572.717361111114</v>
      </c>
      <c r="K408" s="4" t="s">
        <v>966</v>
      </c>
      <c r="L408" s="4">
        <v>9.16</v>
      </c>
      <c r="M408" s="4">
        <v>4839.61</v>
      </c>
      <c r="N408" s="4">
        <v>4840.0</v>
      </c>
      <c r="O408" s="4">
        <v>401720.0</v>
      </c>
      <c r="P408" s="4">
        <f t="shared" si="1"/>
        <v>91.93333333</v>
      </c>
      <c r="Q408" s="4" t="str">
        <f t="shared" si="2"/>
        <v>Underutilized</v>
      </c>
      <c r="R408" s="1" t="str">
        <f t="shared" si="3"/>
        <v>High</v>
      </c>
      <c r="S408" s="4">
        <f t="shared" si="4"/>
        <v>72.09213495</v>
      </c>
      <c r="T408" s="1" t="str">
        <f t="shared" si="5"/>
        <v>High Cost</v>
      </c>
      <c r="U408" s="4">
        <f t="shared" si="6"/>
        <v>0.009446878423</v>
      </c>
    </row>
    <row r="409">
      <c r="A409" s="4" t="s">
        <v>967</v>
      </c>
      <c r="B409" s="4" t="s">
        <v>57</v>
      </c>
      <c r="C409" s="4">
        <v>639.0835</v>
      </c>
      <c r="D409" s="4" t="s">
        <v>17</v>
      </c>
      <c r="E409" s="4" t="s">
        <v>123</v>
      </c>
      <c r="F409" s="4">
        <v>24.8</v>
      </c>
      <c r="G409" s="4">
        <v>95.47</v>
      </c>
      <c r="H409" s="4">
        <v>4.7512963582E10</v>
      </c>
      <c r="I409" s="4">
        <v>4.8898638003E10</v>
      </c>
      <c r="J409" s="4" t="s">
        <v>968</v>
      </c>
      <c r="K409" s="4" t="s">
        <v>969</v>
      </c>
      <c r="L409" s="4">
        <v>9.6</v>
      </c>
      <c r="M409" s="4">
        <v>6135.2</v>
      </c>
      <c r="N409" s="4">
        <v>6135.0</v>
      </c>
      <c r="O409" s="4">
        <v>509205.0</v>
      </c>
      <c r="P409" s="4">
        <f t="shared" si="1"/>
        <v>104.0666667</v>
      </c>
      <c r="Q409" s="4" t="str">
        <f t="shared" si="2"/>
        <v>Underutilized</v>
      </c>
      <c r="R409" s="1" t="str">
        <f t="shared" si="3"/>
        <v>High</v>
      </c>
      <c r="S409" s="4">
        <f t="shared" si="4"/>
        <v>89.79030101</v>
      </c>
      <c r="T409" s="1" t="str">
        <f t="shared" si="5"/>
        <v>High Cost</v>
      </c>
      <c r="U409" s="4">
        <f t="shared" si="6"/>
        <v>0.01180958553</v>
      </c>
    </row>
    <row r="410">
      <c r="A410" s="4" t="s">
        <v>970</v>
      </c>
      <c r="B410" s="4" t="s">
        <v>350</v>
      </c>
      <c r="C410" s="4">
        <v>645.113</v>
      </c>
      <c r="D410" s="4" t="s">
        <v>21</v>
      </c>
      <c r="E410" s="4" t="s">
        <v>74</v>
      </c>
      <c r="F410" s="4">
        <v>79.78</v>
      </c>
      <c r="G410" s="4">
        <v>48.02</v>
      </c>
      <c r="H410" s="4">
        <v>5.4561715828E10</v>
      </c>
      <c r="I410" s="4">
        <v>6.0378719013E10</v>
      </c>
      <c r="J410" s="4" t="s">
        <v>971</v>
      </c>
      <c r="K410" s="4" t="s">
        <v>972</v>
      </c>
      <c r="L410" s="4">
        <v>9.28</v>
      </c>
      <c r="M410" s="4">
        <v>5986.65</v>
      </c>
      <c r="N410" s="4">
        <v>5987.0</v>
      </c>
      <c r="O410" s="4">
        <v>496921.0</v>
      </c>
      <c r="P410" s="4">
        <f t="shared" si="1"/>
        <v>28.31666667</v>
      </c>
      <c r="Q410" s="4" t="str">
        <f t="shared" si="2"/>
        <v>High</v>
      </c>
      <c r="R410" s="1" t="str">
        <f t="shared" si="3"/>
        <v>Normal</v>
      </c>
      <c r="S410" s="4">
        <f t="shared" si="4"/>
        <v>107.0466217</v>
      </c>
      <c r="T410" s="1" t="str">
        <f t="shared" si="5"/>
        <v>High Cost</v>
      </c>
      <c r="U410" s="4">
        <f t="shared" si="6"/>
        <v>0.01285918687</v>
      </c>
    </row>
    <row r="411">
      <c r="A411" s="4" t="s">
        <v>973</v>
      </c>
      <c r="B411" s="4" t="s">
        <v>273</v>
      </c>
      <c r="C411" s="4">
        <v>40.7426</v>
      </c>
      <c r="D411" s="4" t="s">
        <v>17</v>
      </c>
      <c r="E411" s="4" t="s">
        <v>70</v>
      </c>
      <c r="F411" s="4">
        <v>48.74</v>
      </c>
      <c r="G411" s="4">
        <v>84.32</v>
      </c>
      <c r="H411" s="4">
        <v>1.084525696E9</v>
      </c>
      <c r="I411" s="4">
        <v>1.90840995E9</v>
      </c>
      <c r="J411" s="4" t="s">
        <v>974</v>
      </c>
      <c r="K411" s="4" t="s">
        <v>975</v>
      </c>
      <c r="L411" s="4">
        <v>2.93</v>
      </c>
      <c r="M411" s="4">
        <v>119.38</v>
      </c>
      <c r="N411" s="4">
        <v>119.0</v>
      </c>
      <c r="O411" s="4">
        <v>9877.0</v>
      </c>
      <c r="P411" s="4">
        <f t="shared" si="1"/>
        <v>108.5333333</v>
      </c>
      <c r="Q411" s="4" t="str">
        <f t="shared" si="2"/>
        <v>Normal</v>
      </c>
      <c r="R411" s="1" t="str">
        <f t="shared" si="3"/>
        <v>High</v>
      </c>
      <c r="S411" s="4">
        <f t="shared" si="4"/>
        <v>2.787388531</v>
      </c>
      <c r="T411" s="1" t="str">
        <f t="shared" si="5"/>
        <v>Normal Cost</v>
      </c>
      <c r="U411" s="4">
        <f t="shared" si="6"/>
        <v>0.6735850967</v>
      </c>
    </row>
    <row r="412">
      <c r="A412" s="4" t="s">
        <v>976</v>
      </c>
      <c r="B412" s="4" t="s">
        <v>112</v>
      </c>
      <c r="C412" s="4">
        <v>126.35</v>
      </c>
      <c r="D412" s="4" t="s">
        <v>42</v>
      </c>
      <c r="E412" s="4" t="s">
        <v>155</v>
      </c>
      <c r="F412" s="4">
        <v>83.1</v>
      </c>
      <c r="G412" s="4">
        <v>14.15</v>
      </c>
      <c r="H412" s="4">
        <v>1.147988415E9</v>
      </c>
      <c r="I412" s="4">
        <v>2.039725231E9</v>
      </c>
      <c r="J412" s="5">
        <v>45542.70694444444</v>
      </c>
      <c r="K412" s="4" t="s">
        <v>977</v>
      </c>
      <c r="L412" s="4">
        <v>1.52</v>
      </c>
      <c r="M412" s="4">
        <v>192.05</v>
      </c>
      <c r="N412" s="4">
        <v>192.0</v>
      </c>
      <c r="O412" s="4">
        <v>15936.0</v>
      </c>
      <c r="P412" s="4">
        <f t="shared" si="1"/>
        <v>126.35</v>
      </c>
      <c r="Q412" s="4" t="str">
        <f t="shared" si="2"/>
        <v>High</v>
      </c>
      <c r="R412" s="1" t="str">
        <f t="shared" si="3"/>
        <v>Underutilized</v>
      </c>
      <c r="S412" s="4">
        <f t="shared" si="4"/>
        <v>2.96878968</v>
      </c>
      <c r="T412" s="1" t="str">
        <f t="shared" si="5"/>
        <v>Normal Cost</v>
      </c>
      <c r="U412" s="4">
        <f t="shared" si="6"/>
        <v>0.305126757</v>
      </c>
    </row>
    <row r="413">
      <c r="A413" s="4" t="s">
        <v>978</v>
      </c>
      <c r="B413" s="4" t="s">
        <v>20</v>
      </c>
      <c r="C413" s="4">
        <v>99.439</v>
      </c>
      <c r="D413" s="4" t="s">
        <v>17</v>
      </c>
      <c r="E413" s="4" t="s">
        <v>27</v>
      </c>
      <c r="F413" s="4">
        <v>32.08</v>
      </c>
      <c r="G413" s="4">
        <v>0.2</v>
      </c>
      <c r="H413" s="4">
        <v>2.7035224267E10</v>
      </c>
      <c r="I413" s="4">
        <v>3.0966799762E10</v>
      </c>
      <c r="J413" s="4" t="s">
        <v>979</v>
      </c>
      <c r="K413" s="4" t="s">
        <v>980</v>
      </c>
      <c r="L413" s="4">
        <v>4.48</v>
      </c>
      <c r="M413" s="4">
        <v>445.49</v>
      </c>
      <c r="N413" s="4">
        <v>445.0</v>
      </c>
      <c r="O413" s="4">
        <v>36935.0</v>
      </c>
      <c r="P413" s="4">
        <f t="shared" si="1"/>
        <v>113.8833333</v>
      </c>
      <c r="Q413" s="4" t="str">
        <f t="shared" si="2"/>
        <v>Normal</v>
      </c>
      <c r="R413" s="1" t="str">
        <f t="shared" si="3"/>
        <v>Underutilized</v>
      </c>
      <c r="S413" s="4">
        <f t="shared" si="4"/>
        <v>54.01859435</v>
      </c>
      <c r="T413" s="1" t="str">
        <f t="shared" si="5"/>
        <v>Normal Cost</v>
      </c>
      <c r="U413" s="4">
        <f t="shared" si="6"/>
        <v>0.04369838906</v>
      </c>
    </row>
    <row r="414">
      <c r="A414" s="4" t="s">
        <v>981</v>
      </c>
      <c r="B414" s="4" t="s">
        <v>26</v>
      </c>
      <c r="C414" s="4">
        <v>920.6326</v>
      </c>
      <c r="D414" s="4" t="s">
        <v>21</v>
      </c>
      <c r="E414" s="4" t="s">
        <v>105</v>
      </c>
      <c r="F414" s="4">
        <v>98.57</v>
      </c>
      <c r="G414" s="4">
        <v>99.09</v>
      </c>
      <c r="H414" s="4">
        <v>5.4809300779E10</v>
      </c>
      <c r="I414" s="4">
        <v>5.5666754879E10</v>
      </c>
      <c r="J414" s="5">
        <v>45299.339583333334</v>
      </c>
      <c r="K414" s="5">
        <v>45390.67986111111</v>
      </c>
      <c r="L414" s="4">
        <v>8.89</v>
      </c>
      <c r="M414" s="4">
        <v>8184.42</v>
      </c>
      <c r="N414" s="4">
        <v>8184.0</v>
      </c>
      <c r="O414" s="4">
        <v>679272.0</v>
      </c>
      <c r="P414" s="4">
        <f t="shared" si="1"/>
        <v>80.16666667</v>
      </c>
      <c r="Q414" s="4" t="str">
        <f t="shared" si="2"/>
        <v>High</v>
      </c>
      <c r="R414" s="1" t="str">
        <f t="shared" si="3"/>
        <v>High</v>
      </c>
      <c r="S414" s="4">
        <f t="shared" si="4"/>
        <v>102.8888446</v>
      </c>
      <c r="T414" s="1" t="str">
        <f t="shared" si="5"/>
        <v>High Cost</v>
      </c>
      <c r="U414" s="4">
        <f t="shared" si="6"/>
        <v>0.01454939995</v>
      </c>
    </row>
    <row r="415">
      <c r="A415" s="4" t="s">
        <v>982</v>
      </c>
      <c r="B415" s="4" t="s">
        <v>139</v>
      </c>
      <c r="C415" s="4">
        <v>101.9333</v>
      </c>
      <c r="D415" s="4" t="s">
        <v>42</v>
      </c>
      <c r="E415" s="4" t="s">
        <v>105</v>
      </c>
      <c r="F415" s="4">
        <v>88.82</v>
      </c>
      <c r="G415" s="4">
        <v>39.26</v>
      </c>
      <c r="H415" s="4">
        <v>6.3709431289E10</v>
      </c>
      <c r="I415" s="4">
        <v>7.0241940966E10</v>
      </c>
      <c r="J415" s="4" t="s">
        <v>983</v>
      </c>
      <c r="K415" s="5">
        <v>45330.23541666667</v>
      </c>
      <c r="L415" s="4">
        <v>1.33</v>
      </c>
      <c r="M415" s="4">
        <v>135.57</v>
      </c>
      <c r="N415" s="4">
        <v>136.0</v>
      </c>
      <c r="O415" s="4">
        <v>11288.0</v>
      </c>
      <c r="P415" s="4">
        <f t="shared" si="1"/>
        <v>101.9333333</v>
      </c>
      <c r="Q415" s="4" t="str">
        <f t="shared" si="2"/>
        <v>High</v>
      </c>
      <c r="R415" s="1" t="str">
        <f t="shared" si="3"/>
        <v>Underutilized</v>
      </c>
      <c r="S415" s="4">
        <f t="shared" si="4"/>
        <v>124.7519369</v>
      </c>
      <c r="T415" s="1" t="str">
        <f t="shared" si="5"/>
        <v>Normal Cost</v>
      </c>
      <c r="U415" s="4">
        <f t="shared" si="6"/>
        <v>0.5673281361</v>
      </c>
    </row>
    <row r="416">
      <c r="A416" s="4" t="s">
        <v>984</v>
      </c>
      <c r="B416" s="4" t="s">
        <v>169</v>
      </c>
      <c r="C416" s="4">
        <v>717.5885</v>
      </c>
      <c r="D416" s="4" t="s">
        <v>17</v>
      </c>
      <c r="E416" s="4" t="s">
        <v>32</v>
      </c>
      <c r="F416" s="4">
        <v>79.24</v>
      </c>
      <c r="G416" s="4">
        <v>95.25</v>
      </c>
      <c r="H416" s="4">
        <v>8.1736099653E10</v>
      </c>
      <c r="I416" s="4">
        <v>8.8202065814E10</v>
      </c>
      <c r="J416" s="5">
        <v>45298.14722222222</v>
      </c>
      <c r="K416" s="5">
        <v>45329.60625</v>
      </c>
      <c r="L416" s="4">
        <v>1.08</v>
      </c>
      <c r="M416" s="4">
        <v>775.0</v>
      </c>
      <c r="N416" s="4">
        <v>775.0</v>
      </c>
      <c r="O416" s="4">
        <v>64325.0</v>
      </c>
      <c r="P416" s="4">
        <f t="shared" si="1"/>
        <v>35.01666667</v>
      </c>
      <c r="Q416" s="4" t="str">
        <f t="shared" si="2"/>
        <v>High</v>
      </c>
      <c r="R416" s="1" t="str">
        <f t="shared" si="3"/>
        <v>High</v>
      </c>
      <c r="S416" s="4">
        <f t="shared" si="4"/>
        <v>158.2672498</v>
      </c>
      <c r="T416" s="1" t="str">
        <f t="shared" si="5"/>
        <v>Normal Cost</v>
      </c>
      <c r="U416" s="4">
        <f t="shared" si="6"/>
        <v>0.1356315585</v>
      </c>
    </row>
    <row r="417">
      <c r="A417" s="4" t="s">
        <v>985</v>
      </c>
      <c r="B417" s="4" t="s">
        <v>62</v>
      </c>
      <c r="C417" s="4">
        <v>120.0333</v>
      </c>
      <c r="D417" s="4" t="s">
        <v>42</v>
      </c>
      <c r="E417" s="4" t="s">
        <v>37</v>
      </c>
      <c r="F417" s="4">
        <v>95.69</v>
      </c>
      <c r="G417" s="4">
        <v>89.69</v>
      </c>
      <c r="H417" s="4">
        <v>4.1531939962E10</v>
      </c>
      <c r="I417" s="4">
        <v>4.3212400155E10</v>
      </c>
      <c r="J417" s="4" t="s">
        <v>986</v>
      </c>
      <c r="K417" s="4" t="s">
        <v>987</v>
      </c>
      <c r="L417" s="4">
        <v>5.11</v>
      </c>
      <c r="M417" s="4">
        <v>613.37</v>
      </c>
      <c r="N417" s="4">
        <v>613.0</v>
      </c>
      <c r="O417" s="4">
        <v>50879.0</v>
      </c>
      <c r="P417" s="4">
        <f t="shared" si="1"/>
        <v>120.0333333</v>
      </c>
      <c r="Q417" s="4" t="str">
        <f t="shared" si="2"/>
        <v>High</v>
      </c>
      <c r="R417" s="1" t="str">
        <f t="shared" si="3"/>
        <v>High</v>
      </c>
      <c r="S417" s="4">
        <f t="shared" si="4"/>
        <v>78.92431702</v>
      </c>
      <c r="T417" s="1" t="str">
        <f t="shared" si="5"/>
        <v>Normal Cost</v>
      </c>
      <c r="U417" s="4">
        <f t="shared" si="6"/>
        <v>0.1821773227</v>
      </c>
    </row>
    <row r="418">
      <c r="A418" s="4" t="s">
        <v>988</v>
      </c>
      <c r="B418" s="4" t="s">
        <v>66</v>
      </c>
      <c r="C418" s="4">
        <v>395.5674</v>
      </c>
      <c r="D418" s="4" t="s">
        <v>21</v>
      </c>
      <c r="E418" s="4" t="s">
        <v>54</v>
      </c>
      <c r="F418" s="4">
        <v>52.88</v>
      </c>
      <c r="G418" s="4">
        <v>25.92</v>
      </c>
      <c r="H418" s="4">
        <v>3.2232166555E10</v>
      </c>
      <c r="I418" s="4">
        <v>3.7663255388E10</v>
      </c>
      <c r="J418" s="4" t="s">
        <v>989</v>
      </c>
      <c r="K418" s="4" t="s">
        <v>990</v>
      </c>
      <c r="L418" s="4">
        <v>7.03</v>
      </c>
      <c r="M418" s="4">
        <v>2780.84</v>
      </c>
      <c r="N418" s="4">
        <v>2781.0</v>
      </c>
      <c r="O418" s="4">
        <v>230823.0</v>
      </c>
      <c r="P418" s="4">
        <f t="shared" si="1"/>
        <v>103.3</v>
      </c>
      <c r="Q418" s="4" t="str">
        <f t="shared" si="2"/>
        <v>Normal</v>
      </c>
      <c r="R418" s="1" t="str">
        <f t="shared" si="3"/>
        <v>Underutilized</v>
      </c>
      <c r="S418" s="4">
        <f t="shared" si="4"/>
        <v>65.09518432</v>
      </c>
      <c r="T418" s="1" t="str">
        <f t="shared" si="5"/>
        <v>High Cost</v>
      </c>
      <c r="U418" s="4">
        <f t="shared" si="6"/>
        <v>0.01706935617</v>
      </c>
    </row>
    <row r="419">
      <c r="A419" s="4" t="s">
        <v>991</v>
      </c>
      <c r="B419" s="4" t="s">
        <v>99</v>
      </c>
      <c r="C419" s="4">
        <v>587.3453</v>
      </c>
      <c r="D419" s="4" t="s">
        <v>21</v>
      </c>
      <c r="E419" s="4" t="s">
        <v>74</v>
      </c>
      <c r="F419" s="4">
        <v>63.44</v>
      </c>
      <c r="G419" s="4">
        <v>18.89</v>
      </c>
      <c r="H419" s="4">
        <v>4.6826151869E10</v>
      </c>
      <c r="I419" s="4">
        <v>4.8304722578E10</v>
      </c>
      <c r="J419" s="5">
        <v>45603.370833333334</v>
      </c>
      <c r="K419" s="4" t="s">
        <v>992</v>
      </c>
      <c r="L419" s="4">
        <v>7.02</v>
      </c>
      <c r="M419" s="4">
        <v>4123.16</v>
      </c>
      <c r="N419" s="4">
        <v>4123.0</v>
      </c>
      <c r="O419" s="4">
        <v>342209.0</v>
      </c>
      <c r="P419" s="4">
        <f t="shared" si="1"/>
        <v>49.65</v>
      </c>
      <c r="Q419" s="4" t="str">
        <f t="shared" si="2"/>
        <v>Normal</v>
      </c>
      <c r="R419" s="1" t="str">
        <f t="shared" si="3"/>
        <v>Underutilized</v>
      </c>
      <c r="S419" s="4">
        <f t="shared" si="4"/>
        <v>88.59753092</v>
      </c>
      <c r="T419" s="1" t="str">
        <f t="shared" si="5"/>
        <v>High Cost</v>
      </c>
      <c r="U419" s="4">
        <f t="shared" si="6"/>
        <v>0.01202919853</v>
      </c>
    </row>
    <row r="420">
      <c r="A420" s="4" t="s">
        <v>993</v>
      </c>
      <c r="B420" s="4" t="s">
        <v>83</v>
      </c>
      <c r="C420" s="4">
        <v>324.2647</v>
      </c>
      <c r="D420" s="4" t="s">
        <v>21</v>
      </c>
      <c r="E420" s="4" t="s">
        <v>54</v>
      </c>
      <c r="F420" s="4">
        <v>40.23</v>
      </c>
      <c r="G420" s="4">
        <v>67.49</v>
      </c>
      <c r="H420" s="4">
        <v>5.5430618756E10</v>
      </c>
      <c r="I420" s="4">
        <v>5.6713923891E10</v>
      </c>
      <c r="J420" s="5">
        <v>45389.072916666664</v>
      </c>
      <c r="K420" s="5">
        <v>45480.486805555556</v>
      </c>
      <c r="L420" s="4">
        <v>2.94</v>
      </c>
      <c r="M420" s="4">
        <v>953.34</v>
      </c>
      <c r="N420" s="4">
        <v>953.0</v>
      </c>
      <c r="O420" s="4">
        <v>79099.0</v>
      </c>
      <c r="P420" s="4">
        <f t="shared" si="1"/>
        <v>81.93333333</v>
      </c>
      <c r="Q420" s="4" t="str">
        <f t="shared" si="2"/>
        <v>Normal</v>
      </c>
      <c r="R420" s="1" t="str">
        <f t="shared" si="3"/>
        <v>Normal</v>
      </c>
      <c r="S420" s="4">
        <f t="shared" si="4"/>
        <v>104.4427442</v>
      </c>
      <c r="T420" s="1" t="str">
        <f t="shared" si="5"/>
        <v>Normal Cost</v>
      </c>
      <c r="U420" s="4">
        <f t="shared" si="6"/>
        <v>0.06809188485</v>
      </c>
    </row>
    <row r="421">
      <c r="A421" s="4" t="s">
        <v>994</v>
      </c>
      <c r="B421" s="4" t="s">
        <v>66</v>
      </c>
      <c r="C421" s="4">
        <v>614.073</v>
      </c>
      <c r="D421" s="4" t="s">
        <v>17</v>
      </c>
      <c r="E421" s="4" t="s">
        <v>37</v>
      </c>
      <c r="F421" s="4">
        <v>19.8</v>
      </c>
      <c r="G421" s="4">
        <v>65.78</v>
      </c>
      <c r="H421" s="4">
        <v>2.0383355094E10</v>
      </c>
      <c r="I421" s="4">
        <v>2.2444401768E10</v>
      </c>
      <c r="J421" s="4" t="s">
        <v>995</v>
      </c>
      <c r="K421" s="4" t="s">
        <v>996</v>
      </c>
      <c r="L421" s="4">
        <v>1.98</v>
      </c>
      <c r="M421" s="4">
        <v>1215.86</v>
      </c>
      <c r="N421" s="4">
        <v>1216.0</v>
      </c>
      <c r="O421" s="4">
        <v>100928.0</v>
      </c>
      <c r="P421" s="4">
        <f t="shared" si="1"/>
        <v>28.03333333</v>
      </c>
      <c r="Q421" s="4" t="str">
        <f t="shared" si="2"/>
        <v>Underutilized</v>
      </c>
      <c r="R421" s="1" t="str">
        <f t="shared" si="3"/>
        <v>Normal</v>
      </c>
      <c r="S421" s="4">
        <f t="shared" si="4"/>
        <v>39.88645679</v>
      </c>
      <c r="T421" s="1" t="str">
        <f t="shared" si="5"/>
        <v>Normal Cost</v>
      </c>
      <c r="U421" s="4">
        <f t="shared" si="6"/>
        <v>0.04239655992</v>
      </c>
    </row>
    <row r="422">
      <c r="A422" s="4" t="s">
        <v>997</v>
      </c>
      <c r="B422" s="4" t="s">
        <v>83</v>
      </c>
      <c r="C422" s="4">
        <v>807.3648</v>
      </c>
      <c r="D422" s="4" t="s">
        <v>21</v>
      </c>
      <c r="E422" s="4" t="s">
        <v>54</v>
      </c>
      <c r="F422" s="4">
        <v>76.75</v>
      </c>
      <c r="G422" s="4">
        <v>96.32</v>
      </c>
      <c r="H422" s="4">
        <v>7.7535591565E10</v>
      </c>
      <c r="I422" s="4">
        <v>7.7780082072E10</v>
      </c>
      <c r="J422" s="5">
        <v>45512.02569444444</v>
      </c>
      <c r="K422" s="5">
        <v>45604.89722222222</v>
      </c>
      <c r="L422" s="4">
        <v>7.14</v>
      </c>
      <c r="M422" s="4">
        <v>5764.58</v>
      </c>
      <c r="N422" s="4">
        <v>5765.0</v>
      </c>
      <c r="O422" s="4">
        <v>478495.0</v>
      </c>
      <c r="P422" s="4">
        <f t="shared" si="1"/>
        <v>92.91666667</v>
      </c>
      <c r="Q422" s="4" t="str">
        <f t="shared" si="2"/>
        <v>High</v>
      </c>
      <c r="R422" s="1" t="str">
        <f t="shared" si="3"/>
        <v>High</v>
      </c>
      <c r="S422" s="4">
        <f t="shared" si="4"/>
        <v>144.648993</v>
      </c>
      <c r="T422" s="1" t="str">
        <f t="shared" si="5"/>
        <v>High Cost</v>
      </c>
      <c r="U422" s="4">
        <f t="shared" si="6"/>
        <v>0.01808482847</v>
      </c>
    </row>
    <row r="423">
      <c r="A423" s="4" t="s">
        <v>998</v>
      </c>
      <c r="B423" s="4" t="s">
        <v>79</v>
      </c>
      <c r="C423" s="4">
        <v>16.8857</v>
      </c>
      <c r="D423" s="4" t="s">
        <v>21</v>
      </c>
      <c r="E423" s="4" t="s">
        <v>58</v>
      </c>
      <c r="F423" s="4">
        <v>46.66</v>
      </c>
      <c r="G423" s="4">
        <v>62.41</v>
      </c>
      <c r="H423" s="4">
        <v>5.8620649414E10</v>
      </c>
      <c r="I423" s="4">
        <v>6.0728572134E10</v>
      </c>
      <c r="J423" s="4" t="s">
        <v>999</v>
      </c>
      <c r="K423" s="5">
        <v>45330.07638888889</v>
      </c>
      <c r="L423" s="4">
        <v>1.26</v>
      </c>
      <c r="M423" s="4">
        <v>21.28</v>
      </c>
      <c r="N423" s="4">
        <v>21.0</v>
      </c>
      <c r="O423" s="4">
        <v>1743.0</v>
      </c>
      <c r="P423" s="4">
        <f t="shared" si="1"/>
        <v>48.36666667</v>
      </c>
      <c r="Q423" s="4" t="str">
        <f t="shared" si="2"/>
        <v>Normal</v>
      </c>
      <c r="R423" s="1" t="str">
        <f t="shared" si="3"/>
        <v>Normal</v>
      </c>
      <c r="S423" s="4">
        <f t="shared" si="4"/>
        <v>111.1526243</v>
      </c>
      <c r="T423" s="1" t="str">
        <f t="shared" si="5"/>
        <v>Normal Cost</v>
      </c>
      <c r="U423" s="4">
        <f t="shared" si="6"/>
        <v>3.128800918</v>
      </c>
    </row>
    <row r="424">
      <c r="A424" s="4" t="s">
        <v>1000</v>
      </c>
      <c r="B424" s="4" t="s">
        <v>83</v>
      </c>
      <c r="C424" s="4">
        <v>407.0216</v>
      </c>
      <c r="D424" s="4" t="s">
        <v>21</v>
      </c>
      <c r="E424" s="4" t="s">
        <v>58</v>
      </c>
      <c r="F424" s="4">
        <v>45.75</v>
      </c>
      <c r="G424" s="4">
        <v>59.94</v>
      </c>
      <c r="H424" s="4">
        <v>5.443310677E10</v>
      </c>
      <c r="I424" s="4">
        <v>6.3658957107E10</v>
      </c>
      <c r="J424" s="4" t="s">
        <v>1001</v>
      </c>
      <c r="K424" s="5">
        <v>45330.1375</v>
      </c>
      <c r="L424" s="4">
        <v>6.88</v>
      </c>
      <c r="M424" s="4">
        <v>2800.31</v>
      </c>
      <c r="N424" s="4">
        <v>2800.0</v>
      </c>
      <c r="O424" s="4">
        <v>232400.0</v>
      </c>
      <c r="P424" s="4">
        <f t="shared" si="1"/>
        <v>82.88333333</v>
      </c>
      <c r="Q424" s="4" t="str">
        <f t="shared" si="2"/>
        <v>Normal</v>
      </c>
      <c r="R424" s="1" t="str">
        <f t="shared" si="3"/>
        <v>Normal</v>
      </c>
      <c r="S424" s="4">
        <f t="shared" si="4"/>
        <v>109.981805</v>
      </c>
      <c r="T424" s="1" t="str">
        <f t="shared" si="5"/>
        <v>High Cost</v>
      </c>
      <c r="U424" s="4">
        <f t="shared" si="6"/>
        <v>0.02273881239</v>
      </c>
    </row>
    <row r="425">
      <c r="A425" s="4" t="s">
        <v>1002</v>
      </c>
      <c r="B425" s="4" t="s">
        <v>122</v>
      </c>
      <c r="C425" s="4">
        <v>953.947</v>
      </c>
      <c r="D425" s="4" t="s">
        <v>17</v>
      </c>
      <c r="E425" s="4" t="s">
        <v>105</v>
      </c>
      <c r="F425" s="4">
        <v>84.53</v>
      </c>
      <c r="G425" s="4">
        <v>96.7</v>
      </c>
      <c r="H425" s="4">
        <v>2.5150370134E10</v>
      </c>
      <c r="I425" s="4">
        <v>2.6991644659E10</v>
      </c>
      <c r="J425" s="4" t="s">
        <v>1003</v>
      </c>
      <c r="K425" s="4" t="s">
        <v>1004</v>
      </c>
      <c r="L425" s="4">
        <v>1.8</v>
      </c>
      <c r="M425" s="4">
        <v>1717.1</v>
      </c>
      <c r="N425" s="4">
        <v>1717.0</v>
      </c>
      <c r="O425" s="4">
        <v>142511.0</v>
      </c>
      <c r="P425" s="4">
        <f t="shared" si="1"/>
        <v>83.56666667</v>
      </c>
      <c r="Q425" s="4" t="str">
        <f t="shared" si="2"/>
        <v>High</v>
      </c>
      <c r="R425" s="1" t="str">
        <f t="shared" si="3"/>
        <v>High</v>
      </c>
      <c r="S425" s="4">
        <f t="shared" si="4"/>
        <v>48.56103546</v>
      </c>
      <c r="T425" s="1" t="str">
        <f t="shared" si="5"/>
        <v>Normal Cost</v>
      </c>
      <c r="U425" s="4">
        <f t="shared" si="6"/>
        <v>0.0635845654</v>
      </c>
    </row>
    <row r="426">
      <c r="A426" s="4" t="s">
        <v>1005</v>
      </c>
      <c r="B426" s="4" t="s">
        <v>46</v>
      </c>
      <c r="C426" s="4">
        <v>765.118</v>
      </c>
      <c r="D426" s="4" t="s">
        <v>21</v>
      </c>
      <c r="E426" s="4" t="s">
        <v>37</v>
      </c>
      <c r="F426" s="4">
        <v>77.63</v>
      </c>
      <c r="G426" s="4">
        <v>99.01</v>
      </c>
      <c r="H426" s="4">
        <v>6.0151911059E10</v>
      </c>
      <c r="I426" s="4">
        <v>6.3678591085E10</v>
      </c>
      <c r="J426" s="5">
        <v>45480.572222222225</v>
      </c>
      <c r="K426" s="5">
        <v>45633.52291666667</v>
      </c>
      <c r="L426" s="4">
        <v>4.05</v>
      </c>
      <c r="M426" s="4">
        <v>3098.73</v>
      </c>
      <c r="N426" s="4">
        <v>3099.0</v>
      </c>
      <c r="O426" s="4">
        <v>257217.0</v>
      </c>
      <c r="P426" s="4">
        <f t="shared" si="1"/>
        <v>118.8166667</v>
      </c>
      <c r="Q426" s="4" t="str">
        <f t="shared" si="2"/>
        <v>High</v>
      </c>
      <c r="R426" s="1" t="str">
        <f t="shared" si="3"/>
        <v>High</v>
      </c>
      <c r="S426" s="4">
        <f t="shared" si="4"/>
        <v>115.3261421</v>
      </c>
      <c r="T426" s="1" t="str">
        <f t="shared" si="5"/>
        <v>High Cost</v>
      </c>
      <c r="U426" s="4">
        <f t="shared" si="6"/>
        <v>0.03433676623</v>
      </c>
    </row>
    <row r="427">
      <c r="A427" s="4" t="s">
        <v>1006</v>
      </c>
      <c r="B427" s="4" t="s">
        <v>112</v>
      </c>
      <c r="C427" s="4">
        <v>67.65</v>
      </c>
      <c r="D427" s="4" t="s">
        <v>42</v>
      </c>
      <c r="E427" s="4" t="s">
        <v>70</v>
      </c>
      <c r="F427" s="4">
        <v>11.6</v>
      </c>
      <c r="G427" s="4">
        <v>26.83</v>
      </c>
      <c r="H427" s="4">
        <v>5.4241583252E10</v>
      </c>
      <c r="I427" s="4">
        <v>5.9300414025E10</v>
      </c>
      <c r="J427" s="5">
        <v>45511.07013888889</v>
      </c>
      <c r="K427" s="5">
        <v>45572.88888888889</v>
      </c>
      <c r="L427" s="4">
        <v>9.46</v>
      </c>
      <c r="M427" s="4">
        <v>639.97</v>
      </c>
      <c r="N427" s="4">
        <v>640.0</v>
      </c>
      <c r="O427" s="4">
        <v>53120.0</v>
      </c>
      <c r="P427" s="4">
        <f t="shared" si="1"/>
        <v>67.65</v>
      </c>
      <c r="Q427" s="4" t="str">
        <f t="shared" si="2"/>
        <v>Underutilized</v>
      </c>
      <c r="R427" s="1" t="str">
        <f t="shared" si="3"/>
        <v>Underutilized</v>
      </c>
      <c r="S427" s="4">
        <f t="shared" si="4"/>
        <v>105.7442252</v>
      </c>
      <c r="T427" s="1" t="str">
        <f t="shared" si="5"/>
        <v>Normal Cost</v>
      </c>
      <c r="U427" s="4">
        <f t="shared" si="6"/>
        <v>0.03617281627</v>
      </c>
    </row>
    <row r="428">
      <c r="A428" s="4" t="s">
        <v>1007</v>
      </c>
      <c r="B428" s="4" t="s">
        <v>60</v>
      </c>
      <c r="C428" s="4">
        <v>112.4167</v>
      </c>
      <c r="D428" s="4" t="s">
        <v>42</v>
      </c>
      <c r="E428" s="4" t="s">
        <v>105</v>
      </c>
      <c r="F428" s="4">
        <v>2.99</v>
      </c>
      <c r="G428" s="4">
        <v>45.28</v>
      </c>
      <c r="H428" s="4">
        <v>2.7372833458E10</v>
      </c>
      <c r="I428" s="4">
        <v>3.4999187336E10</v>
      </c>
      <c r="J428" s="4" t="s">
        <v>1008</v>
      </c>
      <c r="K428" s="4" t="s">
        <v>1009</v>
      </c>
      <c r="L428" s="4">
        <v>5.07</v>
      </c>
      <c r="M428" s="4">
        <v>569.95</v>
      </c>
      <c r="N428" s="4">
        <v>570.0</v>
      </c>
      <c r="O428" s="4">
        <v>47310.0</v>
      </c>
      <c r="P428" s="4">
        <f t="shared" si="1"/>
        <v>112.4166667</v>
      </c>
      <c r="Q428" s="4" t="str">
        <f t="shared" si="2"/>
        <v>Underutilized</v>
      </c>
      <c r="R428" s="1" t="str">
        <f t="shared" si="3"/>
        <v>Normal</v>
      </c>
      <c r="S428" s="4">
        <f t="shared" si="4"/>
        <v>58.08847099</v>
      </c>
      <c r="T428" s="1" t="str">
        <f t="shared" si="5"/>
        <v>Normal Cost</v>
      </c>
      <c r="U428" s="4">
        <f t="shared" si="6"/>
        <v>0.05101458465</v>
      </c>
    </row>
    <row r="429">
      <c r="A429" s="4" t="s">
        <v>1010</v>
      </c>
      <c r="B429" s="4" t="s">
        <v>60</v>
      </c>
      <c r="C429" s="4">
        <v>134.2333</v>
      </c>
      <c r="D429" s="4" t="s">
        <v>42</v>
      </c>
      <c r="E429" s="4" t="s">
        <v>70</v>
      </c>
      <c r="F429" s="4">
        <v>64.78</v>
      </c>
      <c r="G429" s="4">
        <v>85.55</v>
      </c>
      <c r="H429" s="4">
        <v>8.6766791508E10</v>
      </c>
      <c r="I429" s="4">
        <v>9.0442562221E10</v>
      </c>
      <c r="J429" s="5">
        <v>45298.71041666667</v>
      </c>
      <c r="K429" s="5">
        <v>45480.30347222222</v>
      </c>
      <c r="L429" s="4">
        <v>4.61</v>
      </c>
      <c r="M429" s="4">
        <v>618.82</v>
      </c>
      <c r="N429" s="4">
        <v>619.0</v>
      </c>
      <c r="O429" s="4">
        <v>51377.0</v>
      </c>
      <c r="P429" s="4">
        <f t="shared" si="1"/>
        <v>134.2333333</v>
      </c>
      <c r="Q429" s="4" t="str">
        <f t="shared" si="2"/>
        <v>Normal</v>
      </c>
      <c r="R429" s="1" t="str">
        <f t="shared" si="3"/>
        <v>High</v>
      </c>
      <c r="S429" s="4">
        <f t="shared" si="4"/>
        <v>165.0390716</v>
      </c>
      <c r="T429" s="1" t="str">
        <f t="shared" si="5"/>
        <v>Normal Cost</v>
      </c>
      <c r="U429" s="4">
        <f t="shared" si="6"/>
        <v>0.1463008739</v>
      </c>
    </row>
    <row r="430">
      <c r="A430" s="4" t="s">
        <v>1011</v>
      </c>
      <c r="B430" s="4" t="s">
        <v>139</v>
      </c>
      <c r="C430" s="4">
        <v>26.9667</v>
      </c>
      <c r="D430" s="4" t="s">
        <v>42</v>
      </c>
      <c r="E430" s="4" t="s">
        <v>22</v>
      </c>
      <c r="F430" s="4">
        <v>52.87</v>
      </c>
      <c r="G430" s="4">
        <v>12.57</v>
      </c>
      <c r="H430" s="4">
        <v>3.2172473599E10</v>
      </c>
      <c r="I430" s="4">
        <v>3.6455010138E10</v>
      </c>
      <c r="J430" s="5">
        <v>45390.45208333333</v>
      </c>
      <c r="K430" s="5">
        <v>45420.575694444444</v>
      </c>
      <c r="L430" s="4">
        <v>5.68</v>
      </c>
      <c r="M430" s="4">
        <v>153.17</v>
      </c>
      <c r="N430" s="4">
        <v>153.0</v>
      </c>
      <c r="O430" s="4">
        <v>12699.0</v>
      </c>
      <c r="P430" s="4">
        <f t="shared" si="1"/>
        <v>26.96666667</v>
      </c>
      <c r="Q430" s="4" t="str">
        <f t="shared" si="2"/>
        <v>Normal</v>
      </c>
      <c r="R430" s="1" t="str">
        <f t="shared" si="3"/>
        <v>Underutilized</v>
      </c>
      <c r="S430" s="4">
        <f t="shared" si="4"/>
        <v>63.91432484</v>
      </c>
      <c r="T430" s="1" t="str">
        <f t="shared" si="5"/>
        <v>Normal Cost</v>
      </c>
      <c r="U430" s="4">
        <f t="shared" si="6"/>
        <v>0.2576580833</v>
      </c>
    </row>
    <row r="431">
      <c r="A431" s="4" t="s">
        <v>1012</v>
      </c>
      <c r="B431" s="4" t="s">
        <v>62</v>
      </c>
      <c r="C431" s="4">
        <v>91.8667</v>
      </c>
      <c r="D431" s="4" t="s">
        <v>42</v>
      </c>
      <c r="E431" s="4" t="s">
        <v>70</v>
      </c>
      <c r="F431" s="4">
        <v>71.61</v>
      </c>
      <c r="G431" s="4">
        <v>22.98</v>
      </c>
      <c r="H431" s="4">
        <v>6.8957858292E10</v>
      </c>
      <c r="I431" s="4">
        <v>7.2151157511E10</v>
      </c>
      <c r="J431" s="5">
        <v>45358.99791666667</v>
      </c>
      <c r="K431" s="5">
        <v>45480.825694444444</v>
      </c>
      <c r="L431" s="4">
        <v>8.18</v>
      </c>
      <c r="M431" s="4">
        <v>751.47</v>
      </c>
      <c r="N431" s="4">
        <v>751.0</v>
      </c>
      <c r="O431" s="4">
        <v>62333.0</v>
      </c>
      <c r="P431" s="4">
        <f t="shared" si="1"/>
        <v>91.86666667</v>
      </c>
      <c r="Q431" s="4" t="str">
        <f t="shared" si="2"/>
        <v>High</v>
      </c>
      <c r="R431" s="1" t="str">
        <f t="shared" si="3"/>
        <v>Underutilized</v>
      </c>
      <c r="S431" s="4">
        <f t="shared" si="4"/>
        <v>131.4180119</v>
      </c>
      <c r="T431" s="1" t="str">
        <f t="shared" si="5"/>
        <v>Normal Cost</v>
      </c>
      <c r="U431" s="4">
        <f t="shared" si="6"/>
        <v>0.0758747373</v>
      </c>
    </row>
    <row r="432">
      <c r="A432" s="4" t="s">
        <v>1013</v>
      </c>
      <c r="B432" s="4" t="s">
        <v>62</v>
      </c>
      <c r="C432" s="4">
        <v>92.7</v>
      </c>
      <c r="D432" s="4" t="s">
        <v>42</v>
      </c>
      <c r="E432" s="4" t="s">
        <v>70</v>
      </c>
      <c r="F432" s="4">
        <v>89.11</v>
      </c>
      <c r="G432" s="4">
        <v>63.51</v>
      </c>
      <c r="H432" s="4">
        <v>7.4236760939E10</v>
      </c>
      <c r="I432" s="4">
        <v>8.0802624246E10</v>
      </c>
      <c r="J432" s="4" t="s">
        <v>1014</v>
      </c>
      <c r="K432" s="5">
        <v>45359.330555555556</v>
      </c>
      <c r="L432" s="4">
        <v>7.64</v>
      </c>
      <c r="M432" s="4">
        <v>708.23</v>
      </c>
      <c r="N432" s="4">
        <v>708.0</v>
      </c>
      <c r="O432" s="4">
        <v>58764.0</v>
      </c>
      <c r="P432" s="4">
        <f t="shared" si="1"/>
        <v>92.7</v>
      </c>
      <c r="Q432" s="4" t="str">
        <f t="shared" si="2"/>
        <v>High</v>
      </c>
      <c r="R432" s="1" t="str">
        <f t="shared" si="3"/>
        <v>Normal</v>
      </c>
      <c r="S432" s="4">
        <f t="shared" si="4"/>
        <v>144.3916794</v>
      </c>
      <c r="T432" s="1" t="str">
        <f t="shared" si="5"/>
        <v>Normal Cost</v>
      </c>
      <c r="U432" s="4">
        <f t="shared" si="6"/>
        <v>0.1298584167</v>
      </c>
    </row>
    <row r="433">
      <c r="A433" s="4" t="s">
        <v>1015</v>
      </c>
      <c r="B433" s="4" t="s">
        <v>166</v>
      </c>
      <c r="C433" s="4">
        <v>527.927</v>
      </c>
      <c r="D433" s="4" t="s">
        <v>21</v>
      </c>
      <c r="E433" s="4" t="s">
        <v>105</v>
      </c>
      <c r="F433" s="4">
        <v>3.09</v>
      </c>
      <c r="G433" s="4">
        <v>72.71</v>
      </c>
      <c r="H433" s="4">
        <v>3.7778937466E10</v>
      </c>
      <c r="I433" s="4">
        <v>4.6123023685E10</v>
      </c>
      <c r="J433" s="5">
        <v>45359.040972222225</v>
      </c>
      <c r="K433" s="5">
        <v>45512.75277777778</v>
      </c>
      <c r="L433" s="4">
        <v>2.43</v>
      </c>
      <c r="M433" s="4">
        <v>1282.86</v>
      </c>
      <c r="N433" s="4">
        <v>1283.0</v>
      </c>
      <c r="O433" s="4">
        <v>106489.0</v>
      </c>
      <c r="P433" s="4">
        <f t="shared" si="1"/>
        <v>137.0833333</v>
      </c>
      <c r="Q433" s="4" t="str">
        <f t="shared" si="2"/>
        <v>Underutilized</v>
      </c>
      <c r="R433" s="1" t="str">
        <f t="shared" si="3"/>
        <v>Normal</v>
      </c>
      <c r="S433" s="4">
        <f t="shared" si="4"/>
        <v>78.13979047</v>
      </c>
      <c r="T433" s="1" t="str">
        <f t="shared" si="5"/>
        <v>Normal Cost</v>
      </c>
      <c r="U433" s="4">
        <f t="shared" si="6"/>
        <v>0.03559053048</v>
      </c>
    </row>
    <row r="434">
      <c r="A434" s="4" t="s">
        <v>1016</v>
      </c>
      <c r="B434" s="4" t="s">
        <v>122</v>
      </c>
      <c r="C434" s="4">
        <v>661.2917</v>
      </c>
      <c r="D434" s="4" t="s">
        <v>17</v>
      </c>
      <c r="E434" s="4" t="s">
        <v>32</v>
      </c>
      <c r="F434" s="4">
        <v>24.84</v>
      </c>
      <c r="G434" s="4">
        <v>34.47</v>
      </c>
      <c r="H434" s="4">
        <v>9.1385878855E10</v>
      </c>
      <c r="I434" s="4">
        <v>9.4431571544E10</v>
      </c>
      <c r="J434" s="5">
        <v>45359.25069444445</v>
      </c>
      <c r="K434" s="5">
        <v>45543.07152777778</v>
      </c>
      <c r="L434" s="4">
        <v>6.55</v>
      </c>
      <c r="M434" s="4">
        <v>4331.46</v>
      </c>
      <c r="N434" s="4">
        <v>4331.0</v>
      </c>
      <c r="O434" s="4">
        <v>359473.0</v>
      </c>
      <c r="P434" s="4">
        <f t="shared" si="1"/>
        <v>139.7</v>
      </c>
      <c r="Q434" s="4" t="str">
        <f t="shared" si="2"/>
        <v>Underutilized</v>
      </c>
      <c r="R434" s="1" t="str">
        <f t="shared" si="3"/>
        <v>Underutilized</v>
      </c>
      <c r="S434" s="4">
        <f t="shared" si="4"/>
        <v>173.0559863</v>
      </c>
      <c r="T434" s="1" t="str">
        <f t="shared" si="5"/>
        <v>High Cost</v>
      </c>
      <c r="U434" s="4">
        <f t="shared" si="6"/>
        <v>0.008249576463</v>
      </c>
    </row>
    <row r="435">
      <c r="A435" s="4" t="s">
        <v>1017</v>
      </c>
      <c r="B435" s="4" t="s">
        <v>26</v>
      </c>
      <c r="C435" s="4">
        <v>553.5392</v>
      </c>
      <c r="D435" s="4" t="s">
        <v>17</v>
      </c>
      <c r="E435" s="4" t="s">
        <v>18</v>
      </c>
      <c r="F435" s="4">
        <v>17.41</v>
      </c>
      <c r="G435" s="4">
        <v>99.05</v>
      </c>
      <c r="H435" s="4">
        <v>8.8206941777E10</v>
      </c>
      <c r="I435" s="4">
        <v>8.9059310119E10</v>
      </c>
      <c r="J435" s="5">
        <v>45634.90416666667</v>
      </c>
      <c r="K435" s="4" t="s">
        <v>1018</v>
      </c>
      <c r="L435" s="4">
        <v>6.59</v>
      </c>
      <c r="M435" s="4">
        <v>3647.82</v>
      </c>
      <c r="N435" s="4">
        <v>3648.0</v>
      </c>
      <c r="O435" s="4">
        <v>302784.0</v>
      </c>
      <c r="P435" s="4">
        <f t="shared" si="1"/>
        <v>93.76666667</v>
      </c>
      <c r="Q435" s="4" t="str">
        <f t="shared" si="2"/>
        <v>Underutilized</v>
      </c>
      <c r="R435" s="1" t="str">
        <f t="shared" si="3"/>
        <v>High</v>
      </c>
      <c r="S435" s="4">
        <f t="shared" si="4"/>
        <v>165.0920621</v>
      </c>
      <c r="T435" s="1" t="str">
        <f t="shared" si="5"/>
        <v>High Cost</v>
      </c>
      <c r="U435" s="4">
        <f t="shared" si="6"/>
        <v>0.01923153139</v>
      </c>
    </row>
    <row r="436">
      <c r="A436" s="4" t="s">
        <v>1019</v>
      </c>
      <c r="B436" s="4" t="s">
        <v>147</v>
      </c>
      <c r="C436" s="4">
        <v>103.15</v>
      </c>
      <c r="D436" s="4" t="s">
        <v>42</v>
      </c>
      <c r="E436" s="4" t="s">
        <v>22</v>
      </c>
      <c r="F436" s="4">
        <v>33.3</v>
      </c>
      <c r="G436" s="4">
        <v>50.82</v>
      </c>
      <c r="H436" s="4">
        <v>1.3312165667E10</v>
      </c>
      <c r="I436" s="4">
        <v>2.0689261384E10</v>
      </c>
      <c r="J436" s="5">
        <v>45573.46319444444</v>
      </c>
      <c r="K436" s="4" t="s">
        <v>1020</v>
      </c>
      <c r="L436" s="4">
        <v>8.53</v>
      </c>
      <c r="M436" s="4">
        <v>879.87</v>
      </c>
      <c r="N436" s="4">
        <v>880.0</v>
      </c>
      <c r="O436" s="4">
        <v>73040.0</v>
      </c>
      <c r="P436" s="4">
        <f t="shared" si="1"/>
        <v>103.15</v>
      </c>
      <c r="Q436" s="4" t="str">
        <f t="shared" si="2"/>
        <v>Normal</v>
      </c>
      <c r="R436" s="1" t="str">
        <f t="shared" si="3"/>
        <v>Normal</v>
      </c>
      <c r="S436" s="4">
        <f t="shared" si="4"/>
        <v>31.66629658</v>
      </c>
      <c r="T436" s="1" t="str">
        <f t="shared" si="5"/>
        <v>Normal Cost</v>
      </c>
      <c r="U436" s="4">
        <f t="shared" si="6"/>
        <v>0.05758488499</v>
      </c>
    </row>
    <row r="437">
      <c r="A437" s="4" t="s">
        <v>1021</v>
      </c>
      <c r="B437" s="4" t="s">
        <v>83</v>
      </c>
      <c r="C437" s="4">
        <v>175.9606</v>
      </c>
      <c r="D437" s="4" t="s">
        <v>17</v>
      </c>
      <c r="E437" s="4" t="s">
        <v>54</v>
      </c>
      <c r="F437" s="4">
        <v>90.66</v>
      </c>
      <c r="G437" s="4">
        <v>58.44</v>
      </c>
      <c r="H437" s="4">
        <v>4.706562452E10</v>
      </c>
      <c r="I437" s="4">
        <v>4.7532415414E10</v>
      </c>
      <c r="J437" s="5">
        <v>45299.44097222222</v>
      </c>
      <c r="K437" s="5">
        <v>45451.56597222222</v>
      </c>
      <c r="L437" s="4">
        <v>2.38</v>
      </c>
      <c r="M437" s="4">
        <v>418.79</v>
      </c>
      <c r="N437" s="4">
        <v>419.0</v>
      </c>
      <c r="O437" s="4">
        <v>34777.0</v>
      </c>
      <c r="P437" s="4">
        <f t="shared" si="1"/>
        <v>123</v>
      </c>
      <c r="Q437" s="4" t="str">
        <f t="shared" si="2"/>
        <v>High</v>
      </c>
      <c r="R437" s="1" t="str">
        <f t="shared" si="3"/>
        <v>Normal</v>
      </c>
      <c r="S437" s="4">
        <f t="shared" si="4"/>
        <v>88.1012901</v>
      </c>
      <c r="T437" s="1" t="str">
        <f t="shared" si="5"/>
        <v>Normal Cost</v>
      </c>
      <c r="U437" s="4">
        <f t="shared" si="6"/>
        <v>0.2143658165</v>
      </c>
    </row>
    <row r="438">
      <c r="A438" s="4" t="s">
        <v>1022</v>
      </c>
      <c r="B438" s="4" t="s">
        <v>83</v>
      </c>
      <c r="C438" s="4">
        <v>765.7001</v>
      </c>
      <c r="D438" s="4" t="s">
        <v>17</v>
      </c>
      <c r="E438" s="4" t="s">
        <v>70</v>
      </c>
      <c r="F438" s="4">
        <v>94.51</v>
      </c>
      <c r="G438" s="4">
        <v>36.74</v>
      </c>
      <c r="H438" s="4">
        <v>8.522565438E9</v>
      </c>
      <c r="I438" s="4">
        <v>9.691206489E9</v>
      </c>
      <c r="J438" s="5">
        <v>45604.28888888889</v>
      </c>
      <c r="K438" s="4" t="s">
        <v>1023</v>
      </c>
      <c r="L438" s="4">
        <v>7.5</v>
      </c>
      <c r="M438" s="4">
        <v>5742.75</v>
      </c>
      <c r="N438" s="4">
        <v>5743.0</v>
      </c>
      <c r="O438" s="4">
        <v>476669.0</v>
      </c>
      <c r="P438" s="4">
        <f t="shared" si="1"/>
        <v>68.83333333</v>
      </c>
      <c r="Q438" s="4" t="str">
        <f t="shared" si="2"/>
        <v>High</v>
      </c>
      <c r="R438" s="1" t="str">
        <f t="shared" si="3"/>
        <v>Underutilized</v>
      </c>
      <c r="S438" s="4">
        <f t="shared" si="4"/>
        <v>16.96289696</v>
      </c>
      <c r="T438" s="1" t="str">
        <f t="shared" si="5"/>
        <v>High Cost</v>
      </c>
      <c r="U438" s="4">
        <f t="shared" si="6"/>
        <v>0.01376741512</v>
      </c>
    </row>
    <row r="439">
      <c r="A439" s="4" t="s">
        <v>1024</v>
      </c>
      <c r="B439" s="4" t="s">
        <v>66</v>
      </c>
      <c r="C439" s="4">
        <v>526.0473</v>
      </c>
      <c r="D439" s="4" t="s">
        <v>17</v>
      </c>
      <c r="E439" s="4" t="s">
        <v>123</v>
      </c>
      <c r="F439" s="4">
        <v>85.96</v>
      </c>
      <c r="G439" s="4">
        <v>27.08</v>
      </c>
      <c r="H439" s="4">
        <v>2.1758984558E10</v>
      </c>
      <c r="I439" s="4">
        <v>2.200796752E10</v>
      </c>
      <c r="J439" s="5">
        <v>45634.47361111111</v>
      </c>
      <c r="K439" s="4" t="s">
        <v>1025</v>
      </c>
      <c r="L439" s="4">
        <v>8.41</v>
      </c>
      <c r="M439" s="4">
        <v>4424.06</v>
      </c>
      <c r="N439" s="4">
        <v>4424.0</v>
      </c>
      <c r="O439" s="4">
        <v>367192.0</v>
      </c>
      <c r="P439" s="4">
        <f t="shared" si="1"/>
        <v>48.71666667</v>
      </c>
      <c r="Q439" s="4" t="str">
        <f t="shared" si="2"/>
        <v>High</v>
      </c>
      <c r="R439" s="1" t="str">
        <f t="shared" si="3"/>
        <v>Underutilized</v>
      </c>
      <c r="S439" s="4">
        <f t="shared" si="4"/>
        <v>40.76115049</v>
      </c>
      <c r="T439" s="1" t="str">
        <f t="shared" si="5"/>
        <v>High Cost</v>
      </c>
      <c r="U439" s="4">
        <f t="shared" si="6"/>
        <v>0.01539249221</v>
      </c>
    </row>
    <row r="440">
      <c r="A440" s="4" t="s">
        <v>1026</v>
      </c>
      <c r="B440" s="4" t="s">
        <v>53</v>
      </c>
      <c r="C440" s="4">
        <v>749.8458</v>
      </c>
      <c r="D440" s="4" t="s">
        <v>21</v>
      </c>
      <c r="E440" s="4" t="s">
        <v>32</v>
      </c>
      <c r="F440" s="4">
        <v>37.77</v>
      </c>
      <c r="G440" s="4">
        <v>12.91</v>
      </c>
      <c r="H440" s="4">
        <v>5.1132749322E10</v>
      </c>
      <c r="I440" s="4">
        <v>5.9370257849E10</v>
      </c>
      <c r="J440" s="5">
        <v>45450.825694444444</v>
      </c>
      <c r="K440" s="5">
        <v>45542.925</v>
      </c>
      <c r="L440" s="4">
        <v>5.91</v>
      </c>
      <c r="M440" s="4">
        <v>4431.59</v>
      </c>
      <c r="N440" s="4">
        <v>4432.0</v>
      </c>
      <c r="O440" s="4">
        <v>367856.0</v>
      </c>
      <c r="P440" s="4">
        <f t="shared" si="1"/>
        <v>74.38333333</v>
      </c>
      <c r="Q440" s="4" t="str">
        <f t="shared" si="2"/>
        <v>Normal</v>
      </c>
      <c r="R440" s="1" t="str">
        <f t="shared" si="3"/>
        <v>Underutilized</v>
      </c>
      <c r="S440" s="4">
        <f t="shared" si="4"/>
        <v>102.9139451</v>
      </c>
      <c r="T440" s="1" t="str">
        <f t="shared" si="5"/>
        <v>High Cost</v>
      </c>
      <c r="U440" s="4">
        <f t="shared" si="6"/>
        <v>0.006888565091</v>
      </c>
    </row>
    <row r="441">
      <c r="A441" s="4" t="s">
        <v>1027</v>
      </c>
      <c r="B441" s="4" t="s">
        <v>41</v>
      </c>
      <c r="C441" s="4">
        <v>109.8833</v>
      </c>
      <c r="D441" s="4" t="s">
        <v>42</v>
      </c>
      <c r="E441" s="4" t="s">
        <v>18</v>
      </c>
      <c r="F441" s="4">
        <v>56.67</v>
      </c>
      <c r="G441" s="4">
        <v>18.24</v>
      </c>
      <c r="H441" s="4">
        <v>3.4795591732E10</v>
      </c>
      <c r="I441" s="4">
        <v>3.5121822183E10</v>
      </c>
      <c r="J441" s="4" t="s">
        <v>1028</v>
      </c>
      <c r="K441" s="4" t="s">
        <v>1029</v>
      </c>
      <c r="L441" s="4">
        <v>6.47</v>
      </c>
      <c r="M441" s="4">
        <v>710.94</v>
      </c>
      <c r="N441" s="4">
        <v>711.0</v>
      </c>
      <c r="O441" s="4">
        <v>59013.0</v>
      </c>
      <c r="P441" s="4">
        <f t="shared" si="1"/>
        <v>109.8833333</v>
      </c>
      <c r="Q441" s="4" t="str">
        <f t="shared" si="2"/>
        <v>Normal</v>
      </c>
      <c r="R441" s="1" t="str">
        <f t="shared" si="3"/>
        <v>Underutilized</v>
      </c>
      <c r="S441" s="4">
        <f t="shared" si="4"/>
        <v>65.11566594</v>
      </c>
      <c r="T441" s="1" t="str">
        <f t="shared" si="5"/>
        <v>Normal Cost</v>
      </c>
      <c r="U441" s="4">
        <f t="shared" si="6"/>
        <v>0.06346906614</v>
      </c>
    </row>
    <row r="442">
      <c r="A442" s="4" t="s">
        <v>1030</v>
      </c>
      <c r="B442" s="4" t="s">
        <v>20</v>
      </c>
      <c r="C442" s="4">
        <v>450.7195</v>
      </c>
      <c r="D442" s="4" t="s">
        <v>21</v>
      </c>
      <c r="E442" s="4" t="s">
        <v>22</v>
      </c>
      <c r="F442" s="4">
        <v>71.14</v>
      </c>
      <c r="G442" s="4">
        <v>15.17</v>
      </c>
      <c r="H442" s="4">
        <v>6.676186418E10</v>
      </c>
      <c r="I442" s="4">
        <v>7.1076500379E10</v>
      </c>
      <c r="J442" s="4" t="s">
        <v>1031</v>
      </c>
      <c r="K442" s="4" t="s">
        <v>1032</v>
      </c>
      <c r="L442" s="4">
        <v>1.14</v>
      </c>
      <c r="M442" s="4">
        <v>513.82</v>
      </c>
      <c r="N442" s="4">
        <v>514.0</v>
      </c>
      <c r="O442" s="4">
        <v>42662.0</v>
      </c>
      <c r="P442" s="4">
        <f t="shared" si="1"/>
        <v>54.81666667</v>
      </c>
      <c r="Q442" s="4" t="str">
        <f t="shared" si="2"/>
        <v>High</v>
      </c>
      <c r="R442" s="1" t="str">
        <f t="shared" si="3"/>
        <v>Underutilized</v>
      </c>
      <c r="S442" s="4">
        <f t="shared" si="4"/>
        <v>128.3719806</v>
      </c>
      <c r="T442" s="1" t="str">
        <f t="shared" si="5"/>
        <v>Normal Cost</v>
      </c>
      <c r="U442" s="4">
        <f t="shared" si="6"/>
        <v>0.1011555951</v>
      </c>
    </row>
    <row r="443">
      <c r="A443" s="4" t="s">
        <v>1033</v>
      </c>
      <c r="B443" s="4" t="s">
        <v>147</v>
      </c>
      <c r="C443" s="4">
        <v>132.7167</v>
      </c>
      <c r="D443" s="4" t="s">
        <v>42</v>
      </c>
      <c r="E443" s="4" t="s">
        <v>123</v>
      </c>
      <c r="F443" s="4">
        <v>12.98</v>
      </c>
      <c r="G443" s="4">
        <v>59.81</v>
      </c>
      <c r="H443" s="4">
        <v>6.5154191816E10</v>
      </c>
      <c r="I443" s="4">
        <v>7.1604577471E10</v>
      </c>
      <c r="J443" s="4" t="s">
        <v>1034</v>
      </c>
      <c r="K443" s="4" t="s">
        <v>1035</v>
      </c>
      <c r="L443" s="4">
        <v>6.65</v>
      </c>
      <c r="M443" s="4">
        <v>882.57</v>
      </c>
      <c r="N443" s="4">
        <v>883.0</v>
      </c>
      <c r="O443" s="4">
        <v>73289.0</v>
      </c>
      <c r="P443" s="4">
        <f t="shared" si="1"/>
        <v>132.7166667</v>
      </c>
      <c r="Q443" s="4" t="str">
        <f t="shared" si="2"/>
        <v>Underutilized</v>
      </c>
      <c r="R443" s="1" t="str">
        <f t="shared" si="3"/>
        <v>Normal</v>
      </c>
      <c r="S443" s="4">
        <f t="shared" si="4"/>
        <v>127.3665291</v>
      </c>
      <c r="T443" s="1" t="str">
        <f t="shared" si="5"/>
        <v>Normal Cost</v>
      </c>
      <c r="U443" s="4">
        <f t="shared" si="6"/>
        <v>0.04965956692</v>
      </c>
    </row>
    <row r="444">
      <c r="A444" s="4" t="s">
        <v>1036</v>
      </c>
      <c r="B444" s="4" t="s">
        <v>66</v>
      </c>
      <c r="C444" s="4">
        <v>906.4412</v>
      </c>
      <c r="D444" s="4" t="s">
        <v>21</v>
      </c>
      <c r="E444" s="4" t="s">
        <v>22</v>
      </c>
      <c r="F444" s="4">
        <v>91.43</v>
      </c>
      <c r="G444" s="4">
        <v>25.67</v>
      </c>
      <c r="H444" s="4">
        <v>7.879345431E10</v>
      </c>
      <c r="I444" s="4">
        <v>8.4831401209E10</v>
      </c>
      <c r="J444" s="4" t="s">
        <v>1037</v>
      </c>
      <c r="K444" s="4" t="s">
        <v>1038</v>
      </c>
      <c r="L444" s="4">
        <v>1.11</v>
      </c>
      <c r="M444" s="4">
        <v>1006.15</v>
      </c>
      <c r="N444" s="4">
        <v>1006.0</v>
      </c>
      <c r="O444" s="4">
        <v>83498.0</v>
      </c>
      <c r="P444" s="4">
        <f t="shared" si="1"/>
        <v>45.6</v>
      </c>
      <c r="Q444" s="4" t="str">
        <f t="shared" si="2"/>
        <v>High</v>
      </c>
      <c r="R444" s="1" t="str">
        <f t="shared" si="3"/>
        <v>Underutilized</v>
      </c>
      <c r="S444" s="4">
        <f t="shared" si="4"/>
        <v>152.3875217</v>
      </c>
      <c r="T444" s="1" t="str">
        <f t="shared" si="5"/>
        <v>Normal Cost</v>
      </c>
      <c r="U444" s="4">
        <f t="shared" si="6"/>
        <v>0.07012144003</v>
      </c>
    </row>
    <row r="445">
      <c r="A445" s="4" t="s">
        <v>1039</v>
      </c>
      <c r="B445" s="4" t="s">
        <v>112</v>
      </c>
      <c r="C445" s="4">
        <v>138.45</v>
      </c>
      <c r="D445" s="4" t="s">
        <v>42</v>
      </c>
      <c r="E445" s="4" t="s">
        <v>105</v>
      </c>
      <c r="F445" s="4">
        <v>1.0</v>
      </c>
      <c r="G445" s="4">
        <v>52.13</v>
      </c>
      <c r="H445" s="4">
        <v>8.497823584E9</v>
      </c>
      <c r="I445" s="4">
        <v>1.2491610322E10</v>
      </c>
      <c r="J445" s="5">
        <v>45330.38263888889</v>
      </c>
      <c r="K445" s="5">
        <v>45512.15138888889</v>
      </c>
      <c r="L445" s="4">
        <v>6.43</v>
      </c>
      <c r="M445" s="4">
        <v>890.23</v>
      </c>
      <c r="N445" s="4">
        <v>890.0</v>
      </c>
      <c r="O445" s="4">
        <v>73870.0</v>
      </c>
      <c r="P445" s="4">
        <f t="shared" si="1"/>
        <v>138.45</v>
      </c>
      <c r="Q445" s="4" t="str">
        <f t="shared" si="2"/>
        <v>Underutilized</v>
      </c>
      <c r="R445" s="1" t="str">
        <f t="shared" si="3"/>
        <v>Normal</v>
      </c>
      <c r="S445" s="4">
        <f t="shared" si="4"/>
        <v>19.54793363</v>
      </c>
      <c r="T445" s="1" t="str">
        <f t="shared" si="5"/>
        <v>Normal Cost</v>
      </c>
      <c r="U445" s="4">
        <f t="shared" si="6"/>
        <v>0.03596182483</v>
      </c>
    </row>
    <row r="446">
      <c r="A446" s="4" t="s">
        <v>1040</v>
      </c>
      <c r="B446" s="4" t="s">
        <v>26</v>
      </c>
      <c r="C446" s="4">
        <v>994.506</v>
      </c>
      <c r="D446" s="4" t="s">
        <v>17</v>
      </c>
      <c r="E446" s="4" t="s">
        <v>105</v>
      </c>
      <c r="F446" s="4">
        <v>10.4</v>
      </c>
      <c r="G446" s="4">
        <v>68.25</v>
      </c>
      <c r="H446" s="4">
        <v>5.2643788421E10</v>
      </c>
      <c r="I446" s="4">
        <v>5.3796037302E10</v>
      </c>
      <c r="J446" s="5">
        <v>45358.52013888889</v>
      </c>
      <c r="K446" s="5">
        <v>45480.15416666667</v>
      </c>
      <c r="L446" s="4">
        <v>7.54</v>
      </c>
      <c r="M446" s="4">
        <v>7498.58</v>
      </c>
      <c r="N446" s="4">
        <v>7499.0</v>
      </c>
      <c r="O446" s="4">
        <v>622417.0</v>
      </c>
      <c r="P446" s="4">
        <f t="shared" si="1"/>
        <v>87.21666667</v>
      </c>
      <c r="Q446" s="4" t="str">
        <f t="shared" si="2"/>
        <v>Underutilized</v>
      </c>
      <c r="R446" s="1" t="str">
        <f t="shared" si="3"/>
        <v>Normal</v>
      </c>
      <c r="S446" s="4">
        <f t="shared" si="4"/>
        <v>99.12981253</v>
      </c>
      <c r="T446" s="1" t="str">
        <f t="shared" si="5"/>
        <v>High Cost</v>
      </c>
      <c r="U446" s="4">
        <f t="shared" si="6"/>
        <v>0.006318111491</v>
      </c>
    </row>
    <row r="447">
      <c r="A447" s="4" t="s">
        <v>1041</v>
      </c>
      <c r="B447" s="4" t="s">
        <v>16</v>
      </c>
      <c r="C447" s="4">
        <v>79.2424</v>
      </c>
      <c r="D447" s="4" t="s">
        <v>21</v>
      </c>
      <c r="E447" s="4" t="s">
        <v>32</v>
      </c>
      <c r="F447" s="4">
        <v>75.84</v>
      </c>
      <c r="G447" s="4">
        <v>48.46</v>
      </c>
      <c r="H447" s="4">
        <v>9.4036329618E10</v>
      </c>
      <c r="I447" s="4">
        <v>9.8895434764E10</v>
      </c>
      <c r="J447" s="5">
        <v>45358.15694444445</v>
      </c>
      <c r="K447" s="5">
        <v>45511.66180555556</v>
      </c>
      <c r="L447" s="4">
        <v>8.07</v>
      </c>
      <c r="M447" s="4">
        <v>639.49</v>
      </c>
      <c r="N447" s="4">
        <v>639.0</v>
      </c>
      <c r="O447" s="4">
        <v>53037.0</v>
      </c>
      <c r="P447" s="4">
        <f t="shared" si="1"/>
        <v>132.1166667</v>
      </c>
      <c r="Q447" s="4" t="str">
        <f t="shared" si="2"/>
        <v>High</v>
      </c>
      <c r="R447" s="1" t="str">
        <f t="shared" si="3"/>
        <v>Normal</v>
      </c>
      <c r="S447" s="4">
        <f t="shared" si="4"/>
        <v>179.6817075</v>
      </c>
      <c r="T447" s="1" t="str">
        <f t="shared" si="5"/>
        <v>Normal Cost</v>
      </c>
      <c r="U447" s="4">
        <f t="shared" si="6"/>
        <v>0.1171823444</v>
      </c>
    </row>
    <row r="448">
      <c r="A448" s="4" t="s">
        <v>1042</v>
      </c>
      <c r="B448" s="4" t="s">
        <v>20</v>
      </c>
      <c r="C448" s="4">
        <v>569.517</v>
      </c>
      <c r="D448" s="4" t="s">
        <v>21</v>
      </c>
      <c r="E448" s="4" t="s">
        <v>37</v>
      </c>
      <c r="F448" s="4">
        <v>47.53</v>
      </c>
      <c r="G448" s="4">
        <v>47.88</v>
      </c>
      <c r="H448" s="4">
        <v>6.831903833E10</v>
      </c>
      <c r="I448" s="4">
        <v>7.7502869111E10</v>
      </c>
      <c r="J448" s="5">
        <v>45451.77777777778</v>
      </c>
      <c r="K448" s="5">
        <v>45512.688888888886</v>
      </c>
      <c r="L448" s="4">
        <v>1.67</v>
      </c>
      <c r="M448" s="4">
        <v>951.09</v>
      </c>
      <c r="N448" s="4">
        <v>951.0</v>
      </c>
      <c r="O448" s="4">
        <v>78933.0</v>
      </c>
      <c r="P448" s="4">
        <f t="shared" si="1"/>
        <v>45.86666667</v>
      </c>
      <c r="Q448" s="4" t="str">
        <f t="shared" si="2"/>
        <v>Normal</v>
      </c>
      <c r="R448" s="1" t="str">
        <f t="shared" si="3"/>
        <v>Normal</v>
      </c>
      <c r="S448" s="4">
        <f t="shared" si="4"/>
        <v>135.8072343</v>
      </c>
      <c r="T448" s="1" t="str">
        <f t="shared" si="5"/>
        <v>Normal Cost</v>
      </c>
      <c r="U448" s="4">
        <f t="shared" si="6"/>
        <v>0.06043733293</v>
      </c>
    </row>
    <row r="449">
      <c r="A449" s="4" t="s">
        <v>1043</v>
      </c>
      <c r="B449" s="4" t="s">
        <v>79</v>
      </c>
      <c r="C449" s="4">
        <v>364.2323</v>
      </c>
      <c r="D449" s="4" t="s">
        <v>21</v>
      </c>
      <c r="E449" s="4" t="s">
        <v>155</v>
      </c>
      <c r="F449" s="4">
        <v>58.32</v>
      </c>
      <c r="G449" s="4">
        <v>34.34</v>
      </c>
      <c r="H449" s="4">
        <v>6.9480115831E10</v>
      </c>
      <c r="I449" s="4">
        <v>7.4023232018E10</v>
      </c>
      <c r="J449" s="5">
        <v>45419.56041666667</v>
      </c>
      <c r="K449" s="5">
        <v>45542.43402777778</v>
      </c>
      <c r="L449" s="4">
        <v>4.75</v>
      </c>
      <c r="M449" s="4">
        <v>1730.1</v>
      </c>
      <c r="N449" s="4">
        <v>1730.0</v>
      </c>
      <c r="O449" s="4">
        <v>143590.0</v>
      </c>
      <c r="P449" s="4">
        <f t="shared" si="1"/>
        <v>92.96666667</v>
      </c>
      <c r="Q449" s="4" t="str">
        <f t="shared" si="2"/>
        <v>Normal</v>
      </c>
      <c r="R449" s="1" t="str">
        <f t="shared" si="3"/>
        <v>Underutilized</v>
      </c>
      <c r="S449" s="4">
        <f t="shared" si="4"/>
        <v>133.6479074</v>
      </c>
      <c r="T449" s="1" t="str">
        <f t="shared" si="5"/>
        <v>Normal Cost</v>
      </c>
      <c r="U449" s="4">
        <f t="shared" si="6"/>
        <v>0.0322654781</v>
      </c>
    </row>
    <row r="450">
      <c r="A450" s="4" t="s">
        <v>1044</v>
      </c>
      <c r="B450" s="4" t="s">
        <v>57</v>
      </c>
      <c r="C450" s="4">
        <v>273.6464</v>
      </c>
      <c r="D450" s="4" t="s">
        <v>21</v>
      </c>
      <c r="E450" s="4" t="s">
        <v>22</v>
      </c>
      <c r="F450" s="4">
        <v>34.12</v>
      </c>
      <c r="G450" s="4">
        <v>17.38</v>
      </c>
      <c r="H450" s="4">
        <v>5.2173189329E10</v>
      </c>
      <c r="I450" s="4">
        <v>6.1683620439E10</v>
      </c>
      <c r="J450" s="4" t="s">
        <v>1045</v>
      </c>
      <c r="K450" s="4" t="s">
        <v>1046</v>
      </c>
      <c r="L450" s="4">
        <v>4.36</v>
      </c>
      <c r="M450" s="4">
        <v>1193.1</v>
      </c>
      <c r="N450" s="4">
        <v>1193.0</v>
      </c>
      <c r="O450" s="4">
        <v>99019.0</v>
      </c>
      <c r="P450" s="4">
        <f t="shared" si="1"/>
        <v>142.95</v>
      </c>
      <c r="Q450" s="4" t="str">
        <f t="shared" si="2"/>
        <v>Normal</v>
      </c>
      <c r="R450" s="1" t="str">
        <f t="shared" si="3"/>
        <v>Underutilized</v>
      </c>
      <c r="S450" s="4">
        <f t="shared" si="4"/>
        <v>106.0374172</v>
      </c>
      <c r="T450" s="1" t="str">
        <f t="shared" si="5"/>
        <v>Normal Cost</v>
      </c>
      <c r="U450" s="4">
        <f t="shared" si="6"/>
        <v>0.02600511013</v>
      </c>
    </row>
    <row r="451">
      <c r="A451" s="4" t="s">
        <v>1047</v>
      </c>
      <c r="B451" s="4" t="s">
        <v>53</v>
      </c>
      <c r="C451" s="4">
        <v>845.0349</v>
      </c>
      <c r="D451" s="4" t="s">
        <v>21</v>
      </c>
      <c r="E451" s="4" t="s">
        <v>74</v>
      </c>
      <c r="F451" s="4">
        <v>65.25</v>
      </c>
      <c r="G451" s="4">
        <v>76.26</v>
      </c>
      <c r="H451" s="4">
        <v>7.5758823867E10</v>
      </c>
      <c r="I451" s="4">
        <v>8.237489921E10</v>
      </c>
      <c r="J451" s="4" t="s">
        <v>1048</v>
      </c>
      <c r="K451" s="4" t="s">
        <v>1049</v>
      </c>
      <c r="L451" s="4">
        <v>4.37</v>
      </c>
      <c r="M451" s="4">
        <v>3692.8</v>
      </c>
      <c r="N451" s="4">
        <v>3693.0</v>
      </c>
      <c r="O451" s="4">
        <v>306519.0</v>
      </c>
      <c r="P451" s="4">
        <f t="shared" si="1"/>
        <v>45.96666667</v>
      </c>
      <c r="Q451" s="4" t="str">
        <f t="shared" si="2"/>
        <v>Normal</v>
      </c>
      <c r="R451" s="1" t="str">
        <f t="shared" si="3"/>
        <v>High</v>
      </c>
      <c r="S451" s="4">
        <f t="shared" si="4"/>
        <v>147.2735061</v>
      </c>
      <c r="T451" s="1" t="str">
        <f t="shared" si="5"/>
        <v>High Cost</v>
      </c>
      <c r="U451" s="4">
        <f t="shared" si="6"/>
        <v>0.02308339777</v>
      </c>
    </row>
    <row r="452">
      <c r="A452" s="4" t="s">
        <v>1050</v>
      </c>
      <c r="B452" s="4" t="s">
        <v>128</v>
      </c>
      <c r="C452" s="4">
        <v>369.9806</v>
      </c>
      <c r="D452" s="4" t="s">
        <v>21</v>
      </c>
      <c r="E452" s="4" t="s">
        <v>22</v>
      </c>
      <c r="F452" s="4">
        <v>60.36</v>
      </c>
      <c r="G452" s="4">
        <v>66.74</v>
      </c>
      <c r="H452" s="4">
        <v>3.76350396E10</v>
      </c>
      <c r="I452" s="4">
        <v>3.8102762007E10</v>
      </c>
      <c r="J452" s="5">
        <v>45298.11666666667</v>
      </c>
      <c r="K452" s="5">
        <v>45419.17361111111</v>
      </c>
      <c r="L452" s="4">
        <v>5.75</v>
      </c>
      <c r="M452" s="4">
        <v>2127.39</v>
      </c>
      <c r="N452" s="4">
        <v>2127.0</v>
      </c>
      <c r="O452" s="4">
        <v>176541.0</v>
      </c>
      <c r="P452" s="4">
        <f t="shared" si="1"/>
        <v>97.36666667</v>
      </c>
      <c r="Q452" s="4" t="str">
        <f t="shared" si="2"/>
        <v>Normal</v>
      </c>
      <c r="R452" s="1" t="str">
        <f t="shared" si="3"/>
        <v>Normal</v>
      </c>
      <c r="S452" s="4">
        <f t="shared" si="4"/>
        <v>70.53632439</v>
      </c>
      <c r="T452" s="1" t="str">
        <f t="shared" si="5"/>
        <v>High Cost</v>
      </c>
      <c r="U452" s="4">
        <f t="shared" si="6"/>
        <v>0.03599730374</v>
      </c>
    </row>
    <row r="453">
      <c r="A453" s="4" t="s">
        <v>1051</v>
      </c>
      <c r="B453" s="4" t="s">
        <v>273</v>
      </c>
      <c r="C453" s="4">
        <v>805.6513</v>
      </c>
      <c r="D453" s="4" t="s">
        <v>17</v>
      </c>
      <c r="E453" s="4" t="s">
        <v>27</v>
      </c>
      <c r="F453" s="4">
        <v>53.72</v>
      </c>
      <c r="G453" s="4">
        <v>31.97</v>
      </c>
      <c r="H453" s="4">
        <v>5.1944180329E10</v>
      </c>
      <c r="I453" s="4">
        <v>5.8006946262E10</v>
      </c>
      <c r="J453" s="5">
        <v>45298.64722222222</v>
      </c>
      <c r="K453" s="5">
        <v>45358.529861111114</v>
      </c>
      <c r="L453" s="4">
        <v>6.4</v>
      </c>
      <c r="M453" s="4">
        <v>5156.17</v>
      </c>
      <c r="N453" s="4">
        <v>5156.0</v>
      </c>
      <c r="O453" s="4">
        <v>427948.0</v>
      </c>
      <c r="P453" s="4">
        <f t="shared" si="1"/>
        <v>45.18333333</v>
      </c>
      <c r="Q453" s="4" t="str">
        <f t="shared" si="2"/>
        <v>Normal</v>
      </c>
      <c r="R453" s="1" t="str">
        <f t="shared" si="3"/>
        <v>Underutilized</v>
      </c>
      <c r="S453" s="4">
        <f t="shared" si="4"/>
        <v>102.3999663</v>
      </c>
      <c r="T453" s="1" t="str">
        <f t="shared" si="5"/>
        <v>High Cost</v>
      </c>
      <c r="U453" s="4">
        <f t="shared" si="6"/>
        <v>0.0100117304</v>
      </c>
    </row>
    <row r="454">
      <c r="A454" s="4" t="s">
        <v>1052</v>
      </c>
      <c r="B454" s="4" t="s">
        <v>41</v>
      </c>
      <c r="C454" s="4">
        <v>128.9667</v>
      </c>
      <c r="D454" s="4" t="s">
        <v>42</v>
      </c>
      <c r="E454" s="4" t="s">
        <v>22</v>
      </c>
      <c r="F454" s="4">
        <v>59.04</v>
      </c>
      <c r="G454" s="4">
        <v>8.79</v>
      </c>
      <c r="H454" s="4">
        <v>7.8397568587E10</v>
      </c>
      <c r="I454" s="4">
        <v>8.6790014321E10</v>
      </c>
      <c r="J454" s="4" t="s">
        <v>1053</v>
      </c>
      <c r="K454" s="4" t="s">
        <v>1054</v>
      </c>
      <c r="L454" s="4">
        <v>3.44</v>
      </c>
      <c r="M454" s="4">
        <v>443.65</v>
      </c>
      <c r="N454" s="4">
        <v>444.0</v>
      </c>
      <c r="O454" s="4">
        <v>36852.0</v>
      </c>
      <c r="P454" s="4">
        <f t="shared" si="1"/>
        <v>128.9666667</v>
      </c>
      <c r="Q454" s="4" t="str">
        <f t="shared" si="2"/>
        <v>Normal</v>
      </c>
      <c r="R454" s="1" t="str">
        <f t="shared" si="3"/>
        <v>Underutilized</v>
      </c>
      <c r="S454" s="4">
        <f t="shared" si="4"/>
        <v>153.842925</v>
      </c>
      <c r="T454" s="1" t="str">
        <f t="shared" si="5"/>
        <v>Normal Cost</v>
      </c>
      <c r="U454" s="4">
        <f t="shared" si="6"/>
        <v>0.0920302833</v>
      </c>
    </row>
    <row r="455">
      <c r="A455" s="4" t="s">
        <v>1055</v>
      </c>
      <c r="B455" s="4" t="s">
        <v>122</v>
      </c>
      <c r="C455" s="4">
        <v>840.7866</v>
      </c>
      <c r="D455" s="4" t="s">
        <v>17</v>
      </c>
      <c r="E455" s="4" t="s">
        <v>54</v>
      </c>
      <c r="F455" s="4">
        <v>19.53</v>
      </c>
      <c r="G455" s="4">
        <v>64.79</v>
      </c>
      <c r="H455" s="4">
        <v>1.2859809582E10</v>
      </c>
      <c r="I455" s="4">
        <v>1.8748453944E10</v>
      </c>
      <c r="J455" s="4" t="s">
        <v>1056</v>
      </c>
      <c r="K455" s="4" t="s">
        <v>1057</v>
      </c>
      <c r="L455" s="4">
        <v>4.83</v>
      </c>
      <c r="M455" s="4">
        <v>4061.0</v>
      </c>
      <c r="N455" s="4">
        <v>4061.0</v>
      </c>
      <c r="O455" s="4">
        <v>337063.0</v>
      </c>
      <c r="P455" s="4">
        <f t="shared" si="1"/>
        <v>98.23333333</v>
      </c>
      <c r="Q455" s="4" t="str">
        <f t="shared" si="2"/>
        <v>Underutilized</v>
      </c>
      <c r="R455" s="1" t="str">
        <f t="shared" si="3"/>
        <v>Normal</v>
      </c>
      <c r="S455" s="4">
        <f t="shared" si="4"/>
        <v>29.43748937</v>
      </c>
      <c r="T455" s="1" t="str">
        <f t="shared" si="5"/>
        <v>High Cost</v>
      </c>
      <c r="U455" s="4">
        <f t="shared" si="6"/>
        <v>0.01250804746</v>
      </c>
    </row>
    <row r="456">
      <c r="A456" s="4" t="s">
        <v>1058</v>
      </c>
      <c r="B456" s="4" t="s">
        <v>169</v>
      </c>
      <c r="C456" s="4">
        <v>524.3262</v>
      </c>
      <c r="D456" s="4" t="s">
        <v>17</v>
      </c>
      <c r="E456" s="4" t="s">
        <v>22</v>
      </c>
      <c r="F456" s="4">
        <v>21.04</v>
      </c>
      <c r="G456" s="4">
        <v>48.33</v>
      </c>
      <c r="H456" s="4">
        <v>8.539982266E10</v>
      </c>
      <c r="I456" s="4">
        <v>8.7362033805E10</v>
      </c>
      <c r="J456" s="4" t="s">
        <v>1059</v>
      </c>
      <c r="K456" s="4" t="s">
        <v>1060</v>
      </c>
      <c r="L456" s="4">
        <v>3.9</v>
      </c>
      <c r="M456" s="4">
        <v>2044.87</v>
      </c>
      <c r="N456" s="4">
        <v>2045.0</v>
      </c>
      <c r="O456" s="4">
        <v>169735.0</v>
      </c>
      <c r="P456" s="4">
        <f t="shared" si="1"/>
        <v>65.83333333</v>
      </c>
      <c r="Q456" s="4" t="str">
        <f t="shared" si="2"/>
        <v>Underutilized</v>
      </c>
      <c r="R456" s="1" t="str">
        <f t="shared" si="3"/>
        <v>Normal</v>
      </c>
      <c r="S456" s="4">
        <f t="shared" si="4"/>
        <v>160.897017</v>
      </c>
      <c r="T456" s="1" t="str">
        <f t="shared" si="5"/>
        <v>Normal Cost</v>
      </c>
      <c r="U456" s="4">
        <f t="shared" si="6"/>
        <v>0.02043479542</v>
      </c>
    </row>
    <row r="457">
      <c r="A457" s="4" t="s">
        <v>1061</v>
      </c>
      <c r="B457" s="4" t="s">
        <v>350</v>
      </c>
      <c r="C457" s="4">
        <v>146.3289</v>
      </c>
      <c r="D457" s="4" t="s">
        <v>17</v>
      </c>
      <c r="E457" s="4" t="s">
        <v>58</v>
      </c>
      <c r="F457" s="4">
        <v>69.53</v>
      </c>
      <c r="G457" s="4">
        <v>65.04</v>
      </c>
      <c r="H457" s="4">
        <v>7.581585531E10</v>
      </c>
      <c r="I457" s="4">
        <v>8.3358255319E10</v>
      </c>
      <c r="J457" s="4" t="s">
        <v>1062</v>
      </c>
      <c r="K457" s="4" t="s">
        <v>1063</v>
      </c>
      <c r="L457" s="4">
        <v>3.98</v>
      </c>
      <c r="M457" s="4">
        <v>582.39</v>
      </c>
      <c r="N457" s="4">
        <v>582.0</v>
      </c>
      <c r="O457" s="4">
        <v>48306.0</v>
      </c>
      <c r="P457" s="4">
        <f t="shared" si="1"/>
        <v>84.06666667</v>
      </c>
      <c r="Q457" s="4" t="str">
        <f t="shared" si="2"/>
        <v>Normal</v>
      </c>
      <c r="R457" s="1" t="str">
        <f t="shared" si="3"/>
        <v>Normal</v>
      </c>
      <c r="S457" s="4">
        <f t="shared" si="4"/>
        <v>148.2424425</v>
      </c>
      <c r="T457" s="1" t="str">
        <f t="shared" si="5"/>
        <v>Normal Cost</v>
      </c>
      <c r="U457" s="4">
        <f t="shared" si="6"/>
        <v>0.1392891152</v>
      </c>
    </row>
    <row r="458">
      <c r="A458" s="4" t="s">
        <v>1064</v>
      </c>
      <c r="B458" s="4" t="s">
        <v>16</v>
      </c>
      <c r="C458" s="4">
        <v>979.532</v>
      </c>
      <c r="D458" s="4" t="s">
        <v>21</v>
      </c>
      <c r="E458" s="4" t="s">
        <v>18</v>
      </c>
      <c r="F458" s="4">
        <v>33.65</v>
      </c>
      <c r="G458" s="4">
        <v>36.53</v>
      </c>
      <c r="H458" s="4">
        <v>2.8103457034E10</v>
      </c>
      <c r="I458" s="4">
        <v>3.4084735663E10</v>
      </c>
      <c r="J458" s="5">
        <v>45480.93402777778</v>
      </c>
      <c r="K458" s="4" t="s">
        <v>1065</v>
      </c>
      <c r="L458" s="4">
        <v>2.18</v>
      </c>
      <c r="M458" s="4">
        <v>2135.38</v>
      </c>
      <c r="N458" s="4">
        <v>2135.0</v>
      </c>
      <c r="O458" s="4">
        <v>177205.0</v>
      </c>
      <c r="P458" s="4">
        <f t="shared" si="1"/>
        <v>134.0666667</v>
      </c>
      <c r="Q458" s="4" t="str">
        <f t="shared" si="2"/>
        <v>Normal</v>
      </c>
      <c r="R458" s="1" t="str">
        <f t="shared" si="3"/>
        <v>Underutilized</v>
      </c>
      <c r="S458" s="4">
        <f t="shared" si="4"/>
        <v>57.91726773</v>
      </c>
      <c r="T458" s="1" t="str">
        <f t="shared" si="5"/>
        <v>High Cost</v>
      </c>
      <c r="U458" s="4">
        <f t="shared" si="6"/>
        <v>0.01980192432</v>
      </c>
    </row>
    <row r="459">
      <c r="A459" s="4" t="s">
        <v>1066</v>
      </c>
      <c r="B459" s="4" t="s">
        <v>36</v>
      </c>
      <c r="C459" s="4">
        <v>313.9518</v>
      </c>
      <c r="D459" s="4" t="s">
        <v>17</v>
      </c>
      <c r="E459" s="4" t="s">
        <v>37</v>
      </c>
      <c r="F459" s="4">
        <v>87.12</v>
      </c>
      <c r="G459" s="4">
        <v>92.54</v>
      </c>
      <c r="H459" s="4">
        <v>8.742956924E9</v>
      </c>
      <c r="I459" s="4">
        <v>1.629469918E10</v>
      </c>
      <c r="J459" s="5">
        <v>45390.26944444444</v>
      </c>
      <c r="K459" s="5">
        <v>45512.56805555556</v>
      </c>
      <c r="L459" s="4">
        <v>1.28</v>
      </c>
      <c r="M459" s="4">
        <v>401.86</v>
      </c>
      <c r="N459" s="4">
        <v>402.0</v>
      </c>
      <c r="O459" s="4">
        <v>33366.0</v>
      </c>
      <c r="P459" s="4">
        <f t="shared" si="1"/>
        <v>103.1666667</v>
      </c>
      <c r="Q459" s="4" t="str">
        <f t="shared" si="2"/>
        <v>High</v>
      </c>
      <c r="R459" s="1" t="str">
        <f t="shared" si="3"/>
        <v>High</v>
      </c>
      <c r="S459" s="4">
        <f t="shared" si="4"/>
        <v>23.31813435</v>
      </c>
      <c r="T459" s="1" t="str">
        <f t="shared" si="5"/>
        <v>Normal Cost</v>
      </c>
      <c r="U459" s="4">
        <f t="shared" si="6"/>
        <v>0.2692261584</v>
      </c>
    </row>
    <row r="460">
      <c r="A460" s="4" t="s">
        <v>1067</v>
      </c>
      <c r="B460" s="4" t="s">
        <v>147</v>
      </c>
      <c r="C460" s="4">
        <v>132.6833</v>
      </c>
      <c r="D460" s="4" t="s">
        <v>42</v>
      </c>
      <c r="E460" s="4" t="s">
        <v>70</v>
      </c>
      <c r="F460" s="4">
        <v>73.41</v>
      </c>
      <c r="G460" s="4">
        <v>13.38</v>
      </c>
      <c r="H460" s="4">
        <v>6.7560162667E10</v>
      </c>
      <c r="I460" s="4">
        <v>7.6680669575E10</v>
      </c>
      <c r="J460" s="4" t="s">
        <v>1068</v>
      </c>
      <c r="K460" s="4" t="s">
        <v>1069</v>
      </c>
      <c r="L460" s="4">
        <v>8.87</v>
      </c>
      <c r="M460" s="4">
        <v>1176.9</v>
      </c>
      <c r="N460" s="4">
        <v>1177.0</v>
      </c>
      <c r="O460" s="4">
        <v>97691.0</v>
      </c>
      <c r="P460" s="4">
        <f t="shared" si="1"/>
        <v>132.6833333</v>
      </c>
      <c r="Q460" s="4" t="str">
        <f t="shared" si="2"/>
        <v>High</v>
      </c>
      <c r="R460" s="1" t="str">
        <f t="shared" si="3"/>
        <v>Underutilized</v>
      </c>
      <c r="S460" s="4">
        <f t="shared" si="4"/>
        <v>134.3347432</v>
      </c>
      <c r="T460" s="1" t="str">
        <f t="shared" si="5"/>
        <v>Normal Cost</v>
      </c>
      <c r="U460" s="4">
        <f t="shared" si="6"/>
        <v>0.04442067335</v>
      </c>
    </row>
    <row r="461">
      <c r="A461" s="4" t="s">
        <v>1070</v>
      </c>
      <c r="B461" s="4" t="s">
        <v>62</v>
      </c>
      <c r="C461" s="4">
        <v>143.7667</v>
      </c>
      <c r="D461" s="4" t="s">
        <v>42</v>
      </c>
      <c r="E461" s="4" t="s">
        <v>54</v>
      </c>
      <c r="F461" s="4">
        <v>79.32</v>
      </c>
      <c r="G461" s="4">
        <v>90.15</v>
      </c>
      <c r="H461" s="4">
        <v>8.0974628179E10</v>
      </c>
      <c r="I461" s="4">
        <v>8.7896879355E10</v>
      </c>
      <c r="J461" s="4" t="s">
        <v>1071</v>
      </c>
      <c r="K461" s="4" t="s">
        <v>1072</v>
      </c>
      <c r="L461" s="4">
        <v>6.09</v>
      </c>
      <c r="M461" s="4">
        <v>875.54</v>
      </c>
      <c r="N461" s="4">
        <v>876.0</v>
      </c>
      <c r="O461" s="4">
        <v>72708.0</v>
      </c>
      <c r="P461" s="4">
        <f t="shared" si="1"/>
        <v>143.7666667</v>
      </c>
      <c r="Q461" s="4" t="str">
        <f t="shared" si="2"/>
        <v>High</v>
      </c>
      <c r="R461" s="1" t="str">
        <f t="shared" si="3"/>
        <v>High</v>
      </c>
      <c r="S461" s="4">
        <f t="shared" si="4"/>
        <v>157.2738472</v>
      </c>
      <c r="T461" s="1" t="str">
        <f t="shared" si="5"/>
        <v>Normal Cost</v>
      </c>
      <c r="U461" s="4">
        <f t="shared" si="6"/>
        <v>0.1165415085</v>
      </c>
    </row>
    <row r="462">
      <c r="A462" s="4" t="s">
        <v>1073</v>
      </c>
      <c r="B462" s="4" t="s">
        <v>139</v>
      </c>
      <c r="C462" s="4">
        <v>114.5333</v>
      </c>
      <c r="D462" s="4" t="s">
        <v>42</v>
      </c>
      <c r="E462" s="4" t="s">
        <v>58</v>
      </c>
      <c r="F462" s="4">
        <v>87.12</v>
      </c>
      <c r="G462" s="4">
        <v>52.29</v>
      </c>
      <c r="H462" s="4">
        <v>3.4053044273E10</v>
      </c>
      <c r="I462" s="4">
        <v>3.4139736566E10</v>
      </c>
      <c r="J462" s="5">
        <v>45543.850694444445</v>
      </c>
      <c r="K462" s="4" t="s">
        <v>1074</v>
      </c>
      <c r="L462" s="4">
        <v>5.14</v>
      </c>
      <c r="M462" s="4">
        <v>588.7</v>
      </c>
      <c r="N462" s="4">
        <v>589.0</v>
      </c>
      <c r="O462" s="4">
        <v>48887.0</v>
      </c>
      <c r="P462" s="4">
        <f t="shared" si="1"/>
        <v>114.5333333</v>
      </c>
      <c r="Q462" s="4" t="str">
        <f t="shared" si="2"/>
        <v>High</v>
      </c>
      <c r="R462" s="1" t="str">
        <f t="shared" si="3"/>
        <v>Normal</v>
      </c>
      <c r="S462" s="4">
        <f t="shared" si="4"/>
        <v>63.50947622</v>
      </c>
      <c r="T462" s="1" t="str">
        <f t="shared" si="5"/>
        <v>Normal Cost</v>
      </c>
      <c r="U462" s="4">
        <f t="shared" si="6"/>
        <v>0.142583918</v>
      </c>
    </row>
    <row r="463">
      <c r="A463" s="4" t="s">
        <v>1075</v>
      </c>
      <c r="B463" s="4" t="s">
        <v>273</v>
      </c>
      <c r="C463" s="4">
        <v>91.8437</v>
      </c>
      <c r="D463" s="4" t="s">
        <v>21</v>
      </c>
      <c r="E463" s="4" t="s">
        <v>27</v>
      </c>
      <c r="F463" s="4">
        <v>45.37</v>
      </c>
      <c r="G463" s="4">
        <v>23.16</v>
      </c>
      <c r="H463" s="4">
        <v>6.2016239417E10</v>
      </c>
      <c r="I463" s="4">
        <v>6.6467457936E10</v>
      </c>
      <c r="J463" s="5">
        <v>45633.811111111114</v>
      </c>
      <c r="K463" s="4" t="s">
        <v>1076</v>
      </c>
      <c r="L463" s="4">
        <v>6.5</v>
      </c>
      <c r="M463" s="4">
        <v>596.98</v>
      </c>
      <c r="N463" s="4">
        <v>597.0</v>
      </c>
      <c r="O463" s="4">
        <v>49551.0</v>
      </c>
      <c r="P463" s="4">
        <f t="shared" si="1"/>
        <v>30.53333333</v>
      </c>
      <c r="Q463" s="4" t="str">
        <f t="shared" si="2"/>
        <v>Normal</v>
      </c>
      <c r="R463" s="1" t="str">
        <f t="shared" si="3"/>
        <v>Underutilized</v>
      </c>
      <c r="S463" s="4">
        <f t="shared" si="4"/>
        <v>119.6597678</v>
      </c>
      <c r="T463" s="1" t="str">
        <f t="shared" si="5"/>
        <v>Normal Cost</v>
      </c>
      <c r="U463" s="4">
        <f t="shared" si="6"/>
        <v>0.06915097576</v>
      </c>
    </row>
    <row r="464">
      <c r="A464" s="4" t="s">
        <v>1077</v>
      </c>
      <c r="B464" s="4" t="s">
        <v>31</v>
      </c>
      <c r="C464" s="4">
        <v>283.4613</v>
      </c>
      <c r="D464" s="4" t="s">
        <v>21</v>
      </c>
      <c r="E464" s="4" t="s">
        <v>155</v>
      </c>
      <c r="F464" s="4">
        <v>82.22</v>
      </c>
      <c r="G464" s="4">
        <v>31.66</v>
      </c>
      <c r="H464" s="4">
        <v>5.3579415957E10</v>
      </c>
      <c r="I464" s="4">
        <v>5.4054318649E10</v>
      </c>
      <c r="J464" s="4" t="s">
        <v>1078</v>
      </c>
      <c r="K464" s="5">
        <v>45390.27916666667</v>
      </c>
      <c r="L464" s="4">
        <v>6.13</v>
      </c>
      <c r="M464" s="4">
        <v>1737.62</v>
      </c>
      <c r="N464" s="4">
        <v>1738.0</v>
      </c>
      <c r="O464" s="4">
        <v>144254.0</v>
      </c>
      <c r="P464" s="4">
        <f t="shared" si="1"/>
        <v>101.8666667</v>
      </c>
      <c r="Q464" s="4" t="str">
        <f t="shared" si="2"/>
        <v>High</v>
      </c>
      <c r="R464" s="1" t="str">
        <f t="shared" si="3"/>
        <v>Underutilized</v>
      </c>
      <c r="S464" s="4">
        <f t="shared" si="4"/>
        <v>100.2417268</v>
      </c>
      <c r="T464" s="1" t="str">
        <f t="shared" si="5"/>
        <v>Normal Cost</v>
      </c>
      <c r="U464" s="4">
        <f t="shared" si="6"/>
        <v>0.03947204237</v>
      </c>
    </row>
    <row r="465">
      <c r="A465" s="4" t="s">
        <v>1079</v>
      </c>
      <c r="B465" s="4" t="s">
        <v>99</v>
      </c>
      <c r="C465" s="4">
        <v>156.8948</v>
      </c>
      <c r="D465" s="4" t="s">
        <v>21</v>
      </c>
      <c r="E465" s="4" t="s">
        <v>54</v>
      </c>
      <c r="F465" s="4">
        <v>52.3</v>
      </c>
      <c r="G465" s="4">
        <v>67.42</v>
      </c>
      <c r="H465" s="4">
        <v>7.1864987424E10</v>
      </c>
      <c r="I465" s="4">
        <v>7.5402314789E10</v>
      </c>
      <c r="J465" s="5">
        <v>45450.66527777778</v>
      </c>
      <c r="K465" s="5">
        <v>45603.85</v>
      </c>
      <c r="L465" s="4">
        <v>5.12</v>
      </c>
      <c r="M465" s="4">
        <v>803.3</v>
      </c>
      <c r="N465" s="4">
        <v>803.0</v>
      </c>
      <c r="O465" s="4">
        <v>66649.0</v>
      </c>
      <c r="P465" s="4">
        <f t="shared" si="1"/>
        <v>124.4333333</v>
      </c>
      <c r="Q465" s="4" t="str">
        <f t="shared" si="2"/>
        <v>Normal</v>
      </c>
      <c r="R465" s="1" t="str">
        <f t="shared" si="3"/>
        <v>Normal</v>
      </c>
      <c r="S465" s="4">
        <f t="shared" si="4"/>
        <v>137.1533631</v>
      </c>
      <c r="T465" s="1" t="str">
        <f t="shared" si="5"/>
        <v>Normal Cost</v>
      </c>
      <c r="U465" s="4">
        <f t="shared" si="6"/>
        <v>0.08981380066</v>
      </c>
    </row>
    <row r="466">
      <c r="A466" s="4" t="s">
        <v>1080</v>
      </c>
      <c r="B466" s="4" t="s">
        <v>60</v>
      </c>
      <c r="C466" s="4">
        <v>124.3833</v>
      </c>
      <c r="D466" s="4" t="s">
        <v>42</v>
      </c>
      <c r="E466" s="4" t="s">
        <v>123</v>
      </c>
      <c r="F466" s="4">
        <v>69.06</v>
      </c>
      <c r="G466" s="4">
        <v>98.73</v>
      </c>
      <c r="H466" s="4">
        <v>1.398975087E10</v>
      </c>
      <c r="I466" s="4">
        <v>1.6209140144E10</v>
      </c>
      <c r="J466" s="4" t="s">
        <v>1081</v>
      </c>
      <c r="K466" s="5">
        <v>45300.35208333333</v>
      </c>
      <c r="L466" s="4">
        <v>8.23</v>
      </c>
      <c r="M466" s="4">
        <v>1023.67</v>
      </c>
      <c r="N466" s="4">
        <v>1024.0</v>
      </c>
      <c r="O466" s="4">
        <v>84992.0</v>
      </c>
      <c r="P466" s="4">
        <f t="shared" si="1"/>
        <v>124.3833333</v>
      </c>
      <c r="Q466" s="4" t="str">
        <f t="shared" si="2"/>
        <v>Normal</v>
      </c>
      <c r="R466" s="1" t="str">
        <f t="shared" si="3"/>
        <v>High</v>
      </c>
      <c r="S466" s="4">
        <f t="shared" si="4"/>
        <v>28.12490893</v>
      </c>
      <c r="T466" s="1" t="str">
        <f t="shared" si="5"/>
        <v>Normal Cost</v>
      </c>
      <c r="U466" s="4">
        <f t="shared" si="6"/>
        <v>0.09870929029</v>
      </c>
    </row>
    <row r="467">
      <c r="A467" s="4" t="s">
        <v>1082</v>
      </c>
      <c r="B467" s="4" t="s">
        <v>83</v>
      </c>
      <c r="C467" s="4">
        <v>337.8574</v>
      </c>
      <c r="D467" s="4" t="s">
        <v>17</v>
      </c>
      <c r="E467" s="4" t="s">
        <v>37</v>
      </c>
      <c r="F467" s="4">
        <v>85.58</v>
      </c>
      <c r="G467" s="4">
        <v>90.93</v>
      </c>
      <c r="H467" s="4">
        <v>4.228666293E10</v>
      </c>
      <c r="I467" s="4">
        <v>4.2526481446E10</v>
      </c>
      <c r="J467" s="5">
        <v>45573.79027777778</v>
      </c>
      <c r="K467" s="4" t="s">
        <v>1083</v>
      </c>
      <c r="L467" s="4">
        <v>3.55</v>
      </c>
      <c r="M467" s="4">
        <v>1199.39</v>
      </c>
      <c r="N467" s="4">
        <v>1199.0</v>
      </c>
      <c r="O467" s="4">
        <v>99517.0</v>
      </c>
      <c r="P467" s="4">
        <f t="shared" si="1"/>
        <v>132.3666667</v>
      </c>
      <c r="Q467" s="4" t="str">
        <f t="shared" si="2"/>
        <v>High</v>
      </c>
      <c r="R467" s="1" t="str">
        <f t="shared" si="3"/>
        <v>High</v>
      </c>
      <c r="S467" s="4">
        <f t="shared" si="4"/>
        <v>78.98839598</v>
      </c>
      <c r="T467" s="1" t="str">
        <f t="shared" si="5"/>
        <v>Normal Cost</v>
      </c>
      <c r="U467" s="4">
        <f t="shared" si="6"/>
        <v>0.08868334053</v>
      </c>
    </row>
    <row r="468">
      <c r="A468" s="4" t="s">
        <v>1084</v>
      </c>
      <c r="B468" s="4" t="s">
        <v>122</v>
      </c>
      <c r="C468" s="4">
        <v>92.6792</v>
      </c>
      <c r="D468" s="4" t="s">
        <v>21</v>
      </c>
      <c r="E468" s="4" t="s">
        <v>74</v>
      </c>
      <c r="F468" s="4">
        <v>51.25</v>
      </c>
      <c r="G468" s="4">
        <v>51.34</v>
      </c>
      <c r="H468" s="4">
        <v>3.7088440029E10</v>
      </c>
      <c r="I468" s="4">
        <v>4.7028071539E10</v>
      </c>
      <c r="J468" s="4" t="s">
        <v>1085</v>
      </c>
      <c r="K468" s="4" t="s">
        <v>339</v>
      </c>
      <c r="L468" s="4">
        <v>8.79</v>
      </c>
      <c r="M468" s="4">
        <v>814.65</v>
      </c>
      <c r="N468" s="4">
        <v>815.0</v>
      </c>
      <c r="O468" s="4">
        <v>67645.0</v>
      </c>
      <c r="P468" s="4">
        <f t="shared" si="1"/>
        <v>81.06666667</v>
      </c>
      <c r="Q468" s="4" t="str">
        <f t="shared" si="2"/>
        <v>Normal</v>
      </c>
      <c r="R468" s="1" t="str">
        <f t="shared" si="3"/>
        <v>Normal</v>
      </c>
      <c r="S468" s="4">
        <f t="shared" si="4"/>
        <v>78.33960612</v>
      </c>
      <c r="T468" s="1" t="str">
        <f t="shared" si="5"/>
        <v>Normal Cost</v>
      </c>
      <c r="U468" s="4">
        <f t="shared" si="6"/>
        <v>0.07582969916</v>
      </c>
    </row>
    <row r="469">
      <c r="A469" s="4" t="s">
        <v>1086</v>
      </c>
      <c r="B469" s="4" t="s">
        <v>20</v>
      </c>
      <c r="C469" s="4">
        <v>466.4178</v>
      </c>
      <c r="D469" s="4" t="s">
        <v>21</v>
      </c>
      <c r="E469" s="4" t="s">
        <v>105</v>
      </c>
      <c r="F469" s="4">
        <v>77.26</v>
      </c>
      <c r="G469" s="4">
        <v>40.23</v>
      </c>
      <c r="H469" s="4">
        <v>4.0823083814E10</v>
      </c>
      <c r="I469" s="4">
        <v>4.1455680327E10</v>
      </c>
      <c r="J469" s="4" t="s">
        <v>1087</v>
      </c>
      <c r="K469" s="4" t="s">
        <v>1088</v>
      </c>
      <c r="L469" s="4">
        <v>8.36</v>
      </c>
      <c r="M469" s="4">
        <v>3899.25</v>
      </c>
      <c r="N469" s="4">
        <v>3899.0</v>
      </c>
      <c r="O469" s="4">
        <v>323617.0</v>
      </c>
      <c r="P469" s="4">
        <f t="shared" si="1"/>
        <v>37.46666667</v>
      </c>
      <c r="Q469" s="4" t="str">
        <f t="shared" si="2"/>
        <v>High</v>
      </c>
      <c r="R469" s="1" t="str">
        <f t="shared" si="3"/>
        <v>Normal</v>
      </c>
      <c r="S469" s="4">
        <f t="shared" si="4"/>
        <v>76.62807046</v>
      </c>
      <c r="T469" s="1" t="str">
        <f t="shared" si="5"/>
        <v>High Cost</v>
      </c>
      <c r="U469" s="4">
        <f t="shared" si="6"/>
        <v>0.01815263104</v>
      </c>
    </row>
    <row r="470">
      <c r="A470" s="4" t="s">
        <v>1089</v>
      </c>
      <c r="B470" s="4" t="s">
        <v>31</v>
      </c>
      <c r="C470" s="4">
        <v>263.0482</v>
      </c>
      <c r="D470" s="4" t="s">
        <v>17</v>
      </c>
      <c r="E470" s="4" t="s">
        <v>37</v>
      </c>
      <c r="F470" s="4">
        <v>48.44</v>
      </c>
      <c r="G470" s="4">
        <v>61.01</v>
      </c>
      <c r="H470" s="4">
        <v>6.9487180961E10</v>
      </c>
      <c r="I470" s="4">
        <v>7.8309360135E10</v>
      </c>
      <c r="J470" s="5">
        <v>45480.4375</v>
      </c>
      <c r="K470" s="5">
        <v>45633.02291666667</v>
      </c>
      <c r="L470" s="4">
        <v>7.5</v>
      </c>
      <c r="M470" s="4">
        <v>1972.86</v>
      </c>
      <c r="N470" s="4">
        <v>1973.0</v>
      </c>
      <c r="O470" s="4">
        <v>163759.0</v>
      </c>
      <c r="P470" s="4">
        <f t="shared" si="1"/>
        <v>110.05</v>
      </c>
      <c r="Q470" s="4" t="str">
        <f t="shared" si="2"/>
        <v>Normal</v>
      </c>
      <c r="R470" s="1" t="str">
        <f t="shared" si="3"/>
        <v>Normal</v>
      </c>
      <c r="S470" s="4">
        <f t="shared" si="4"/>
        <v>137.6462552</v>
      </c>
      <c r="T470" s="1" t="str">
        <f t="shared" si="5"/>
        <v>Normal Cost</v>
      </c>
      <c r="U470" s="4">
        <f t="shared" si="6"/>
        <v>0.03341801061</v>
      </c>
    </row>
    <row r="471">
      <c r="A471" s="4" t="s">
        <v>1090</v>
      </c>
      <c r="B471" s="4" t="s">
        <v>57</v>
      </c>
      <c r="C471" s="4">
        <v>650.7964</v>
      </c>
      <c r="D471" s="4" t="s">
        <v>21</v>
      </c>
      <c r="E471" s="4" t="s">
        <v>32</v>
      </c>
      <c r="F471" s="4">
        <v>50.55</v>
      </c>
      <c r="G471" s="4">
        <v>89.83</v>
      </c>
      <c r="H471" s="4">
        <v>4.9952769831E10</v>
      </c>
      <c r="I471" s="4">
        <v>5.3603450248E10</v>
      </c>
      <c r="J471" s="4" t="s">
        <v>1091</v>
      </c>
      <c r="K471" s="4" t="s">
        <v>1092</v>
      </c>
      <c r="L471" s="4">
        <v>7.36</v>
      </c>
      <c r="M471" s="4">
        <v>4789.86</v>
      </c>
      <c r="N471" s="4">
        <v>4790.0</v>
      </c>
      <c r="O471" s="4">
        <v>397570.0</v>
      </c>
      <c r="P471" s="4">
        <f t="shared" si="1"/>
        <v>142.8666667</v>
      </c>
      <c r="Q471" s="4" t="str">
        <f t="shared" si="2"/>
        <v>Normal</v>
      </c>
      <c r="R471" s="1" t="str">
        <f t="shared" si="3"/>
        <v>High</v>
      </c>
      <c r="S471" s="4">
        <f t="shared" si="4"/>
        <v>96.4442455</v>
      </c>
      <c r="T471" s="1" t="str">
        <f t="shared" si="5"/>
        <v>High Cost</v>
      </c>
      <c r="U471" s="4">
        <f t="shared" si="6"/>
        <v>0.01765475262</v>
      </c>
    </row>
    <row r="472">
      <c r="A472" s="4" t="s">
        <v>1093</v>
      </c>
      <c r="B472" s="4" t="s">
        <v>62</v>
      </c>
      <c r="C472" s="4">
        <v>101.65</v>
      </c>
      <c r="D472" s="4" t="s">
        <v>42</v>
      </c>
      <c r="E472" s="4" t="s">
        <v>27</v>
      </c>
      <c r="F472" s="4">
        <v>6.12</v>
      </c>
      <c r="G472" s="4">
        <v>55.38</v>
      </c>
      <c r="H472" s="4">
        <v>7.015264415E10</v>
      </c>
      <c r="I472" s="4">
        <v>7.7939261927E10</v>
      </c>
      <c r="J472" s="4" t="s">
        <v>1094</v>
      </c>
      <c r="K472" s="5">
        <v>45331.00069444445</v>
      </c>
      <c r="L472" s="4">
        <v>3.12</v>
      </c>
      <c r="M472" s="4">
        <v>317.15</v>
      </c>
      <c r="N472" s="4">
        <v>317.0</v>
      </c>
      <c r="O472" s="4">
        <v>26311.0</v>
      </c>
      <c r="P472" s="4">
        <f t="shared" si="1"/>
        <v>101.65</v>
      </c>
      <c r="Q472" s="4" t="str">
        <f t="shared" si="2"/>
        <v>Underutilized</v>
      </c>
      <c r="R472" s="1" t="str">
        <f t="shared" si="3"/>
        <v>Normal</v>
      </c>
      <c r="S472" s="4">
        <f t="shared" si="4"/>
        <v>137.9213352</v>
      </c>
      <c r="T472" s="1" t="str">
        <f t="shared" si="5"/>
        <v>Normal Cost</v>
      </c>
      <c r="U472" s="4">
        <f t="shared" si="6"/>
        <v>0.1168712706</v>
      </c>
    </row>
    <row r="473">
      <c r="A473" s="4" t="s">
        <v>1095</v>
      </c>
      <c r="B473" s="4" t="s">
        <v>66</v>
      </c>
      <c r="C473" s="4">
        <v>887.5022</v>
      </c>
      <c r="D473" s="4" t="s">
        <v>17</v>
      </c>
      <c r="E473" s="4" t="s">
        <v>123</v>
      </c>
      <c r="F473" s="4">
        <v>23.88</v>
      </c>
      <c r="G473" s="4">
        <v>21.64</v>
      </c>
      <c r="H473" s="4">
        <v>8.8253570412E10</v>
      </c>
      <c r="I473" s="4">
        <v>9.4332643638E10</v>
      </c>
      <c r="J473" s="4" t="s">
        <v>1096</v>
      </c>
      <c r="K473" s="4" t="s">
        <v>1097</v>
      </c>
      <c r="L473" s="4">
        <v>8.9</v>
      </c>
      <c r="M473" s="4">
        <v>7898.77</v>
      </c>
      <c r="N473" s="4">
        <v>7899.0</v>
      </c>
      <c r="O473" s="4">
        <v>655617.0</v>
      </c>
      <c r="P473" s="4">
        <f t="shared" si="1"/>
        <v>55.68333333</v>
      </c>
      <c r="Q473" s="4" t="str">
        <f t="shared" si="2"/>
        <v>Underutilized</v>
      </c>
      <c r="R473" s="1" t="str">
        <f t="shared" si="3"/>
        <v>Underutilized</v>
      </c>
      <c r="S473" s="4">
        <f t="shared" si="4"/>
        <v>170.046663</v>
      </c>
      <c r="T473" s="1" t="str">
        <f t="shared" si="5"/>
        <v>High Cost</v>
      </c>
      <c r="U473" s="4">
        <f t="shared" si="6"/>
        <v>0.003471539024</v>
      </c>
    </row>
    <row r="474">
      <c r="A474" s="4" t="s">
        <v>1098</v>
      </c>
      <c r="B474" s="4" t="s">
        <v>350</v>
      </c>
      <c r="C474" s="4">
        <v>496.9294</v>
      </c>
      <c r="D474" s="4" t="s">
        <v>17</v>
      </c>
      <c r="E474" s="4" t="s">
        <v>37</v>
      </c>
      <c r="F474" s="4">
        <v>62.45</v>
      </c>
      <c r="G474" s="4">
        <v>74.75</v>
      </c>
      <c r="H474" s="4">
        <v>4.2359936599E10</v>
      </c>
      <c r="I474" s="4">
        <v>5.2153559965E10</v>
      </c>
      <c r="J474" s="4" t="s">
        <v>1099</v>
      </c>
      <c r="K474" s="4" t="s">
        <v>1100</v>
      </c>
      <c r="L474" s="4">
        <v>8.69</v>
      </c>
      <c r="M474" s="4">
        <v>4318.32</v>
      </c>
      <c r="N474" s="4">
        <v>4318.0</v>
      </c>
      <c r="O474" s="4">
        <v>358394.0</v>
      </c>
      <c r="P474" s="4">
        <f t="shared" si="1"/>
        <v>85.51666667</v>
      </c>
      <c r="Q474" s="4" t="str">
        <f t="shared" si="2"/>
        <v>Normal</v>
      </c>
      <c r="R474" s="1" t="str">
        <f t="shared" si="3"/>
        <v>Normal</v>
      </c>
      <c r="S474" s="4">
        <f t="shared" si="4"/>
        <v>88.02255296</v>
      </c>
      <c r="T474" s="1" t="str">
        <f t="shared" si="5"/>
        <v>High Cost</v>
      </c>
      <c r="U474" s="4">
        <f t="shared" si="6"/>
        <v>0.01914094544</v>
      </c>
    </row>
    <row r="475">
      <c r="A475" s="4" t="s">
        <v>1101</v>
      </c>
      <c r="B475" s="4" t="s">
        <v>53</v>
      </c>
      <c r="C475" s="4">
        <v>92.5512</v>
      </c>
      <c r="D475" s="4" t="s">
        <v>17</v>
      </c>
      <c r="E475" s="4" t="s">
        <v>70</v>
      </c>
      <c r="F475" s="4">
        <v>85.75</v>
      </c>
      <c r="G475" s="4">
        <v>92.34</v>
      </c>
      <c r="H475" s="4">
        <v>9.0576095043E10</v>
      </c>
      <c r="I475" s="4">
        <v>9.6470776156E10</v>
      </c>
      <c r="J475" s="4" t="s">
        <v>1102</v>
      </c>
      <c r="K475" s="4" t="s">
        <v>1103</v>
      </c>
      <c r="L475" s="4">
        <v>2.82</v>
      </c>
      <c r="M475" s="4">
        <v>260.99</v>
      </c>
      <c r="N475" s="4">
        <v>261.0</v>
      </c>
      <c r="O475" s="4">
        <v>21663.0</v>
      </c>
      <c r="P475" s="4">
        <f t="shared" si="1"/>
        <v>128.4333333</v>
      </c>
      <c r="Q475" s="4" t="str">
        <f t="shared" si="2"/>
        <v>High</v>
      </c>
      <c r="R475" s="1" t="str">
        <f t="shared" si="3"/>
        <v>High</v>
      </c>
      <c r="S475" s="4">
        <f t="shared" si="4"/>
        <v>174.2009737</v>
      </c>
      <c r="T475" s="1" t="str">
        <f t="shared" si="5"/>
        <v>Normal Cost</v>
      </c>
      <c r="U475" s="4">
        <f t="shared" si="6"/>
        <v>0.4110464848</v>
      </c>
    </row>
    <row r="476">
      <c r="A476" s="4" t="s">
        <v>1104</v>
      </c>
      <c r="B476" s="4" t="s">
        <v>169</v>
      </c>
      <c r="C476" s="4">
        <v>346.6752</v>
      </c>
      <c r="D476" s="4" t="s">
        <v>21</v>
      </c>
      <c r="E476" s="4" t="s">
        <v>70</v>
      </c>
      <c r="F476" s="4">
        <v>80.96</v>
      </c>
      <c r="G476" s="4">
        <v>95.33</v>
      </c>
      <c r="H476" s="4">
        <v>2.8698797112E10</v>
      </c>
      <c r="I476" s="4">
        <v>3.6231433469E10</v>
      </c>
      <c r="J476" s="5">
        <v>45329.47222222222</v>
      </c>
      <c r="K476" s="5">
        <v>45511.21805555555</v>
      </c>
      <c r="L476" s="4">
        <v>1.54</v>
      </c>
      <c r="M476" s="4">
        <v>533.88</v>
      </c>
      <c r="N476" s="4">
        <v>534.0</v>
      </c>
      <c r="O476" s="4">
        <v>44322.0</v>
      </c>
      <c r="P476" s="4">
        <f t="shared" si="1"/>
        <v>137.9</v>
      </c>
      <c r="Q476" s="4" t="str">
        <f t="shared" si="2"/>
        <v>High</v>
      </c>
      <c r="R476" s="1" t="str">
        <f t="shared" si="3"/>
        <v>High</v>
      </c>
      <c r="S476" s="4">
        <f t="shared" si="4"/>
        <v>60.47098952</v>
      </c>
      <c r="T476" s="1" t="str">
        <f t="shared" si="5"/>
        <v>Normal Cost</v>
      </c>
      <c r="U476" s="4">
        <f t="shared" si="6"/>
        <v>0.1988741483</v>
      </c>
    </row>
    <row r="477">
      <c r="A477" s="4" t="s">
        <v>1105</v>
      </c>
      <c r="B477" s="4" t="s">
        <v>57</v>
      </c>
      <c r="C477" s="4">
        <v>562.4955</v>
      </c>
      <c r="D477" s="4" t="s">
        <v>17</v>
      </c>
      <c r="E477" s="4" t="s">
        <v>105</v>
      </c>
      <c r="F477" s="4">
        <v>55.44</v>
      </c>
      <c r="G477" s="4">
        <v>27.23</v>
      </c>
      <c r="H477" s="4">
        <v>2.9991632738E10</v>
      </c>
      <c r="I477" s="4">
        <v>3.3149597955E10</v>
      </c>
      <c r="J477" s="4" t="s">
        <v>1106</v>
      </c>
      <c r="K477" s="4" t="s">
        <v>1107</v>
      </c>
      <c r="L477" s="4">
        <v>3.26</v>
      </c>
      <c r="M477" s="4">
        <v>1833.74</v>
      </c>
      <c r="N477" s="4">
        <v>1834.0</v>
      </c>
      <c r="O477" s="4">
        <v>152222.0</v>
      </c>
      <c r="P477" s="4">
        <f t="shared" si="1"/>
        <v>99.25</v>
      </c>
      <c r="Q477" s="4" t="str">
        <f t="shared" si="2"/>
        <v>Normal</v>
      </c>
      <c r="R477" s="1" t="str">
        <f t="shared" si="3"/>
        <v>Underutilized</v>
      </c>
      <c r="S477" s="4">
        <f t="shared" si="4"/>
        <v>58.80485353</v>
      </c>
      <c r="T477" s="1" t="str">
        <f t="shared" si="5"/>
        <v>Normal Cost</v>
      </c>
      <c r="U477" s="4">
        <f t="shared" si="6"/>
        <v>0.0271544192</v>
      </c>
    </row>
    <row r="478">
      <c r="A478" s="4" t="s">
        <v>1108</v>
      </c>
      <c r="B478" s="4" t="s">
        <v>99</v>
      </c>
      <c r="C478" s="4">
        <v>922.2978</v>
      </c>
      <c r="D478" s="4" t="s">
        <v>17</v>
      </c>
      <c r="E478" s="4" t="s">
        <v>155</v>
      </c>
      <c r="F478" s="4">
        <v>34.33</v>
      </c>
      <c r="G478" s="4">
        <v>16.97</v>
      </c>
      <c r="H478" s="4">
        <v>6.5971441196E10</v>
      </c>
      <c r="I478" s="4">
        <v>7.214823723E10</v>
      </c>
      <c r="J478" s="5">
        <v>45450.42361111111</v>
      </c>
      <c r="K478" s="5">
        <v>45633.404861111114</v>
      </c>
      <c r="L478" s="4">
        <v>6.19</v>
      </c>
      <c r="M478" s="4">
        <v>5709.02</v>
      </c>
      <c r="N478" s="4">
        <v>5709.0</v>
      </c>
      <c r="O478" s="4">
        <v>473847.0</v>
      </c>
      <c r="P478" s="4">
        <f t="shared" si="1"/>
        <v>143.55</v>
      </c>
      <c r="Q478" s="4" t="str">
        <f t="shared" si="2"/>
        <v>Normal</v>
      </c>
      <c r="R478" s="1" t="str">
        <f t="shared" si="3"/>
        <v>Underutilized</v>
      </c>
      <c r="S478" s="4">
        <f t="shared" si="4"/>
        <v>128.6339745</v>
      </c>
      <c r="T478" s="1" t="str">
        <f t="shared" si="5"/>
        <v>High Cost</v>
      </c>
      <c r="U478" s="4">
        <f t="shared" si="6"/>
        <v>0.005413139684</v>
      </c>
    </row>
    <row r="479">
      <c r="A479" s="4" t="s">
        <v>1109</v>
      </c>
      <c r="B479" s="4" t="s">
        <v>166</v>
      </c>
      <c r="C479" s="4">
        <v>248.0948</v>
      </c>
      <c r="D479" s="4" t="s">
        <v>17</v>
      </c>
      <c r="E479" s="4" t="s">
        <v>105</v>
      </c>
      <c r="F479" s="4">
        <v>3.98</v>
      </c>
      <c r="G479" s="4">
        <v>48.93</v>
      </c>
      <c r="H479" s="4">
        <v>8.9767050146E10</v>
      </c>
      <c r="I479" s="4">
        <v>9.5190480103E10</v>
      </c>
      <c r="J479" s="5">
        <v>45451.04236111111</v>
      </c>
      <c r="K479" s="5">
        <v>45604.65347222222</v>
      </c>
      <c r="L479" s="4">
        <v>4.93</v>
      </c>
      <c r="M479" s="4">
        <v>1223.11</v>
      </c>
      <c r="N479" s="4">
        <v>1223.0</v>
      </c>
      <c r="O479" s="4">
        <v>101509.0</v>
      </c>
      <c r="P479" s="4">
        <f t="shared" si="1"/>
        <v>134.6666667</v>
      </c>
      <c r="Q479" s="4" t="str">
        <f t="shared" si="2"/>
        <v>Underutilized</v>
      </c>
      <c r="R479" s="1" t="str">
        <f t="shared" si="3"/>
        <v>Normal</v>
      </c>
      <c r="S479" s="4">
        <f t="shared" si="4"/>
        <v>172.2551233</v>
      </c>
      <c r="T479" s="1" t="str">
        <f t="shared" si="5"/>
        <v>Normal Cost</v>
      </c>
      <c r="U479" s="4">
        <f t="shared" si="6"/>
        <v>0.02606172852</v>
      </c>
    </row>
    <row r="480">
      <c r="A480" s="4" t="s">
        <v>1110</v>
      </c>
      <c r="B480" s="4" t="s">
        <v>79</v>
      </c>
      <c r="C480" s="4">
        <v>169.6846</v>
      </c>
      <c r="D480" s="4" t="s">
        <v>17</v>
      </c>
      <c r="E480" s="4" t="s">
        <v>22</v>
      </c>
      <c r="F480" s="4">
        <v>9.72</v>
      </c>
      <c r="G480" s="4">
        <v>54.35</v>
      </c>
      <c r="H480" s="4">
        <v>7.7891960564E10</v>
      </c>
      <c r="I480" s="4">
        <v>8.0290494361E10</v>
      </c>
      <c r="J480" s="5">
        <v>45420.254166666666</v>
      </c>
      <c r="K480" s="5">
        <v>45573.02638888889</v>
      </c>
      <c r="L480" s="4">
        <v>3.27</v>
      </c>
      <c r="M480" s="4">
        <v>554.87</v>
      </c>
      <c r="N480" s="4">
        <v>555.0</v>
      </c>
      <c r="O480" s="4">
        <v>46065.0</v>
      </c>
      <c r="P480" s="4">
        <f t="shared" si="1"/>
        <v>114.5333333</v>
      </c>
      <c r="Q480" s="4" t="str">
        <f t="shared" si="2"/>
        <v>Underutilized</v>
      </c>
      <c r="R480" s="1" t="str">
        <f t="shared" si="3"/>
        <v>Normal</v>
      </c>
      <c r="S480" s="4">
        <f t="shared" si="4"/>
        <v>147.3188912</v>
      </c>
      <c r="T480" s="1" t="str">
        <f t="shared" si="5"/>
        <v>Normal Cost</v>
      </c>
      <c r="U480" s="4">
        <f t="shared" si="6"/>
        <v>0.06954303701</v>
      </c>
    </row>
    <row r="481">
      <c r="A481" s="4" t="s">
        <v>1111</v>
      </c>
      <c r="B481" s="4" t="s">
        <v>66</v>
      </c>
      <c r="C481" s="4">
        <v>879.1095</v>
      </c>
      <c r="D481" s="4" t="s">
        <v>21</v>
      </c>
      <c r="E481" s="4" t="s">
        <v>54</v>
      </c>
      <c r="F481" s="4">
        <v>36.35</v>
      </c>
      <c r="G481" s="4">
        <v>94.15</v>
      </c>
      <c r="H481" s="4">
        <v>9.9384435137E10</v>
      </c>
      <c r="I481" s="6">
        <v>1.03178E11</v>
      </c>
      <c r="J481" s="4" t="s">
        <v>1112</v>
      </c>
      <c r="K481" s="4" t="s">
        <v>1113</v>
      </c>
      <c r="L481" s="4">
        <v>3.08</v>
      </c>
      <c r="M481" s="4">
        <v>2707.66</v>
      </c>
      <c r="N481" s="4">
        <v>2708.0</v>
      </c>
      <c r="O481" s="4">
        <v>224764.0</v>
      </c>
      <c r="P481" s="4">
        <f t="shared" si="1"/>
        <v>114.9</v>
      </c>
      <c r="Q481" s="4" t="str">
        <f t="shared" si="2"/>
        <v>Normal</v>
      </c>
      <c r="R481" s="1" t="str">
        <f t="shared" si="3"/>
        <v>High</v>
      </c>
      <c r="S481" s="6">
        <f t="shared" si="4"/>
        <v>188.6509686</v>
      </c>
      <c r="T481" s="1" t="str">
        <f t="shared" si="5"/>
        <v>High Cost</v>
      </c>
      <c r="U481" s="4">
        <f t="shared" si="6"/>
        <v>0.02903044972</v>
      </c>
    </row>
    <row r="482">
      <c r="A482" s="4" t="s">
        <v>1114</v>
      </c>
      <c r="B482" s="4" t="s">
        <v>46</v>
      </c>
      <c r="C482" s="4">
        <v>435.086</v>
      </c>
      <c r="D482" s="4" t="s">
        <v>21</v>
      </c>
      <c r="E482" s="4" t="s">
        <v>155</v>
      </c>
      <c r="F482" s="4">
        <v>95.51</v>
      </c>
      <c r="G482" s="4">
        <v>84.66</v>
      </c>
      <c r="H482" s="4">
        <v>7.4957443833E10</v>
      </c>
      <c r="I482" s="4">
        <v>7.7986352608E10</v>
      </c>
      <c r="J482" s="5">
        <v>45358.3625</v>
      </c>
      <c r="K482" s="5">
        <v>45450.0375</v>
      </c>
      <c r="L482" s="4">
        <v>1.29</v>
      </c>
      <c r="M482" s="4">
        <v>561.26</v>
      </c>
      <c r="N482" s="4">
        <v>561.0</v>
      </c>
      <c r="O482" s="4">
        <v>46563.0</v>
      </c>
      <c r="P482" s="4">
        <f t="shared" si="1"/>
        <v>64.2</v>
      </c>
      <c r="Q482" s="4" t="str">
        <f t="shared" si="2"/>
        <v>High</v>
      </c>
      <c r="R482" s="1" t="str">
        <f t="shared" si="3"/>
        <v>High</v>
      </c>
      <c r="S482" s="4">
        <f t="shared" si="4"/>
        <v>142.4400103</v>
      </c>
      <c r="T482" s="1" t="str">
        <f t="shared" si="5"/>
        <v>Normal Cost</v>
      </c>
      <c r="U482" s="4">
        <f t="shared" si="6"/>
        <v>0.1934690634</v>
      </c>
    </row>
    <row r="483">
      <c r="A483" s="4" t="s">
        <v>1115</v>
      </c>
      <c r="B483" s="4" t="s">
        <v>57</v>
      </c>
      <c r="C483" s="4">
        <v>32.4517</v>
      </c>
      <c r="D483" s="4" t="s">
        <v>21</v>
      </c>
      <c r="E483" s="4" t="s">
        <v>54</v>
      </c>
      <c r="F483" s="4">
        <v>43.53</v>
      </c>
      <c r="G483" s="4">
        <v>85.79</v>
      </c>
      <c r="H483" s="4">
        <v>8.8791419619E10</v>
      </c>
      <c r="I483" s="4">
        <v>8.9178594951E10</v>
      </c>
      <c r="J483" s="5">
        <v>45330.174305555556</v>
      </c>
      <c r="K483" s="5">
        <v>45420.22777777778</v>
      </c>
      <c r="L483" s="4">
        <v>7.17</v>
      </c>
      <c r="M483" s="4">
        <v>232.68</v>
      </c>
      <c r="N483" s="4">
        <v>233.0</v>
      </c>
      <c r="O483" s="4">
        <v>19339.0</v>
      </c>
      <c r="P483" s="4">
        <f t="shared" si="1"/>
        <v>73.28333333</v>
      </c>
      <c r="Q483" s="4" t="str">
        <f t="shared" si="2"/>
        <v>Normal</v>
      </c>
      <c r="R483" s="1" t="str">
        <f t="shared" si="3"/>
        <v>High</v>
      </c>
      <c r="S483" s="4">
        <f t="shared" si="4"/>
        <v>165.7474922</v>
      </c>
      <c r="T483" s="1" t="str">
        <f t="shared" si="5"/>
        <v>Normal Cost</v>
      </c>
      <c r="U483" s="4">
        <f t="shared" si="6"/>
        <v>0.3343502766</v>
      </c>
    </row>
    <row r="484">
      <c r="A484" s="4" t="s">
        <v>1116</v>
      </c>
      <c r="B484" s="4" t="s">
        <v>46</v>
      </c>
      <c r="C484" s="4">
        <v>345.169</v>
      </c>
      <c r="D484" s="4" t="s">
        <v>21</v>
      </c>
      <c r="E484" s="4" t="s">
        <v>22</v>
      </c>
      <c r="F484" s="4">
        <v>44.23</v>
      </c>
      <c r="G484" s="4">
        <v>71.52</v>
      </c>
      <c r="H484" s="4">
        <v>2.4693488729E10</v>
      </c>
      <c r="I484" s="4">
        <v>3.3487450024E10</v>
      </c>
      <c r="J484" s="4" t="s">
        <v>1117</v>
      </c>
      <c r="K484" s="4" t="s">
        <v>1118</v>
      </c>
      <c r="L484" s="4">
        <v>2.42</v>
      </c>
      <c r="M484" s="4">
        <v>835.31</v>
      </c>
      <c r="N484" s="4">
        <v>835.0</v>
      </c>
      <c r="O484" s="4">
        <v>69305.0</v>
      </c>
      <c r="P484" s="4">
        <f t="shared" si="1"/>
        <v>69.33333333</v>
      </c>
      <c r="Q484" s="4" t="str">
        <f t="shared" si="2"/>
        <v>Normal</v>
      </c>
      <c r="R484" s="1" t="str">
        <f t="shared" si="3"/>
        <v>Normal</v>
      </c>
      <c r="S484" s="4">
        <f t="shared" si="4"/>
        <v>54.18522167</v>
      </c>
      <c r="T484" s="1" t="str">
        <f t="shared" si="5"/>
        <v>Normal Cost</v>
      </c>
      <c r="U484" s="4">
        <f t="shared" si="6"/>
        <v>0.08350768343</v>
      </c>
    </row>
    <row r="485">
      <c r="A485" s="4" t="s">
        <v>1119</v>
      </c>
      <c r="B485" s="4" t="s">
        <v>26</v>
      </c>
      <c r="C485" s="4">
        <v>435.3222</v>
      </c>
      <c r="D485" s="4" t="s">
        <v>17</v>
      </c>
      <c r="E485" s="4" t="s">
        <v>70</v>
      </c>
      <c r="F485" s="4">
        <v>12.19</v>
      </c>
      <c r="G485" s="4">
        <v>1.93</v>
      </c>
      <c r="H485" s="4">
        <v>1.5463764402E10</v>
      </c>
      <c r="I485" s="4">
        <v>2.0309748109E10</v>
      </c>
      <c r="J485" s="5">
        <v>45511.95486111111</v>
      </c>
      <c r="K485" s="5">
        <v>45603.33472222222</v>
      </c>
      <c r="L485" s="4">
        <v>4.44</v>
      </c>
      <c r="M485" s="4">
        <v>1932.83</v>
      </c>
      <c r="N485" s="4">
        <v>1933.0</v>
      </c>
      <c r="O485" s="4">
        <v>160439.0</v>
      </c>
      <c r="P485" s="4">
        <f t="shared" si="1"/>
        <v>57.11666667</v>
      </c>
      <c r="Q485" s="4" t="str">
        <f t="shared" si="2"/>
        <v>Underutilized</v>
      </c>
      <c r="R485" s="1" t="str">
        <f t="shared" si="3"/>
        <v>Underutilized</v>
      </c>
      <c r="S485" s="4">
        <f t="shared" si="4"/>
        <v>33.31667977</v>
      </c>
      <c r="T485" s="1" t="str">
        <f t="shared" si="5"/>
        <v>Normal Cost</v>
      </c>
      <c r="U485" s="4">
        <f t="shared" si="6"/>
        <v>0.00440042633</v>
      </c>
    </row>
    <row r="486">
      <c r="A486" s="4" t="s">
        <v>1120</v>
      </c>
      <c r="B486" s="4" t="s">
        <v>41</v>
      </c>
      <c r="C486" s="4">
        <v>46.4</v>
      </c>
      <c r="D486" s="4" t="s">
        <v>42</v>
      </c>
      <c r="E486" s="4" t="s">
        <v>74</v>
      </c>
      <c r="F486" s="4">
        <v>41.26</v>
      </c>
      <c r="G486" s="4">
        <v>48.11</v>
      </c>
      <c r="H486" s="4">
        <v>1.2800826448E10</v>
      </c>
      <c r="I486" s="4">
        <v>2.0492021853E10</v>
      </c>
      <c r="J486" s="4" t="s">
        <v>1121</v>
      </c>
      <c r="K486" s="4" t="s">
        <v>1122</v>
      </c>
      <c r="L486" s="4">
        <v>4.37</v>
      </c>
      <c r="M486" s="4">
        <v>202.77</v>
      </c>
      <c r="N486" s="4">
        <v>203.0</v>
      </c>
      <c r="O486" s="4">
        <v>16849.0</v>
      </c>
      <c r="P486" s="4">
        <f t="shared" si="1"/>
        <v>46.4</v>
      </c>
      <c r="Q486" s="4" t="str">
        <f t="shared" si="2"/>
        <v>Normal</v>
      </c>
      <c r="R486" s="1" t="str">
        <f t="shared" si="3"/>
        <v>Normal</v>
      </c>
      <c r="S486" s="4">
        <f t="shared" si="4"/>
        <v>31.0063812</v>
      </c>
      <c r="T486" s="1" t="str">
        <f t="shared" si="5"/>
        <v>Normal Cost</v>
      </c>
      <c r="U486" s="4">
        <f t="shared" si="6"/>
        <v>0.2652086177</v>
      </c>
    </row>
    <row r="487">
      <c r="A487" s="4" t="s">
        <v>1123</v>
      </c>
      <c r="B487" s="4" t="s">
        <v>31</v>
      </c>
      <c r="C487" s="4">
        <v>588.0864</v>
      </c>
      <c r="D487" s="4" t="s">
        <v>17</v>
      </c>
      <c r="E487" s="4" t="s">
        <v>70</v>
      </c>
      <c r="F487" s="4">
        <v>96.27</v>
      </c>
      <c r="G487" s="4">
        <v>80.32</v>
      </c>
      <c r="H487" s="4">
        <v>8.3615331252E10</v>
      </c>
      <c r="I487" s="4">
        <v>9.1433612999E10</v>
      </c>
      <c r="J487" s="4" t="s">
        <v>1124</v>
      </c>
      <c r="K487" s="4" t="s">
        <v>1125</v>
      </c>
      <c r="L487" s="4">
        <v>3.45</v>
      </c>
      <c r="M487" s="4">
        <v>2028.9</v>
      </c>
      <c r="N487" s="4">
        <v>2029.0</v>
      </c>
      <c r="O487" s="4">
        <v>168407.0</v>
      </c>
      <c r="P487" s="4">
        <f t="shared" si="1"/>
        <v>116.9166667</v>
      </c>
      <c r="Q487" s="4" t="str">
        <f t="shared" si="2"/>
        <v>High</v>
      </c>
      <c r="R487" s="1" t="str">
        <f t="shared" si="3"/>
        <v>High</v>
      </c>
      <c r="S487" s="4">
        <f t="shared" si="4"/>
        <v>163.0270334</v>
      </c>
      <c r="T487" s="1" t="str">
        <f t="shared" si="5"/>
        <v>Normal Cost</v>
      </c>
      <c r="U487" s="4">
        <f t="shared" si="6"/>
        <v>0.05242953084</v>
      </c>
    </row>
    <row r="488">
      <c r="A488" s="4" t="s">
        <v>1126</v>
      </c>
      <c r="B488" s="4" t="s">
        <v>122</v>
      </c>
      <c r="C488" s="4">
        <v>551.7888</v>
      </c>
      <c r="D488" s="4" t="s">
        <v>17</v>
      </c>
      <c r="E488" s="4" t="s">
        <v>18</v>
      </c>
      <c r="F488" s="4">
        <v>22.38</v>
      </c>
      <c r="G488" s="4">
        <v>66.68</v>
      </c>
      <c r="H488" s="4">
        <v>9.1262089886E10</v>
      </c>
      <c r="I488" s="4">
        <v>9.6432298119E10</v>
      </c>
      <c r="J488" s="5">
        <v>45420.188888888886</v>
      </c>
      <c r="K488" s="5">
        <v>45543.775</v>
      </c>
      <c r="L488" s="4">
        <v>1.84</v>
      </c>
      <c r="M488" s="4">
        <v>1015.29</v>
      </c>
      <c r="N488" s="4">
        <v>1015.0</v>
      </c>
      <c r="O488" s="4">
        <v>84245.0</v>
      </c>
      <c r="P488" s="4">
        <f t="shared" si="1"/>
        <v>110.0666667</v>
      </c>
      <c r="Q488" s="4" t="str">
        <f t="shared" si="2"/>
        <v>Underutilized</v>
      </c>
      <c r="R488" s="1" t="str">
        <f t="shared" si="3"/>
        <v>Normal</v>
      </c>
      <c r="S488" s="4">
        <f t="shared" si="4"/>
        <v>174.8040207</v>
      </c>
      <c r="T488" s="1" t="str">
        <f t="shared" si="5"/>
        <v>Normal Cost</v>
      </c>
      <c r="U488" s="4">
        <f t="shared" si="6"/>
        <v>0.05285773636</v>
      </c>
    </row>
    <row r="489">
      <c r="A489" s="4" t="s">
        <v>1127</v>
      </c>
      <c r="B489" s="4" t="s">
        <v>41</v>
      </c>
      <c r="C489" s="4">
        <v>122.3167</v>
      </c>
      <c r="D489" s="4" t="s">
        <v>42</v>
      </c>
      <c r="E489" s="4" t="s">
        <v>32</v>
      </c>
      <c r="F489" s="4">
        <v>99.3</v>
      </c>
      <c r="G489" s="4">
        <v>63.9</v>
      </c>
      <c r="H489" s="4">
        <v>6.7416968205E10</v>
      </c>
      <c r="I489" s="4">
        <v>7.1014369848E10</v>
      </c>
      <c r="J489" s="4" t="s">
        <v>1128</v>
      </c>
      <c r="K489" s="4" t="s">
        <v>1129</v>
      </c>
      <c r="L489" s="4">
        <v>8.28</v>
      </c>
      <c r="M489" s="4">
        <v>1012.78</v>
      </c>
      <c r="N489" s="4">
        <v>1013.0</v>
      </c>
      <c r="O489" s="4">
        <v>84079.0</v>
      </c>
      <c r="P489" s="4">
        <f t="shared" si="1"/>
        <v>122.3166667</v>
      </c>
      <c r="Q489" s="4" t="str">
        <f t="shared" si="2"/>
        <v>High</v>
      </c>
      <c r="R489" s="1" t="str">
        <f t="shared" si="3"/>
        <v>Normal</v>
      </c>
      <c r="S489" s="4">
        <f t="shared" si="4"/>
        <v>128.9242302</v>
      </c>
      <c r="T489" s="1" t="str">
        <f t="shared" si="5"/>
        <v>Normal Cost</v>
      </c>
      <c r="U489" s="4">
        <f t="shared" si="6"/>
        <v>0.09705158244</v>
      </c>
    </row>
    <row r="490">
      <c r="A490" s="4" t="s">
        <v>1130</v>
      </c>
      <c r="B490" s="4" t="s">
        <v>122</v>
      </c>
      <c r="C490" s="4">
        <v>461.6625</v>
      </c>
      <c r="D490" s="4" t="s">
        <v>21</v>
      </c>
      <c r="E490" s="4" t="s">
        <v>32</v>
      </c>
      <c r="F490" s="4">
        <v>88.4</v>
      </c>
      <c r="G490" s="4">
        <v>75.88</v>
      </c>
      <c r="H490" s="4">
        <v>4.8517654747E10</v>
      </c>
      <c r="I490" s="4">
        <v>5.1017193709E10</v>
      </c>
      <c r="J490" s="4" t="s">
        <v>1131</v>
      </c>
      <c r="K490" s="5">
        <v>45299.33194444444</v>
      </c>
      <c r="L490" s="4">
        <v>8.5</v>
      </c>
      <c r="M490" s="4">
        <v>3924.13</v>
      </c>
      <c r="N490" s="4">
        <v>3924.0</v>
      </c>
      <c r="O490" s="4">
        <v>325692.0</v>
      </c>
      <c r="P490" s="4">
        <f t="shared" si="1"/>
        <v>84.15</v>
      </c>
      <c r="Q490" s="4" t="str">
        <f t="shared" si="2"/>
        <v>High</v>
      </c>
      <c r="R490" s="1" t="str">
        <f t="shared" si="3"/>
        <v>High</v>
      </c>
      <c r="S490" s="4">
        <f t="shared" si="4"/>
        <v>92.69905133</v>
      </c>
      <c r="T490" s="1" t="str">
        <f t="shared" si="5"/>
        <v>High Cost</v>
      </c>
      <c r="U490" s="4">
        <f t="shared" si="6"/>
        <v>0.02522014664</v>
      </c>
    </row>
    <row r="491">
      <c r="A491" s="4" t="s">
        <v>1132</v>
      </c>
      <c r="B491" s="4" t="s">
        <v>169</v>
      </c>
      <c r="C491" s="4">
        <v>360.35</v>
      </c>
      <c r="D491" s="4" t="s">
        <v>17</v>
      </c>
      <c r="E491" s="4" t="s">
        <v>70</v>
      </c>
      <c r="F491" s="4">
        <v>93.46</v>
      </c>
      <c r="G491" s="4">
        <v>86.06</v>
      </c>
      <c r="H491" s="4">
        <v>1.133394967E10</v>
      </c>
      <c r="I491" s="4">
        <v>1.2295147258E10</v>
      </c>
      <c r="J491" s="5">
        <v>45329.740277777775</v>
      </c>
      <c r="K491" s="5">
        <v>45419.42986111111</v>
      </c>
      <c r="L491" s="4">
        <v>8.21</v>
      </c>
      <c r="M491" s="4">
        <v>2958.47</v>
      </c>
      <c r="N491" s="4">
        <v>2958.0</v>
      </c>
      <c r="O491" s="4">
        <v>245514.0</v>
      </c>
      <c r="P491" s="4">
        <f t="shared" si="1"/>
        <v>64.55</v>
      </c>
      <c r="Q491" s="4" t="str">
        <f t="shared" si="2"/>
        <v>High</v>
      </c>
      <c r="R491" s="1" t="str">
        <f t="shared" si="3"/>
        <v>High</v>
      </c>
      <c r="S491" s="4">
        <f t="shared" si="4"/>
        <v>22.00631139</v>
      </c>
      <c r="T491" s="1" t="str">
        <f t="shared" si="5"/>
        <v>High Cost</v>
      </c>
      <c r="U491" s="4">
        <f t="shared" si="6"/>
        <v>0.03656003324</v>
      </c>
    </row>
    <row r="492">
      <c r="A492" s="4" t="s">
        <v>1133</v>
      </c>
      <c r="B492" s="4" t="s">
        <v>20</v>
      </c>
      <c r="C492" s="4">
        <v>174.6175</v>
      </c>
      <c r="D492" s="4" t="s">
        <v>17</v>
      </c>
      <c r="E492" s="4" t="s">
        <v>54</v>
      </c>
      <c r="F492" s="4">
        <v>13.63</v>
      </c>
      <c r="G492" s="4">
        <v>89.42</v>
      </c>
      <c r="H492" s="4">
        <v>7.0047833308E10</v>
      </c>
      <c r="I492" s="4">
        <v>7.602135428E10</v>
      </c>
      <c r="J492" s="4" t="s">
        <v>1134</v>
      </c>
      <c r="K492" s="4" t="s">
        <v>1135</v>
      </c>
      <c r="L492" s="4">
        <v>7.55</v>
      </c>
      <c r="M492" s="4">
        <v>1318.36</v>
      </c>
      <c r="N492" s="4">
        <v>1318.0</v>
      </c>
      <c r="O492" s="4">
        <v>109394.0</v>
      </c>
      <c r="P492" s="4">
        <f t="shared" si="1"/>
        <v>114.25</v>
      </c>
      <c r="Q492" s="4" t="str">
        <f t="shared" si="2"/>
        <v>Underutilized</v>
      </c>
      <c r="R492" s="1" t="str">
        <f t="shared" si="3"/>
        <v>High</v>
      </c>
      <c r="S492" s="4">
        <f t="shared" si="4"/>
        <v>136.0375319</v>
      </c>
      <c r="T492" s="1" t="str">
        <f t="shared" si="5"/>
        <v>Normal Cost</v>
      </c>
      <c r="U492" s="4">
        <f t="shared" si="6"/>
        <v>0.04710038942</v>
      </c>
    </row>
    <row r="493">
      <c r="A493" s="4" t="s">
        <v>1136</v>
      </c>
      <c r="B493" s="4" t="s">
        <v>46</v>
      </c>
      <c r="C493" s="4">
        <v>386.65</v>
      </c>
      <c r="D493" s="4" t="s">
        <v>21</v>
      </c>
      <c r="E493" s="4" t="s">
        <v>22</v>
      </c>
      <c r="F493" s="4">
        <v>81.79</v>
      </c>
      <c r="G493" s="4">
        <v>49.0</v>
      </c>
      <c r="H493" s="4">
        <v>6.7608118188E10</v>
      </c>
      <c r="I493" s="4">
        <v>6.8766595836E10</v>
      </c>
      <c r="J493" s="4" t="s">
        <v>1137</v>
      </c>
      <c r="K493" s="4" t="s">
        <v>1138</v>
      </c>
      <c r="L493" s="4">
        <v>7.37</v>
      </c>
      <c r="M493" s="4">
        <v>2849.61</v>
      </c>
      <c r="N493" s="4">
        <v>2850.0</v>
      </c>
      <c r="O493" s="4">
        <v>236550.0</v>
      </c>
      <c r="P493" s="4">
        <f t="shared" si="1"/>
        <v>123.0166667</v>
      </c>
      <c r="Q493" s="4" t="str">
        <f t="shared" si="2"/>
        <v>High</v>
      </c>
      <c r="R493" s="1" t="str">
        <f t="shared" si="3"/>
        <v>Normal</v>
      </c>
      <c r="S493" s="4">
        <f t="shared" si="4"/>
        <v>127.0088498</v>
      </c>
      <c r="T493" s="1" t="str">
        <f t="shared" si="5"/>
        <v>High Cost</v>
      </c>
      <c r="U493" s="4">
        <f t="shared" si="6"/>
        <v>0.02764531811</v>
      </c>
    </row>
    <row r="494">
      <c r="A494" s="4" t="s">
        <v>1139</v>
      </c>
      <c r="B494" s="4" t="s">
        <v>41</v>
      </c>
      <c r="C494" s="4">
        <v>26.8333</v>
      </c>
      <c r="D494" s="4" t="s">
        <v>42</v>
      </c>
      <c r="E494" s="4" t="s">
        <v>155</v>
      </c>
      <c r="F494" s="4">
        <v>51.91</v>
      </c>
      <c r="G494" s="4">
        <v>8.24</v>
      </c>
      <c r="H494" s="4">
        <v>1.4301676109E10</v>
      </c>
      <c r="I494" s="4">
        <v>2.2308097117E10</v>
      </c>
      <c r="J494" s="4" t="s">
        <v>1140</v>
      </c>
      <c r="K494" s="4" t="s">
        <v>1141</v>
      </c>
      <c r="L494" s="4">
        <v>1.62</v>
      </c>
      <c r="M494" s="4">
        <v>43.47</v>
      </c>
      <c r="N494" s="4">
        <v>43.0</v>
      </c>
      <c r="O494" s="4">
        <v>3569.0</v>
      </c>
      <c r="P494" s="4">
        <f t="shared" si="1"/>
        <v>26.83333333</v>
      </c>
      <c r="Q494" s="4" t="str">
        <f t="shared" si="2"/>
        <v>Normal</v>
      </c>
      <c r="R494" s="1" t="str">
        <f t="shared" si="3"/>
        <v>Underutilized</v>
      </c>
      <c r="S494" s="4">
        <f t="shared" si="4"/>
        <v>34.09550826</v>
      </c>
      <c r="T494" s="1" t="str">
        <f t="shared" si="5"/>
        <v>Normal Cost</v>
      </c>
      <c r="U494" s="4">
        <f t="shared" si="6"/>
        <v>0.8426730177</v>
      </c>
    </row>
    <row r="495">
      <c r="A495" s="4" t="s">
        <v>1142</v>
      </c>
      <c r="B495" s="4" t="s">
        <v>350</v>
      </c>
      <c r="C495" s="4">
        <v>684.6191</v>
      </c>
      <c r="D495" s="4" t="s">
        <v>21</v>
      </c>
      <c r="E495" s="4" t="s">
        <v>27</v>
      </c>
      <c r="F495" s="4">
        <v>28.62</v>
      </c>
      <c r="G495" s="4">
        <v>31.18</v>
      </c>
      <c r="H495" s="4">
        <v>6.0974905611E10</v>
      </c>
      <c r="I495" s="4">
        <v>6.2319608528E10</v>
      </c>
      <c r="J495" s="4" t="s">
        <v>1143</v>
      </c>
      <c r="K495" s="5">
        <v>45359.248611111114</v>
      </c>
      <c r="L495" s="4">
        <v>6.03</v>
      </c>
      <c r="M495" s="4">
        <v>4128.25</v>
      </c>
      <c r="N495" s="4">
        <v>4128.0</v>
      </c>
      <c r="O495" s="4">
        <v>342624.0</v>
      </c>
      <c r="P495" s="4">
        <f t="shared" si="1"/>
        <v>133.4166667</v>
      </c>
      <c r="Q495" s="4" t="str">
        <f t="shared" si="2"/>
        <v>Underutilized</v>
      </c>
      <c r="R495" s="1" t="str">
        <f t="shared" si="3"/>
        <v>Underutilized</v>
      </c>
      <c r="S495" s="4">
        <f t="shared" si="4"/>
        <v>114.8269643</v>
      </c>
      <c r="T495" s="1" t="str">
        <f t="shared" si="5"/>
        <v>High Cost</v>
      </c>
      <c r="U495" s="4">
        <f t="shared" si="6"/>
        <v>0.008726767535</v>
      </c>
    </row>
    <row r="496">
      <c r="A496" s="4" t="s">
        <v>1144</v>
      </c>
      <c r="B496" s="4" t="s">
        <v>99</v>
      </c>
      <c r="C496" s="4">
        <v>193.0226</v>
      </c>
      <c r="D496" s="4" t="s">
        <v>17</v>
      </c>
      <c r="E496" s="4" t="s">
        <v>18</v>
      </c>
      <c r="F496" s="4">
        <v>74.98</v>
      </c>
      <c r="G496" s="4">
        <v>52.71</v>
      </c>
      <c r="H496" s="4">
        <v>5.3523273097E10</v>
      </c>
      <c r="I496" s="4">
        <v>5.6660906517E10</v>
      </c>
      <c r="J496" s="4" t="s">
        <v>1145</v>
      </c>
      <c r="K496" s="4" t="s">
        <v>1146</v>
      </c>
      <c r="L496" s="4">
        <v>7.84</v>
      </c>
      <c r="M496" s="4">
        <v>1513.3</v>
      </c>
      <c r="N496" s="4">
        <v>1513.0</v>
      </c>
      <c r="O496" s="4">
        <v>125579.0</v>
      </c>
      <c r="P496" s="4">
        <f t="shared" si="1"/>
        <v>44.31666667</v>
      </c>
      <c r="Q496" s="4" t="str">
        <f t="shared" si="2"/>
        <v>High</v>
      </c>
      <c r="R496" s="1" t="str">
        <f t="shared" si="3"/>
        <v>Normal</v>
      </c>
      <c r="S496" s="4">
        <f t="shared" si="4"/>
        <v>102.6170138</v>
      </c>
      <c r="T496" s="1" t="str">
        <f t="shared" si="5"/>
        <v>Normal Cost</v>
      </c>
      <c r="U496" s="4">
        <f t="shared" si="6"/>
        <v>0.05084050677</v>
      </c>
    </row>
    <row r="497">
      <c r="A497" s="4" t="s">
        <v>1147</v>
      </c>
      <c r="B497" s="4" t="s">
        <v>41</v>
      </c>
      <c r="C497" s="4">
        <v>107.6333</v>
      </c>
      <c r="D497" s="4" t="s">
        <v>42</v>
      </c>
      <c r="E497" s="4" t="s">
        <v>32</v>
      </c>
      <c r="F497" s="4">
        <v>86.33</v>
      </c>
      <c r="G497" s="4">
        <v>39.77</v>
      </c>
      <c r="H497" s="4">
        <v>1.0562894177E10</v>
      </c>
      <c r="I497" s="4">
        <v>1.6220253103E10</v>
      </c>
      <c r="J497" s="5">
        <v>45634.14861111111</v>
      </c>
      <c r="K497" s="4" t="s">
        <v>1148</v>
      </c>
      <c r="L497" s="4">
        <v>9.17</v>
      </c>
      <c r="M497" s="4">
        <v>987.0</v>
      </c>
      <c r="N497" s="4">
        <v>987.0</v>
      </c>
      <c r="O497" s="4">
        <v>81921.0</v>
      </c>
      <c r="P497" s="4">
        <f t="shared" si="1"/>
        <v>107.6333333</v>
      </c>
      <c r="Q497" s="4" t="str">
        <f t="shared" si="2"/>
        <v>High</v>
      </c>
      <c r="R497" s="1" t="str">
        <f t="shared" si="3"/>
        <v>Underutilized</v>
      </c>
      <c r="S497" s="4">
        <f t="shared" si="4"/>
        <v>24.94374968</v>
      </c>
      <c r="T497" s="1" t="str">
        <f t="shared" si="5"/>
        <v>Normal Cost</v>
      </c>
      <c r="U497" s="4">
        <f t="shared" si="6"/>
        <v>0.07696439252</v>
      </c>
    </row>
    <row r="498">
      <c r="A498" s="4" t="s">
        <v>1149</v>
      </c>
      <c r="B498" s="4" t="s">
        <v>273</v>
      </c>
      <c r="C498" s="4">
        <v>386.6959</v>
      </c>
      <c r="D498" s="4" t="s">
        <v>21</v>
      </c>
      <c r="E498" s="4" t="s">
        <v>155</v>
      </c>
      <c r="F498" s="4">
        <v>62.27</v>
      </c>
      <c r="G498" s="4">
        <v>34.83</v>
      </c>
      <c r="H498" s="4">
        <v>4.4103227816E10</v>
      </c>
      <c r="I498" s="4">
        <v>4.8691383713E10</v>
      </c>
      <c r="J498" s="4" t="s">
        <v>1150</v>
      </c>
      <c r="K498" s="4" t="s">
        <v>1151</v>
      </c>
      <c r="L498" s="4">
        <v>2.2</v>
      </c>
      <c r="M498" s="4">
        <v>850.73</v>
      </c>
      <c r="N498" s="4">
        <v>851.0</v>
      </c>
      <c r="O498" s="4">
        <v>70633.0</v>
      </c>
      <c r="P498" s="4">
        <f t="shared" si="1"/>
        <v>85.45</v>
      </c>
      <c r="Q498" s="4" t="str">
        <f t="shared" si="2"/>
        <v>Normal</v>
      </c>
      <c r="R498" s="1" t="str">
        <f t="shared" si="3"/>
        <v>Underutilized</v>
      </c>
      <c r="S498" s="4">
        <f t="shared" si="4"/>
        <v>86.42171652</v>
      </c>
      <c r="T498" s="1" t="str">
        <f t="shared" si="5"/>
        <v>Normal Cost</v>
      </c>
      <c r="U498" s="4">
        <f t="shared" si="6"/>
        <v>0.06873557686</v>
      </c>
    </row>
    <row r="499">
      <c r="A499" s="4" t="s">
        <v>1152</v>
      </c>
      <c r="B499" s="4" t="s">
        <v>128</v>
      </c>
      <c r="C499" s="4">
        <v>490.5874</v>
      </c>
      <c r="D499" s="4" t="s">
        <v>17</v>
      </c>
      <c r="E499" s="4" t="s">
        <v>18</v>
      </c>
      <c r="F499" s="4">
        <v>85.69</v>
      </c>
      <c r="G499" s="4">
        <v>89.77</v>
      </c>
      <c r="H499" s="4">
        <v>4.8701052634E10</v>
      </c>
      <c r="I499" s="4">
        <v>5.1880282611E10</v>
      </c>
      <c r="J499" s="5">
        <v>45511.01527777778</v>
      </c>
      <c r="K499" s="5">
        <v>45603.23125</v>
      </c>
      <c r="L499" s="4">
        <v>8.05</v>
      </c>
      <c r="M499" s="4">
        <v>3949.23</v>
      </c>
      <c r="N499" s="4">
        <v>3949.0</v>
      </c>
      <c r="O499" s="4">
        <v>327767.0</v>
      </c>
      <c r="P499" s="4">
        <f t="shared" si="1"/>
        <v>77.18333333</v>
      </c>
      <c r="Q499" s="4" t="str">
        <f t="shared" si="2"/>
        <v>High</v>
      </c>
      <c r="R499" s="1" t="str">
        <f t="shared" si="3"/>
        <v>High</v>
      </c>
      <c r="S499" s="4">
        <f t="shared" si="4"/>
        <v>93.6736681</v>
      </c>
      <c r="T499" s="1" t="str">
        <f t="shared" si="5"/>
        <v>High Cost</v>
      </c>
      <c r="U499" s="4">
        <f t="shared" si="6"/>
        <v>0.02676596485</v>
      </c>
    </row>
    <row r="500">
      <c r="A500" s="4" t="s">
        <v>1153</v>
      </c>
      <c r="B500" s="4" t="s">
        <v>62</v>
      </c>
      <c r="C500" s="4">
        <v>107.3667</v>
      </c>
      <c r="D500" s="4" t="s">
        <v>42</v>
      </c>
      <c r="E500" s="4" t="s">
        <v>18</v>
      </c>
      <c r="F500" s="4">
        <v>76.03</v>
      </c>
      <c r="G500" s="4">
        <v>21.71</v>
      </c>
      <c r="H500" s="4">
        <v>7.099000133E9</v>
      </c>
      <c r="I500" s="4">
        <v>1.4254865577E10</v>
      </c>
      <c r="J500" s="4" t="s">
        <v>1154</v>
      </c>
      <c r="K500" s="5">
        <v>45331.15069444444</v>
      </c>
      <c r="L500" s="4">
        <v>4.44</v>
      </c>
      <c r="M500" s="4">
        <v>476.71</v>
      </c>
      <c r="N500" s="4">
        <v>477.0</v>
      </c>
      <c r="O500" s="4">
        <v>39591.0</v>
      </c>
      <c r="P500" s="4">
        <f t="shared" si="1"/>
        <v>107.3666667</v>
      </c>
      <c r="Q500" s="4" t="str">
        <f t="shared" si="2"/>
        <v>High</v>
      </c>
      <c r="R500" s="1" t="str">
        <f t="shared" si="3"/>
        <v>Underutilized</v>
      </c>
      <c r="S500" s="4">
        <f t="shared" si="4"/>
        <v>19.88733719</v>
      </c>
      <c r="T500" s="1" t="str">
        <f t="shared" si="5"/>
        <v>Normal Cost</v>
      </c>
      <c r="U500" s="4">
        <f t="shared" si="6"/>
        <v>0.1234371448</v>
      </c>
    </row>
    <row r="501">
      <c r="A501" s="4" t="s">
        <v>1155</v>
      </c>
      <c r="B501" s="4" t="s">
        <v>169</v>
      </c>
      <c r="C501" s="4">
        <v>820.0826</v>
      </c>
      <c r="D501" s="4" t="s">
        <v>17</v>
      </c>
      <c r="E501" s="4" t="s">
        <v>58</v>
      </c>
      <c r="F501" s="4">
        <v>36.0</v>
      </c>
      <c r="G501" s="4">
        <v>16.45</v>
      </c>
      <c r="H501" s="4">
        <v>4.5591857672E10</v>
      </c>
      <c r="I501" s="4">
        <v>5.0015438648E10</v>
      </c>
      <c r="J501" s="5">
        <v>45573.78958333333</v>
      </c>
      <c r="K501" s="4" t="s">
        <v>1156</v>
      </c>
      <c r="L501" s="4">
        <v>3.09</v>
      </c>
      <c r="M501" s="4">
        <v>2534.06</v>
      </c>
      <c r="N501" s="4">
        <v>2534.0</v>
      </c>
      <c r="O501" s="4">
        <v>210322.0</v>
      </c>
      <c r="P501" s="4">
        <f t="shared" si="1"/>
        <v>141.4</v>
      </c>
      <c r="Q501" s="4" t="str">
        <f t="shared" si="2"/>
        <v>Normal</v>
      </c>
      <c r="R501" s="1" t="str">
        <f t="shared" si="3"/>
        <v>Underutilized</v>
      </c>
      <c r="S501" s="4">
        <f t="shared" si="4"/>
        <v>89.04123336</v>
      </c>
      <c r="T501" s="1" t="str">
        <f t="shared" si="5"/>
        <v>High Cost</v>
      </c>
      <c r="U501" s="4">
        <f t="shared" si="6"/>
        <v>0.01246897614</v>
      </c>
    </row>
    <row r="502">
      <c r="A502" s="4" t="s">
        <v>1157</v>
      </c>
      <c r="B502" s="4" t="s">
        <v>83</v>
      </c>
      <c r="C502" s="4">
        <v>215.9883</v>
      </c>
      <c r="D502" s="4" t="s">
        <v>21</v>
      </c>
      <c r="E502" s="4" t="s">
        <v>54</v>
      </c>
      <c r="F502" s="4">
        <v>13.91</v>
      </c>
      <c r="G502" s="4">
        <v>69.12</v>
      </c>
      <c r="H502" s="4">
        <v>4.2687364956E10</v>
      </c>
      <c r="I502" s="4">
        <v>4.4985847465E10</v>
      </c>
      <c r="J502" s="4" t="s">
        <v>1158</v>
      </c>
      <c r="K502" s="4" t="s">
        <v>1159</v>
      </c>
      <c r="L502" s="4">
        <v>3.36</v>
      </c>
      <c r="M502" s="4">
        <v>725.72</v>
      </c>
      <c r="N502" s="4">
        <v>726.0</v>
      </c>
      <c r="O502" s="4">
        <v>60258.0</v>
      </c>
      <c r="P502" s="4">
        <f t="shared" si="1"/>
        <v>81.43333333</v>
      </c>
      <c r="Q502" s="4" t="str">
        <f t="shared" si="2"/>
        <v>Underutilized</v>
      </c>
      <c r="R502" s="1" t="str">
        <f t="shared" si="3"/>
        <v>Normal</v>
      </c>
      <c r="S502" s="4">
        <f t="shared" si="4"/>
        <v>81.65204192</v>
      </c>
      <c r="T502" s="1" t="str">
        <f t="shared" si="5"/>
        <v>Normal Cost</v>
      </c>
      <c r="U502" s="4">
        <f t="shared" si="6"/>
        <v>0.06889541638</v>
      </c>
    </row>
    <row r="503">
      <c r="A503" s="4" t="s">
        <v>1160</v>
      </c>
      <c r="B503" s="4" t="s">
        <v>83</v>
      </c>
      <c r="C503" s="4">
        <v>255.9859</v>
      </c>
      <c r="D503" s="4" t="s">
        <v>21</v>
      </c>
      <c r="E503" s="4" t="s">
        <v>54</v>
      </c>
      <c r="F503" s="4">
        <v>18.18</v>
      </c>
      <c r="G503" s="4">
        <v>17.51</v>
      </c>
      <c r="H503" s="4">
        <v>6.808324173E10</v>
      </c>
      <c r="I503" s="4">
        <v>7.0085717043E10</v>
      </c>
      <c r="J503" s="5">
        <v>45573.20694444444</v>
      </c>
      <c r="K503" s="5">
        <v>45634.106944444444</v>
      </c>
      <c r="L503" s="4">
        <v>3.26</v>
      </c>
      <c r="M503" s="4">
        <v>834.51</v>
      </c>
      <c r="N503" s="4">
        <v>835.0</v>
      </c>
      <c r="O503" s="4">
        <v>69305.0</v>
      </c>
      <c r="P503" s="4">
        <f t="shared" si="1"/>
        <v>45.6</v>
      </c>
      <c r="Q503" s="4" t="str">
        <f t="shared" si="2"/>
        <v>Underutilized</v>
      </c>
      <c r="R503" s="1" t="str">
        <f t="shared" si="3"/>
        <v>Underutilized</v>
      </c>
      <c r="S503" s="4">
        <f t="shared" si="4"/>
        <v>128.6798704</v>
      </c>
      <c r="T503" s="1" t="str">
        <f t="shared" si="5"/>
        <v>Normal Cost</v>
      </c>
      <c r="U503" s="4">
        <f t="shared" si="6"/>
        <v>0.02574850299</v>
      </c>
    </row>
    <row r="504">
      <c r="A504" s="4" t="s">
        <v>1161</v>
      </c>
      <c r="B504" s="4" t="s">
        <v>112</v>
      </c>
      <c r="C504" s="4">
        <v>125.4</v>
      </c>
      <c r="D504" s="4" t="s">
        <v>42</v>
      </c>
      <c r="E504" s="4" t="s">
        <v>27</v>
      </c>
      <c r="F504" s="4">
        <v>86.87</v>
      </c>
      <c r="G504" s="4">
        <v>51.35</v>
      </c>
      <c r="H504" s="4">
        <v>4.2088709475E10</v>
      </c>
      <c r="I504" s="4">
        <v>4.6109484906E10</v>
      </c>
      <c r="J504" s="5">
        <v>45481.53472222222</v>
      </c>
      <c r="K504" s="5">
        <v>45634.759722222225</v>
      </c>
      <c r="L504" s="4">
        <v>2.42</v>
      </c>
      <c r="M504" s="4">
        <v>303.47</v>
      </c>
      <c r="N504" s="4">
        <v>303.0</v>
      </c>
      <c r="O504" s="4">
        <v>25149.0</v>
      </c>
      <c r="P504" s="4">
        <f t="shared" si="1"/>
        <v>125.4</v>
      </c>
      <c r="Q504" s="4" t="str">
        <f t="shared" si="2"/>
        <v>High</v>
      </c>
      <c r="R504" s="1" t="str">
        <f t="shared" si="3"/>
        <v>Normal</v>
      </c>
      <c r="S504" s="4">
        <f t="shared" si="4"/>
        <v>82.14096947</v>
      </c>
      <c r="T504" s="1" t="str">
        <f t="shared" si="5"/>
        <v>Normal Cost</v>
      </c>
      <c r="U504" s="4">
        <f t="shared" si="6"/>
        <v>0.274802179</v>
      </c>
    </row>
    <row r="505">
      <c r="A505" s="4" t="s">
        <v>1162</v>
      </c>
      <c r="B505" s="4" t="s">
        <v>41</v>
      </c>
      <c r="C505" s="4">
        <v>46.5333</v>
      </c>
      <c r="D505" s="4" t="s">
        <v>42</v>
      </c>
      <c r="E505" s="4" t="s">
        <v>105</v>
      </c>
      <c r="F505" s="4">
        <v>89.58</v>
      </c>
      <c r="G505" s="4">
        <v>44.85</v>
      </c>
      <c r="H505" s="4">
        <v>8.8567934458E10</v>
      </c>
      <c r="I505" s="4">
        <v>9.0628716284E10</v>
      </c>
      <c r="J505" s="4" t="s">
        <v>1163</v>
      </c>
      <c r="K505" s="4" t="s">
        <v>1164</v>
      </c>
      <c r="L505" s="4">
        <v>1.77</v>
      </c>
      <c r="M505" s="4">
        <v>82.36</v>
      </c>
      <c r="N505" s="4">
        <v>82.0</v>
      </c>
      <c r="O505" s="4">
        <v>6806.0</v>
      </c>
      <c r="P505" s="4">
        <f t="shared" si="1"/>
        <v>46.53333333</v>
      </c>
      <c r="Q505" s="4" t="str">
        <f t="shared" si="2"/>
        <v>High</v>
      </c>
      <c r="R505" s="1" t="str">
        <f t="shared" si="3"/>
        <v>Normal</v>
      </c>
      <c r="S505" s="4">
        <f t="shared" si="4"/>
        <v>166.8898861</v>
      </c>
      <c r="T505" s="1" t="str">
        <f t="shared" si="5"/>
        <v>Normal Cost</v>
      </c>
      <c r="U505" s="4">
        <f t="shared" si="6"/>
        <v>0.9875844843</v>
      </c>
    </row>
    <row r="506">
      <c r="A506" s="4" t="s">
        <v>1165</v>
      </c>
      <c r="B506" s="4" t="s">
        <v>41</v>
      </c>
      <c r="C506" s="4">
        <v>35.0333</v>
      </c>
      <c r="D506" s="4" t="s">
        <v>42</v>
      </c>
      <c r="E506" s="4" t="s">
        <v>54</v>
      </c>
      <c r="F506" s="4">
        <v>59.3</v>
      </c>
      <c r="G506" s="4">
        <v>50.53</v>
      </c>
      <c r="H506" s="4">
        <v>2.9109235817E10</v>
      </c>
      <c r="I506" s="4">
        <v>3.7980309491E10</v>
      </c>
      <c r="J506" s="4" t="s">
        <v>1166</v>
      </c>
      <c r="K506" s="4" t="s">
        <v>1167</v>
      </c>
      <c r="L506" s="4">
        <v>6.08</v>
      </c>
      <c r="M506" s="4">
        <v>213.0</v>
      </c>
      <c r="N506" s="4">
        <v>213.0</v>
      </c>
      <c r="O506" s="4">
        <v>17679.0</v>
      </c>
      <c r="P506" s="4">
        <f t="shared" si="1"/>
        <v>35.03333333</v>
      </c>
      <c r="Q506" s="4" t="str">
        <f t="shared" si="2"/>
        <v>Normal</v>
      </c>
      <c r="R506" s="1" t="str">
        <f t="shared" si="3"/>
        <v>Normal</v>
      </c>
      <c r="S506" s="4">
        <f t="shared" si="4"/>
        <v>62.48200807</v>
      </c>
      <c r="T506" s="1" t="str">
        <f t="shared" si="5"/>
        <v>Normal Cost</v>
      </c>
      <c r="U506" s="4">
        <f t="shared" si="6"/>
        <v>0.3106227728</v>
      </c>
    </row>
    <row r="507">
      <c r="A507" s="4" t="s">
        <v>1168</v>
      </c>
      <c r="B507" s="4" t="s">
        <v>166</v>
      </c>
      <c r="C507" s="4">
        <v>57.958</v>
      </c>
      <c r="D507" s="4" t="s">
        <v>21</v>
      </c>
      <c r="E507" s="4" t="s">
        <v>74</v>
      </c>
      <c r="F507" s="4">
        <v>16.01</v>
      </c>
      <c r="G507" s="4">
        <v>32.19</v>
      </c>
      <c r="H507" s="4">
        <v>4.2518402531E10</v>
      </c>
      <c r="I507" s="4">
        <v>4.9418672792E10</v>
      </c>
      <c r="J507" s="4" t="s">
        <v>1169</v>
      </c>
      <c r="K507" s="4" t="s">
        <v>1170</v>
      </c>
      <c r="L507" s="4">
        <v>3.09</v>
      </c>
      <c r="M507" s="4">
        <v>179.09</v>
      </c>
      <c r="N507" s="4">
        <v>179.0</v>
      </c>
      <c r="O507" s="4">
        <v>14857.0</v>
      </c>
      <c r="P507" s="4">
        <f t="shared" si="1"/>
        <v>26.73333333</v>
      </c>
      <c r="Q507" s="4" t="str">
        <f t="shared" si="2"/>
        <v>Underutilized</v>
      </c>
      <c r="R507" s="1" t="str">
        <f t="shared" si="3"/>
        <v>Underutilized</v>
      </c>
      <c r="S507" s="4">
        <f t="shared" si="4"/>
        <v>85.62307369</v>
      </c>
      <c r="T507" s="1" t="str">
        <f t="shared" si="5"/>
        <v>Normal Cost</v>
      </c>
      <c r="U507" s="4">
        <f t="shared" si="6"/>
        <v>0.1622130982</v>
      </c>
    </row>
    <row r="508">
      <c r="A508" s="4" t="s">
        <v>1171</v>
      </c>
      <c r="B508" s="4" t="s">
        <v>36</v>
      </c>
      <c r="C508" s="4">
        <v>419.7062</v>
      </c>
      <c r="D508" s="4" t="s">
        <v>21</v>
      </c>
      <c r="E508" s="4" t="s">
        <v>37</v>
      </c>
      <c r="F508" s="4">
        <v>57.85</v>
      </c>
      <c r="G508" s="4">
        <v>68.46</v>
      </c>
      <c r="H508" s="4">
        <v>8.0869010194E10</v>
      </c>
      <c r="I508" s="4">
        <v>8.8465873107E10</v>
      </c>
      <c r="J508" s="5">
        <v>45572.22986111111</v>
      </c>
      <c r="K508" s="4" t="s">
        <v>1172</v>
      </c>
      <c r="L508" s="4">
        <v>9.1</v>
      </c>
      <c r="M508" s="4">
        <v>3819.33</v>
      </c>
      <c r="N508" s="4">
        <v>3819.0</v>
      </c>
      <c r="O508" s="4">
        <v>316977.0</v>
      </c>
      <c r="P508" s="4">
        <f t="shared" si="1"/>
        <v>78.1</v>
      </c>
      <c r="Q508" s="4" t="str">
        <f t="shared" si="2"/>
        <v>Normal</v>
      </c>
      <c r="R508" s="1" t="str">
        <f t="shared" si="3"/>
        <v>Normal</v>
      </c>
      <c r="S508" s="4">
        <f t="shared" si="4"/>
        <v>157.7053995</v>
      </c>
      <c r="T508" s="1" t="str">
        <f t="shared" si="5"/>
        <v>High Cost</v>
      </c>
      <c r="U508" s="4">
        <f t="shared" si="6"/>
        <v>0.01992415854</v>
      </c>
    </row>
    <row r="509">
      <c r="A509" s="4" t="s">
        <v>1173</v>
      </c>
      <c r="B509" s="4" t="s">
        <v>66</v>
      </c>
      <c r="C509" s="4">
        <v>426.0389</v>
      </c>
      <c r="D509" s="4" t="s">
        <v>17</v>
      </c>
      <c r="E509" s="4" t="s">
        <v>74</v>
      </c>
      <c r="F509" s="4">
        <v>10.48</v>
      </c>
      <c r="G509" s="4">
        <v>75.61</v>
      </c>
      <c r="H509" s="4">
        <v>8.6788522803E10</v>
      </c>
      <c r="I509" s="4">
        <v>8.7955262019E10</v>
      </c>
      <c r="J509" s="4" t="s">
        <v>1174</v>
      </c>
      <c r="K509" s="4" t="s">
        <v>1175</v>
      </c>
      <c r="L509" s="4">
        <v>6.1</v>
      </c>
      <c r="M509" s="4">
        <v>2598.84</v>
      </c>
      <c r="N509" s="4">
        <v>2599.0</v>
      </c>
      <c r="O509" s="4">
        <v>215717.0</v>
      </c>
      <c r="P509" s="4">
        <f t="shared" si="1"/>
        <v>32.91666667</v>
      </c>
      <c r="Q509" s="4" t="str">
        <f t="shared" si="2"/>
        <v>Underutilized</v>
      </c>
      <c r="R509" s="1" t="str">
        <f t="shared" si="3"/>
        <v>High</v>
      </c>
      <c r="S509" s="4">
        <f t="shared" si="4"/>
        <v>162.7428316</v>
      </c>
      <c r="T509" s="1" t="str">
        <f t="shared" si="5"/>
        <v>High Cost</v>
      </c>
      <c r="U509" s="4">
        <f t="shared" si="6"/>
        <v>0.01995438468</v>
      </c>
    </row>
    <row r="510">
      <c r="A510" s="4" t="s">
        <v>1176</v>
      </c>
      <c r="B510" s="4" t="s">
        <v>16</v>
      </c>
      <c r="C510" s="4">
        <v>265.7357</v>
      </c>
      <c r="D510" s="4" t="s">
        <v>17</v>
      </c>
      <c r="E510" s="4" t="s">
        <v>155</v>
      </c>
      <c r="F510" s="4">
        <v>84.58</v>
      </c>
      <c r="G510" s="4">
        <v>66.01</v>
      </c>
      <c r="H510" s="4">
        <v>7.0457004515E10</v>
      </c>
      <c r="I510" s="4">
        <v>7.8234831218E10</v>
      </c>
      <c r="J510" s="4" t="s">
        <v>1177</v>
      </c>
      <c r="K510" s="4" t="s">
        <v>1178</v>
      </c>
      <c r="L510" s="4">
        <v>6.52</v>
      </c>
      <c r="M510" s="4">
        <v>1732.6</v>
      </c>
      <c r="N510" s="4">
        <v>1733.0</v>
      </c>
      <c r="O510" s="4">
        <v>143839.0</v>
      </c>
      <c r="P510" s="4">
        <f t="shared" si="1"/>
        <v>107.8333333</v>
      </c>
      <c r="Q510" s="4" t="str">
        <f t="shared" si="2"/>
        <v>High</v>
      </c>
      <c r="R510" s="1" t="str">
        <f t="shared" si="3"/>
        <v>Normal</v>
      </c>
      <c r="S510" s="4">
        <f t="shared" si="4"/>
        <v>138.4800633</v>
      </c>
      <c r="T510" s="1" t="str">
        <f t="shared" si="5"/>
        <v>Normal Cost</v>
      </c>
      <c r="U510" s="4">
        <f t="shared" si="6"/>
        <v>0.05234672099</v>
      </c>
    </row>
    <row r="511">
      <c r="A511" s="4" t="s">
        <v>1179</v>
      </c>
      <c r="B511" s="4" t="s">
        <v>26</v>
      </c>
      <c r="C511" s="4">
        <v>988.0913</v>
      </c>
      <c r="D511" s="4" t="s">
        <v>21</v>
      </c>
      <c r="E511" s="4" t="s">
        <v>105</v>
      </c>
      <c r="F511" s="4">
        <v>77.86</v>
      </c>
      <c r="G511" s="4">
        <v>5.25</v>
      </c>
      <c r="H511" s="4">
        <v>9.3395819976E10</v>
      </c>
      <c r="I511" s="4">
        <v>9.7172248054E10</v>
      </c>
      <c r="J511" s="5">
        <v>45542.95347222222</v>
      </c>
      <c r="K511" s="5">
        <v>45633.95277777778</v>
      </c>
      <c r="L511" s="4">
        <v>5.45</v>
      </c>
      <c r="M511" s="4">
        <v>5385.1</v>
      </c>
      <c r="N511" s="4">
        <v>5385.0</v>
      </c>
      <c r="O511" s="4">
        <v>446955.0</v>
      </c>
      <c r="P511" s="4">
        <f t="shared" si="1"/>
        <v>71.98333333</v>
      </c>
      <c r="Q511" s="4" t="str">
        <f t="shared" si="2"/>
        <v>High</v>
      </c>
      <c r="R511" s="1" t="str">
        <f t="shared" si="3"/>
        <v>Underutilized</v>
      </c>
      <c r="S511" s="4">
        <f t="shared" si="4"/>
        <v>177.4803438</v>
      </c>
      <c r="T511" s="1" t="str">
        <f t="shared" si="5"/>
        <v>High Cost</v>
      </c>
      <c r="U511" s="4">
        <f t="shared" si="6"/>
        <v>0.009297356557</v>
      </c>
    </row>
    <row r="512">
      <c r="A512" s="4" t="s">
        <v>1180</v>
      </c>
      <c r="B512" s="4" t="s">
        <v>46</v>
      </c>
      <c r="C512" s="4">
        <v>806.0261</v>
      </c>
      <c r="D512" s="4" t="s">
        <v>21</v>
      </c>
      <c r="E512" s="4" t="s">
        <v>37</v>
      </c>
      <c r="F512" s="4">
        <v>35.96</v>
      </c>
      <c r="G512" s="4">
        <v>66.36</v>
      </c>
      <c r="H512" s="4">
        <v>4.3826343439E10</v>
      </c>
      <c r="I512" s="4">
        <v>5.325885663E10</v>
      </c>
      <c r="J512" s="4" t="s">
        <v>1181</v>
      </c>
      <c r="K512" s="4" t="s">
        <v>1182</v>
      </c>
      <c r="L512" s="4">
        <v>7.64</v>
      </c>
      <c r="M512" s="4">
        <v>6158.04</v>
      </c>
      <c r="N512" s="4">
        <v>6158.0</v>
      </c>
      <c r="O512" s="4">
        <v>511114.0</v>
      </c>
      <c r="P512" s="4">
        <f t="shared" si="1"/>
        <v>88.11666667</v>
      </c>
      <c r="Q512" s="4" t="str">
        <f t="shared" si="2"/>
        <v>Normal</v>
      </c>
      <c r="R512" s="1" t="str">
        <f t="shared" si="3"/>
        <v>Normal</v>
      </c>
      <c r="S512" s="4">
        <f t="shared" si="4"/>
        <v>90.41763849</v>
      </c>
      <c r="T512" s="1" t="str">
        <f t="shared" si="5"/>
        <v>High Cost</v>
      </c>
      <c r="U512" s="4">
        <f t="shared" si="6"/>
        <v>0.01000950864</v>
      </c>
    </row>
    <row r="513">
      <c r="A513" s="4" t="s">
        <v>1183</v>
      </c>
      <c r="B513" s="4" t="s">
        <v>273</v>
      </c>
      <c r="C513" s="4">
        <v>788.8919</v>
      </c>
      <c r="D513" s="4" t="s">
        <v>17</v>
      </c>
      <c r="E513" s="4" t="s">
        <v>37</v>
      </c>
      <c r="F513" s="4">
        <v>97.77</v>
      </c>
      <c r="G513" s="4">
        <v>81.97</v>
      </c>
      <c r="H513" s="4">
        <v>2.108806264E10</v>
      </c>
      <c r="I513" s="4">
        <v>3.0282432255E10</v>
      </c>
      <c r="J513" s="5">
        <v>45604.13680555556</v>
      </c>
      <c r="K513" s="4" t="s">
        <v>1184</v>
      </c>
      <c r="L513" s="4">
        <v>1.49</v>
      </c>
      <c r="M513" s="4">
        <v>1175.45</v>
      </c>
      <c r="N513" s="4">
        <v>1175.0</v>
      </c>
      <c r="O513" s="4">
        <v>97525.0</v>
      </c>
      <c r="P513" s="4">
        <f t="shared" si="1"/>
        <v>96.98333333</v>
      </c>
      <c r="Q513" s="4" t="str">
        <f t="shared" si="2"/>
        <v>High</v>
      </c>
      <c r="R513" s="1" t="str">
        <f t="shared" si="3"/>
        <v>High</v>
      </c>
      <c r="S513" s="4">
        <f t="shared" si="4"/>
        <v>47.84250156</v>
      </c>
      <c r="T513" s="1" t="str">
        <f t="shared" si="5"/>
        <v>Normal Cost</v>
      </c>
      <c r="U513" s="4">
        <f t="shared" si="6"/>
        <v>0.09215073058</v>
      </c>
    </row>
    <row r="514">
      <c r="A514" s="4" t="s">
        <v>1185</v>
      </c>
      <c r="B514" s="4" t="s">
        <v>16</v>
      </c>
      <c r="C514" s="4">
        <v>406.0277</v>
      </c>
      <c r="D514" s="4" t="s">
        <v>17</v>
      </c>
      <c r="E514" s="4" t="s">
        <v>155</v>
      </c>
      <c r="F514" s="4">
        <v>81.44</v>
      </c>
      <c r="G514" s="4">
        <v>44.07</v>
      </c>
      <c r="H514" s="4">
        <v>6.536459949E9</v>
      </c>
      <c r="I514" s="4">
        <v>1.3396172359E10</v>
      </c>
      <c r="J514" s="4" t="s">
        <v>1186</v>
      </c>
      <c r="K514" s="4" t="s">
        <v>1187</v>
      </c>
      <c r="L514" s="4">
        <v>5.32</v>
      </c>
      <c r="M514" s="4">
        <v>2160.07</v>
      </c>
      <c r="N514" s="4">
        <v>2160.0</v>
      </c>
      <c r="O514" s="4">
        <v>179280.0</v>
      </c>
      <c r="P514" s="4">
        <f t="shared" si="1"/>
        <v>104.5833333</v>
      </c>
      <c r="Q514" s="4" t="str">
        <f t="shared" si="2"/>
        <v>High</v>
      </c>
      <c r="R514" s="1" t="str">
        <f t="shared" si="3"/>
        <v>Normal</v>
      </c>
      <c r="S514" s="4">
        <f t="shared" si="4"/>
        <v>18.56371044</v>
      </c>
      <c r="T514" s="1" t="str">
        <f t="shared" si="5"/>
        <v>High Cost</v>
      </c>
      <c r="U514" s="4">
        <f t="shared" si="6"/>
        <v>0.03500390451</v>
      </c>
    </row>
    <row r="515">
      <c r="A515" s="4" t="s">
        <v>1188</v>
      </c>
      <c r="B515" s="4" t="s">
        <v>60</v>
      </c>
      <c r="C515" s="4">
        <v>86.45</v>
      </c>
      <c r="D515" s="4" t="s">
        <v>42</v>
      </c>
      <c r="E515" s="4" t="s">
        <v>54</v>
      </c>
      <c r="F515" s="4">
        <v>74.59</v>
      </c>
      <c r="G515" s="4">
        <v>21.19</v>
      </c>
      <c r="H515" s="4">
        <v>9.3819059399E10</v>
      </c>
      <c r="I515" s="6">
        <v>1.00949E11</v>
      </c>
      <c r="J515" s="5">
        <v>45512.01388888889</v>
      </c>
      <c r="K515" s="5">
        <v>45604.61597222222</v>
      </c>
      <c r="L515" s="4">
        <v>2.29</v>
      </c>
      <c r="M515" s="4">
        <v>197.97</v>
      </c>
      <c r="N515" s="4">
        <v>198.0</v>
      </c>
      <c r="O515" s="4">
        <v>16434.0</v>
      </c>
      <c r="P515" s="4">
        <f t="shared" si="1"/>
        <v>86.45</v>
      </c>
      <c r="Q515" s="4" t="str">
        <f t="shared" si="2"/>
        <v>High</v>
      </c>
      <c r="R515" s="1" t="str">
        <f t="shared" si="3"/>
        <v>Underutilized</v>
      </c>
      <c r="S515" s="6">
        <f t="shared" si="4"/>
        <v>181.3918905</v>
      </c>
      <c r="T515" s="1" t="str">
        <f t="shared" si="5"/>
        <v>Normal Cost</v>
      </c>
      <c r="U515" s="4">
        <f t="shared" si="6"/>
        <v>0.2914080565</v>
      </c>
    </row>
    <row r="516">
      <c r="A516" s="4" t="s">
        <v>1189</v>
      </c>
      <c r="B516" s="4" t="s">
        <v>31</v>
      </c>
      <c r="C516" s="4">
        <v>271.4415</v>
      </c>
      <c r="D516" s="4" t="s">
        <v>21</v>
      </c>
      <c r="E516" s="4" t="s">
        <v>58</v>
      </c>
      <c r="F516" s="4">
        <v>21.34</v>
      </c>
      <c r="G516" s="4">
        <v>95.77</v>
      </c>
      <c r="H516" s="4">
        <v>2.7734517911E10</v>
      </c>
      <c r="I516" s="4">
        <v>2.8809471848E10</v>
      </c>
      <c r="J516" s="5">
        <v>45481.93263888889</v>
      </c>
      <c r="K516" s="5">
        <v>45634.67152777778</v>
      </c>
      <c r="L516" s="4">
        <v>2.69</v>
      </c>
      <c r="M516" s="4">
        <v>730.18</v>
      </c>
      <c r="N516" s="4">
        <v>730.0</v>
      </c>
      <c r="O516" s="4">
        <v>60590.0</v>
      </c>
      <c r="P516" s="4">
        <f t="shared" si="1"/>
        <v>113.7333333</v>
      </c>
      <c r="Q516" s="4" t="str">
        <f t="shared" si="2"/>
        <v>Underutilized</v>
      </c>
      <c r="R516" s="1" t="str">
        <f t="shared" si="3"/>
        <v>High</v>
      </c>
      <c r="S516" s="4">
        <f t="shared" si="4"/>
        <v>52.66069412</v>
      </c>
      <c r="T516" s="1" t="str">
        <f t="shared" si="5"/>
        <v>Normal Cost</v>
      </c>
      <c r="U516" s="4">
        <f t="shared" si="6"/>
        <v>0.09664135996</v>
      </c>
    </row>
    <row r="517">
      <c r="A517" s="4" t="s">
        <v>1190</v>
      </c>
      <c r="B517" s="4" t="s">
        <v>20</v>
      </c>
      <c r="C517" s="4">
        <v>360.2906</v>
      </c>
      <c r="D517" s="4" t="s">
        <v>21</v>
      </c>
      <c r="E517" s="4" t="s">
        <v>58</v>
      </c>
      <c r="F517" s="4">
        <v>72.9</v>
      </c>
      <c r="G517" s="4">
        <v>43.71</v>
      </c>
      <c r="H517" s="4">
        <v>5.3217530515E10</v>
      </c>
      <c r="I517" s="4">
        <v>5.9494243605E10</v>
      </c>
      <c r="J517" s="4" t="s">
        <v>1191</v>
      </c>
      <c r="K517" s="4" t="s">
        <v>1192</v>
      </c>
      <c r="L517" s="4">
        <v>3.06</v>
      </c>
      <c r="M517" s="4">
        <v>1102.49</v>
      </c>
      <c r="N517" s="4">
        <v>1102.0</v>
      </c>
      <c r="O517" s="4">
        <v>91466.0</v>
      </c>
      <c r="P517" s="4">
        <f t="shared" si="1"/>
        <v>26.26666667</v>
      </c>
      <c r="Q517" s="4" t="str">
        <f t="shared" si="2"/>
        <v>High</v>
      </c>
      <c r="R517" s="1" t="str">
        <f t="shared" si="3"/>
        <v>Normal</v>
      </c>
      <c r="S517" s="4">
        <f t="shared" si="4"/>
        <v>104.9710197</v>
      </c>
      <c r="T517" s="1" t="str">
        <f t="shared" si="5"/>
        <v>Normal Cost</v>
      </c>
      <c r="U517" s="4">
        <f t="shared" si="6"/>
        <v>0.06374499814</v>
      </c>
    </row>
    <row r="518">
      <c r="A518" s="4" t="s">
        <v>1193</v>
      </c>
      <c r="B518" s="4" t="s">
        <v>16</v>
      </c>
      <c r="C518" s="4">
        <v>344.5259</v>
      </c>
      <c r="D518" s="4" t="s">
        <v>21</v>
      </c>
      <c r="E518" s="4" t="s">
        <v>58</v>
      </c>
      <c r="F518" s="4">
        <v>44.12</v>
      </c>
      <c r="G518" s="4">
        <v>97.47</v>
      </c>
      <c r="H518" s="4">
        <v>9.691223949E9</v>
      </c>
      <c r="I518" s="4">
        <v>1.4526022474E10</v>
      </c>
      <c r="J518" s="5">
        <v>45603.55902777778</v>
      </c>
      <c r="K518" s="4" t="s">
        <v>1194</v>
      </c>
      <c r="L518" s="4">
        <v>5.39</v>
      </c>
      <c r="M518" s="4">
        <v>1856.99</v>
      </c>
      <c r="N518" s="4">
        <v>1857.0</v>
      </c>
      <c r="O518" s="4">
        <v>154131.0</v>
      </c>
      <c r="P518" s="4">
        <f t="shared" si="1"/>
        <v>69</v>
      </c>
      <c r="Q518" s="4" t="str">
        <f t="shared" si="2"/>
        <v>Normal</v>
      </c>
      <c r="R518" s="1" t="str">
        <f t="shared" si="3"/>
        <v>High</v>
      </c>
      <c r="S518" s="4">
        <f t="shared" si="4"/>
        <v>22.55406829</v>
      </c>
      <c r="T518" s="1" t="str">
        <f t="shared" si="5"/>
        <v>Normal Cost</v>
      </c>
      <c r="U518" s="4">
        <f t="shared" si="6"/>
        <v>0.04593170744</v>
      </c>
    </row>
    <row r="519">
      <c r="A519" s="4" t="s">
        <v>1195</v>
      </c>
      <c r="B519" s="4" t="s">
        <v>169</v>
      </c>
      <c r="C519" s="4">
        <v>55.7104</v>
      </c>
      <c r="D519" s="4" t="s">
        <v>21</v>
      </c>
      <c r="E519" s="4" t="s">
        <v>54</v>
      </c>
      <c r="F519" s="4">
        <v>96.17</v>
      </c>
      <c r="G519" s="4">
        <v>81.61</v>
      </c>
      <c r="H519" s="4">
        <v>9.1173793493E10</v>
      </c>
      <c r="I519" s="4">
        <v>9.4690267259E10</v>
      </c>
      <c r="J519" s="4" t="s">
        <v>1196</v>
      </c>
      <c r="K519" s="4" t="s">
        <v>1197</v>
      </c>
      <c r="L519" s="4">
        <v>8.75</v>
      </c>
      <c r="M519" s="4">
        <v>487.47</v>
      </c>
      <c r="N519" s="4">
        <v>487.0</v>
      </c>
      <c r="O519" s="4">
        <v>40421.0</v>
      </c>
      <c r="P519" s="4">
        <f t="shared" si="1"/>
        <v>71.8</v>
      </c>
      <c r="Q519" s="4" t="str">
        <f t="shared" si="2"/>
        <v>High</v>
      </c>
      <c r="R519" s="1" t="str">
        <f t="shared" si="3"/>
        <v>High</v>
      </c>
      <c r="S519" s="4">
        <f t="shared" si="4"/>
        <v>173.0993956</v>
      </c>
      <c r="T519" s="1" t="str">
        <f t="shared" si="5"/>
        <v>Normal Cost</v>
      </c>
      <c r="U519" s="4">
        <f t="shared" si="6"/>
        <v>0.2199104426</v>
      </c>
    </row>
    <row r="520">
      <c r="A520" s="4" t="s">
        <v>1198</v>
      </c>
      <c r="B520" s="4" t="s">
        <v>273</v>
      </c>
      <c r="C520" s="4">
        <v>785.0175</v>
      </c>
      <c r="D520" s="4" t="s">
        <v>17</v>
      </c>
      <c r="E520" s="4" t="s">
        <v>58</v>
      </c>
      <c r="F520" s="4">
        <v>28.47</v>
      </c>
      <c r="G520" s="4">
        <v>21.39</v>
      </c>
      <c r="H520" s="4">
        <v>2.8040215152E10</v>
      </c>
      <c r="I520" s="4">
        <v>3.4689079584E10</v>
      </c>
      <c r="J520" s="4" t="s">
        <v>1199</v>
      </c>
      <c r="K520" s="4" t="s">
        <v>1200</v>
      </c>
      <c r="L520" s="4">
        <v>6.72</v>
      </c>
      <c r="M520" s="4">
        <v>5275.32</v>
      </c>
      <c r="N520" s="4">
        <v>5275.0</v>
      </c>
      <c r="O520" s="4">
        <v>437825.0</v>
      </c>
      <c r="P520" s="4">
        <f t="shared" si="1"/>
        <v>104.1</v>
      </c>
      <c r="Q520" s="4" t="str">
        <f t="shared" si="2"/>
        <v>Underutilized</v>
      </c>
      <c r="R520" s="1" t="str">
        <f t="shared" si="3"/>
        <v>Underutilized</v>
      </c>
      <c r="S520" s="4">
        <f t="shared" si="4"/>
        <v>58.42120828</v>
      </c>
      <c r="T520" s="1" t="str">
        <f t="shared" si="5"/>
        <v>High Cost</v>
      </c>
      <c r="U520" s="4">
        <f t="shared" si="6"/>
        <v>0.005694055844</v>
      </c>
    </row>
    <row r="521">
      <c r="A521" s="4" t="s">
        <v>1201</v>
      </c>
      <c r="B521" s="4" t="s">
        <v>20</v>
      </c>
      <c r="C521" s="4">
        <v>776.0638</v>
      </c>
      <c r="D521" s="4" t="s">
        <v>21</v>
      </c>
      <c r="E521" s="4" t="s">
        <v>105</v>
      </c>
      <c r="F521" s="4">
        <v>24.03</v>
      </c>
      <c r="G521" s="4">
        <v>11.41</v>
      </c>
      <c r="H521" s="4">
        <v>9.4269782824E10</v>
      </c>
      <c r="I521" s="6">
        <v>1.00508E11</v>
      </c>
      <c r="J521" s="4" t="s">
        <v>1202</v>
      </c>
      <c r="K521" s="4" t="s">
        <v>1203</v>
      </c>
      <c r="L521" s="4">
        <v>2.81</v>
      </c>
      <c r="M521" s="4">
        <v>2180.74</v>
      </c>
      <c r="N521" s="4">
        <v>2181.0</v>
      </c>
      <c r="O521" s="4">
        <v>181023.0</v>
      </c>
      <c r="P521" s="4">
        <f t="shared" si="1"/>
        <v>99.53333333</v>
      </c>
      <c r="Q521" s="4" t="str">
        <f t="shared" si="2"/>
        <v>Underutilized</v>
      </c>
      <c r="R521" s="1" t="str">
        <f t="shared" si="3"/>
        <v>Underutilized</v>
      </c>
      <c r="S521" s="6">
        <f t="shared" si="4"/>
        <v>181.4009462</v>
      </c>
      <c r="T521" s="1" t="str">
        <f t="shared" si="5"/>
        <v>High Cost</v>
      </c>
      <c r="U521" s="4">
        <f t="shared" si="6"/>
        <v>0.009788811367</v>
      </c>
    </row>
    <row r="522">
      <c r="A522" s="4" t="s">
        <v>1204</v>
      </c>
      <c r="B522" s="4" t="s">
        <v>350</v>
      </c>
      <c r="C522" s="4">
        <v>609.1028</v>
      </c>
      <c r="D522" s="4" t="s">
        <v>17</v>
      </c>
      <c r="E522" s="4" t="s">
        <v>22</v>
      </c>
      <c r="F522" s="4">
        <v>75.94</v>
      </c>
      <c r="G522" s="4">
        <v>56.56</v>
      </c>
      <c r="H522" s="4">
        <v>9.5693307169E10</v>
      </c>
      <c r="I522" s="6">
        <v>1.03599E11</v>
      </c>
      <c r="J522" s="5">
        <v>45572.18125</v>
      </c>
      <c r="K522" s="5">
        <v>45603.96805555555</v>
      </c>
      <c r="L522" s="4">
        <v>7.19</v>
      </c>
      <c r="M522" s="4">
        <v>4379.45</v>
      </c>
      <c r="N522" s="4">
        <v>4379.0</v>
      </c>
      <c r="O522" s="4">
        <v>363457.0</v>
      </c>
      <c r="P522" s="4">
        <f t="shared" si="1"/>
        <v>42.88333333</v>
      </c>
      <c r="Q522" s="4" t="str">
        <f t="shared" si="2"/>
        <v>High</v>
      </c>
      <c r="R522" s="1" t="str">
        <f t="shared" si="3"/>
        <v>Normal</v>
      </c>
      <c r="S522" s="6">
        <f t="shared" si="4"/>
        <v>185.6054246</v>
      </c>
      <c r="T522" s="1" t="str">
        <f t="shared" si="5"/>
        <v>High Cost</v>
      </c>
      <c r="U522" s="4">
        <f t="shared" si="6"/>
        <v>0.01822774083</v>
      </c>
    </row>
    <row r="523">
      <c r="A523" s="4" t="s">
        <v>1205</v>
      </c>
      <c r="B523" s="4" t="s">
        <v>273</v>
      </c>
      <c r="C523" s="4">
        <v>576.0473</v>
      </c>
      <c r="D523" s="4" t="s">
        <v>21</v>
      </c>
      <c r="E523" s="4" t="s">
        <v>123</v>
      </c>
      <c r="F523" s="4">
        <v>98.94</v>
      </c>
      <c r="G523" s="4">
        <v>80.47</v>
      </c>
      <c r="H523" s="4">
        <v>5.2698888928E10</v>
      </c>
      <c r="I523" s="4">
        <v>5.6187329785E10</v>
      </c>
      <c r="J523" s="4" t="s">
        <v>1206</v>
      </c>
      <c r="K523" s="4" t="s">
        <v>1207</v>
      </c>
      <c r="L523" s="4">
        <v>1.46</v>
      </c>
      <c r="M523" s="4">
        <v>841.03</v>
      </c>
      <c r="N523" s="4">
        <v>841.0</v>
      </c>
      <c r="O523" s="4">
        <v>69803.0</v>
      </c>
      <c r="P523" s="4">
        <f t="shared" si="1"/>
        <v>46.23333333</v>
      </c>
      <c r="Q523" s="4" t="str">
        <f t="shared" si="2"/>
        <v>High</v>
      </c>
      <c r="R523" s="1" t="str">
        <f t="shared" si="3"/>
        <v>High</v>
      </c>
      <c r="S523" s="4">
        <f t="shared" si="4"/>
        <v>101.4081936</v>
      </c>
      <c r="T523" s="1" t="str">
        <f t="shared" si="5"/>
        <v>Normal Cost</v>
      </c>
      <c r="U523" s="4">
        <f t="shared" si="6"/>
        <v>0.1285116686</v>
      </c>
    </row>
    <row r="524">
      <c r="A524" s="4" t="s">
        <v>1208</v>
      </c>
      <c r="B524" s="4" t="s">
        <v>16</v>
      </c>
      <c r="C524" s="4">
        <v>190.5469</v>
      </c>
      <c r="D524" s="4" t="s">
        <v>17</v>
      </c>
      <c r="E524" s="4" t="s">
        <v>155</v>
      </c>
      <c r="F524" s="4">
        <v>1.21</v>
      </c>
      <c r="G524" s="4">
        <v>31.08</v>
      </c>
      <c r="H524" s="4">
        <v>8.6403888554E10</v>
      </c>
      <c r="I524" s="4">
        <v>9.6122796373E10</v>
      </c>
      <c r="J524" s="4" t="s">
        <v>1209</v>
      </c>
      <c r="K524" s="4" t="s">
        <v>1210</v>
      </c>
      <c r="L524" s="4">
        <v>9.21</v>
      </c>
      <c r="M524" s="4">
        <v>1754.94</v>
      </c>
      <c r="N524" s="4">
        <v>1755.0</v>
      </c>
      <c r="O524" s="4">
        <v>145665.0</v>
      </c>
      <c r="P524" s="4">
        <f t="shared" si="1"/>
        <v>69.56666667</v>
      </c>
      <c r="Q524" s="4" t="str">
        <f t="shared" si="2"/>
        <v>Underutilized</v>
      </c>
      <c r="R524" s="1" t="str">
        <f t="shared" si="3"/>
        <v>Underutilized</v>
      </c>
      <c r="S524" s="4">
        <f t="shared" si="4"/>
        <v>169.9912221</v>
      </c>
      <c r="T524" s="1" t="str">
        <f t="shared" si="5"/>
        <v>Normal Cost</v>
      </c>
      <c r="U524" s="4">
        <f t="shared" si="6"/>
        <v>0.01108365084</v>
      </c>
    </row>
    <row r="525">
      <c r="A525" s="4" t="s">
        <v>1211</v>
      </c>
      <c r="B525" s="4" t="s">
        <v>99</v>
      </c>
      <c r="C525" s="4">
        <v>801.5769</v>
      </c>
      <c r="D525" s="4" t="s">
        <v>21</v>
      </c>
      <c r="E525" s="4" t="s">
        <v>32</v>
      </c>
      <c r="F525" s="4">
        <v>82.52</v>
      </c>
      <c r="G525" s="4">
        <v>31.1</v>
      </c>
      <c r="H525" s="4">
        <v>7.8666218849E10</v>
      </c>
      <c r="I525" s="4">
        <v>8.5516781967E10</v>
      </c>
      <c r="J525" s="4" t="s">
        <v>1212</v>
      </c>
      <c r="K525" s="5">
        <v>45331.748611111114</v>
      </c>
      <c r="L525" s="4">
        <v>1.58</v>
      </c>
      <c r="M525" s="4">
        <v>1266.49</v>
      </c>
      <c r="N525" s="4">
        <v>1266.0</v>
      </c>
      <c r="O525" s="4">
        <v>105078.0</v>
      </c>
      <c r="P525" s="4">
        <f t="shared" si="1"/>
        <v>105.1166667</v>
      </c>
      <c r="Q525" s="4" t="str">
        <f t="shared" si="2"/>
        <v>High</v>
      </c>
      <c r="R525" s="1" t="str">
        <f t="shared" si="3"/>
        <v>Underutilized</v>
      </c>
      <c r="S525" s="4">
        <f t="shared" si="4"/>
        <v>152.907335</v>
      </c>
      <c r="T525" s="1" t="str">
        <f t="shared" si="5"/>
        <v>Normal Cost</v>
      </c>
      <c r="U525" s="4">
        <f t="shared" si="6"/>
        <v>0.05406459963</v>
      </c>
    </row>
    <row r="526">
      <c r="A526" s="4" t="s">
        <v>1213</v>
      </c>
      <c r="B526" s="4" t="s">
        <v>53</v>
      </c>
      <c r="C526" s="4">
        <v>160.4866</v>
      </c>
      <c r="D526" s="4" t="s">
        <v>17</v>
      </c>
      <c r="E526" s="4" t="s">
        <v>32</v>
      </c>
      <c r="F526" s="4">
        <v>34.35</v>
      </c>
      <c r="G526" s="4">
        <v>88.63</v>
      </c>
      <c r="H526" s="4">
        <v>6.0339419641E10</v>
      </c>
      <c r="I526" s="4">
        <v>6.4894726306E10</v>
      </c>
      <c r="J526" s="5">
        <v>45299.87291666667</v>
      </c>
      <c r="K526" s="5">
        <v>45359.450694444444</v>
      </c>
      <c r="L526" s="4">
        <v>2.85</v>
      </c>
      <c r="M526" s="4">
        <v>457.39</v>
      </c>
      <c r="N526" s="4">
        <v>457.0</v>
      </c>
      <c r="O526" s="4">
        <v>37931.0</v>
      </c>
      <c r="P526" s="4">
        <f t="shared" si="1"/>
        <v>37.86666667</v>
      </c>
      <c r="Q526" s="4" t="str">
        <f t="shared" si="2"/>
        <v>Normal</v>
      </c>
      <c r="R526" s="1" t="str">
        <f t="shared" si="3"/>
        <v>High</v>
      </c>
      <c r="S526" s="4">
        <f t="shared" si="4"/>
        <v>116.6333872</v>
      </c>
      <c r="T526" s="1" t="str">
        <f t="shared" si="5"/>
        <v>Normal Cost</v>
      </c>
      <c r="U526" s="4">
        <f t="shared" si="6"/>
        <v>0.1621101474</v>
      </c>
    </row>
    <row r="527">
      <c r="A527" s="4" t="s">
        <v>1214</v>
      </c>
      <c r="B527" s="4" t="s">
        <v>79</v>
      </c>
      <c r="C527" s="4">
        <v>948.4506</v>
      </c>
      <c r="D527" s="4" t="s">
        <v>21</v>
      </c>
      <c r="E527" s="4" t="s">
        <v>27</v>
      </c>
      <c r="F527" s="4">
        <v>34.32</v>
      </c>
      <c r="G527" s="4">
        <v>66.1</v>
      </c>
      <c r="H527" s="4">
        <v>8.3320723084E10</v>
      </c>
      <c r="I527" s="4">
        <v>8.8800038067E10</v>
      </c>
      <c r="J527" s="5">
        <v>45542.17847222222</v>
      </c>
      <c r="K527" s="5">
        <v>45603.424305555556</v>
      </c>
      <c r="L527" s="4">
        <v>6.26</v>
      </c>
      <c r="M527" s="4">
        <v>5937.3</v>
      </c>
      <c r="N527" s="4">
        <v>5937.0</v>
      </c>
      <c r="O527" s="4">
        <v>492771.0</v>
      </c>
      <c r="P527" s="4">
        <f t="shared" si="1"/>
        <v>53.9</v>
      </c>
      <c r="Q527" s="4" t="str">
        <f t="shared" si="2"/>
        <v>Normal</v>
      </c>
      <c r="R527" s="1" t="str">
        <f t="shared" si="3"/>
        <v>Normal</v>
      </c>
      <c r="S527" s="4">
        <f t="shared" si="4"/>
        <v>160.2999504</v>
      </c>
      <c r="T527" s="1" t="str">
        <f t="shared" si="5"/>
        <v>High Cost</v>
      </c>
      <c r="U527" s="4">
        <f t="shared" si="6"/>
        <v>0.01018931715</v>
      </c>
    </row>
    <row r="528">
      <c r="A528" s="4" t="s">
        <v>1215</v>
      </c>
      <c r="B528" s="4" t="s">
        <v>60</v>
      </c>
      <c r="C528" s="4">
        <v>61.5833</v>
      </c>
      <c r="D528" s="4" t="s">
        <v>42</v>
      </c>
      <c r="E528" s="4" t="s">
        <v>27</v>
      </c>
      <c r="F528" s="4">
        <v>95.33</v>
      </c>
      <c r="G528" s="4">
        <v>2.13</v>
      </c>
      <c r="H528" s="4">
        <v>8.1293484517E10</v>
      </c>
      <c r="I528" s="4">
        <v>8.4804571225E10</v>
      </c>
      <c r="J528" s="4" t="s">
        <v>1216</v>
      </c>
      <c r="K528" s="4" t="s">
        <v>1217</v>
      </c>
      <c r="L528" s="4">
        <v>7.8</v>
      </c>
      <c r="M528" s="4">
        <v>480.35</v>
      </c>
      <c r="N528" s="4">
        <v>480.0</v>
      </c>
      <c r="O528" s="4">
        <v>39840.0</v>
      </c>
      <c r="P528" s="4">
        <f t="shared" si="1"/>
        <v>61.58333333</v>
      </c>
      <c r="Q528" s="4" t="str">
        <f t="shared" si="2"/>
        <v>High</v>
      </c>
      <c r="R528" s="1" t="str">
        <f t="shared" si="3"/>
        <v>Underutilized</v>
      </c>
      <c r="S528" s="4">
        <f t="shared" si="4"/>
        <v>154.6908689</v>
      </c>
      <c r="T528" s="1" t="str">
        <f t="shared" si="5"/>
        <v>Normal Cost</v>
      </c>
      <c r="U528" s="4">
        <f t="shared" si="6"/>
        <v>0.122314257</v>
      </c>
    </row>
    <row r="529">
      <c r="A529" s="4" t="s">
        <v>1218</v>
      </c>
      <c r="B529" s="4" t="s">
        <v>31</v>
      </c>
      <c r="C529" s="4">
        <v>957.9646</v>
      </c>
      <c r="D529" s="4" t="s">
        <v>21</v>
      </c>
      <c r="E529" s="4" t="s">
        <v>58</v>
      </c>
      <c r="F529" s="4">
        <v>92.23</v>
      </c>
      <c r="G529" s="4">
        <v>25.12</v>
      </c>
      <c r="H529" s="4">
        <v>8.2309446703E10</v>
      </c>
      <c r="I529" s="4">
        <v>8.8424557528E10</v>
      </c>
      <c r="J529" s="5">
        <v>45359.97777777778</v>
      </c>
      <c r="K529" s="5">
        <v>45543.6125</v>
      </c>
      <c r="L529" s="4">
        <v>6.52</v>
      </c>
      <c r="M529" s="4">
        <v>6245.93</v>
      </c>
      <c r="N529" s="4">
        <v>6246.0</v>
      </c>
      <c r="O529" s="4">
        <v>518418.0</v>
      </c>
      <c r="P529" s="4">
        <f t="shared" si="1"/>
        <v>135.2333333</v>
      </c>
      <c r="Q529" s="4" t="str">
        <f t="shared" si="2"/>
        <v>High</v>
      </c>
      <c r="R529" s="1" t="str">
        <f t="shared" si="3"/>
        <v>Underutilized</v>
      </c>
      <c r="S529" s="4">
        <f t="shared" si="4"/>
        <v>159.0084324</v>
      </c>
      <c r="T529" s="1" t="str">
        <f t="shared" si="5"/>
        <v>High Cost</v>
      </c>
      <c r="U529" s="4">
        <f t="shared" si="6"/>
        <v>0.01131808695</v>
      </c>
    </row>
    <row r="530">
      <c r="A530" s="4" t="s">
        <v>1219</v>
      </c>
      <c r="B530" s="4" t="s">
        <v>79</v>
      </c>
      <c r="C530" s="4">
        <v>964.4348</v>
      </c>
      <c r="D530" s="4" t="s">
        <v>21</v>
      </c>
      <c r="E530" s="4" t="s">
        <v>70</v>
      </c>
      <c r="F530" s="4">
        <v>98.21</v>
      </c>
      <c r="G530" s="4">
        <v>48.43</v>
      </c>
      <c r="H530" s="4">
        <v>4.6645088937E10</v>
      </c>
      <c r="I530" s="4">
        <v>5.4377521672E10</v>
      </c>
      <c r="J530" s="5">
        <v>45604.23263888889</v>
      </c>
      <c r="K530" s="4" t="s">
        <v>1220</v>
      </c>
      <c r="L530" s="4">
        <v>2.94</v>
      </c>
      <c r="M530" s="4">
        <v>2835.44</v>
      </c>
      <c r="N530" s="4">
        <v>2835.0</v>
      </c>
      <c r="O530" s="4">
        <v>235305.0</v>
      </c>
      <c r="P530" s="4">
        <f t="shared" si="1"/>
        <v>88.78333333</v>
      </c>
      <c r="Q530" s="4" t="str">
        <f t="shared" si="2"/>
        <v>High</v>
      </c>
      <c r="R530" s="1" t="str">
        <f t="shared" si="3"/>
        <v>Normal</v>
      </c>
      <c r="S530" s="4">
        <f t="shared" si="4"/>
        <v>94.08463781</v>
      </c>
      <c r="T530" s="1" t="str">
        <f t="shared" si="5"/>
        <v>High Cost</v>
      </c>
      <c r="U530" s="4">
        <f t="shared" si="6"/>
        <v>0.03115955887</v>
      </c>
    </row>
    <row r="531">
      <c r="A531" s="4" t="s">
        <v>1221</v>
      </c>
      <c r="B531" s="4" t="s">
        <v>139</v>
      </c>
      <c r="C531" s="4">
        <v>132.0667</v>
      </c>
      <c r="D531" s="4" t="s">
        <v>42</v>
      </c>
      <c r="E531" s="4" t="s">
        <v>70</v>
      </c>
      <c r="F531" s="4">
        <v>15.36</v>
      </c>
      <c r="G531" s="4">
        <v>83.56</v>
      </c>
      <c r="H531" s="4">
        <v>9.6608816612E10</v>
      </c>
      <c r="I531" s="6">
        <v>1.05529E11</v>
      </c>
      <c r="J531" s="4" t="s">
        <v>1222</v>
      </c>
      <c r="K531" s="4" t="s">
        <v>1223</v>
      </c>
      <c r="L531" s="4">
        <v>3.33</v>
      </c>
      <c r="M531" s="4">
        <v>439.78</v>
      </c>
      <c r="N531" s="4">
        <v>440.0</v>
      </c>
      <c r="O531" s="4">
        <v>36520.0</v>
      </c>
      <c r="P531" s="4">
        <f t="shared" si="1"/>
        <v>132.0666667</v>
      </c>
      <c r="Q531" s="4" t="str">
        <f t="shared" si="2"/>
        <v>Underutilized</v>
      </c>
      <c r="R531" s="1" t="str">
        <f t="shared" si="3"/>
        <v>High</v>
      </c>
      <c r="S531" s="6">
        <f t="shared" si="4"/>
        <v>188.2555118</v>
      </c>
      <c r="T531" s="1" t="str">
        <f t="shared" si="5"/>
        <v>Normal Cost</v>
      </c>
      <c r="U531" s="4">
        <f t="shared" si="6"/>
        <v>0.1354326396</v>
      </c>
    </row>
    <row r="532">
      <c r="A532" s="4" t="s">
        <v>1224</v>
      </c>
      <c r="B532" s="4" t="s">
        <v>79</v>
      </c>
      <c r="C532" s="4">
        <v>997.4543</v>
      </c>
      <c r="D532" s="4" t="s">
        <v>21</v>
      </c>
      <c r="E532" s="4" t="s">
        <v>70</v>
      </c>
      <c r="F532" s="4">
        <v>91.96</v>
      </c>
      <c r="G532" s="4">
        <v>91.61</v>
      </c>
      <c r="H532" s="4">
        <v>7.0776801115E10</v>
      </c>
      <c r="I532" s="4">
        <v>7.4943205024E10</v>
      </c>
      <c r="J532" s="4" t="s">
        <v>1225</v>
      </c>
      <c r="K532" s="4" t="s">
        <v>1226</v>
      </c>
      <c r="L532" s="4">
        <v>4.03</v>
      </c>
      <c r="M532" s="4">
        <v>4019.74</v>
      </c>
      <c r="N532" s="4">
        <v>4020.0</v>
      </c>
      <c r="O532" s="4">
        <v>333660.0</v>
      </c>
      <c r="P532" s="4">
        <f t="shared" si="1"/>
        <v>31.73333333</v>
      </c>
      <c r="Q532" s="4" t="str">
        <f t="shared" si="2"/>
        <v>High</v>
      </c>
      <c r="R532" s="1" t="str">
        <f t="shared" si="3"/>
        <v>High</v>
      </c>
      <c r="S532" s="4">
        <f t="shared" si="4"/>
        <v>135.7123313</v>
      </c>
      <c r="T532" s="1" t="str">
        <f t="shared" si="5"/>
        <v>High Cost</v>
      </c>
      <c r="U532" s="4">
        <f t="shared" si="6"/>
        <v>0.02750854163</v>
      </c>
    </row>
    <row r="533">
      <c r="A533" s="4" t="s">
        <v>1227</v>
      </c>
      <c r="B533" s="4" t="s">
        <v>57</v>
      </c>
      <c r="C533" s="4">
        <v>98.5522</v>
      </c>
      <c r="D533" s="4" t="s">
        <v>17</v>
      </c>
      <c r="E533" s="4" t="s">
        <v>155</v>
      </c>
      <c r="F533" s="4">
        <v>38.11</v>
      </c>
      <c r="G533" s="4">
        <v>0.95</v>
      </c>
      <c r="H533" s="4">
        <v>2.7363451299E10</v>
      </c>
      <c r="I533" s="4">
        <v>3.5833738864E10</v>
      </c>
      <c r="J533" s="5">
        <v>45572.10138888889</v>
      </c>
      <c r="K533" s="5">
        <v>45633.291666666664</v>
      </c>
      <c r="L533" s="4">
        <v>7.37</v>
      </c>
      <c r="M533" s="4">
        <v>726.33</v>
      </c>
      <c r="N533" s="4">
        <v>726.0</v>
      </c>
      <c r="O533" s="4">
        <v>60258.0</v>
      </c>
      <c r="P533" s="4">
        <f t="shared" si="1"/>
        <v>52.56666667</v>
      </c>
      <c r="Q533" s="4" t="str">
        <f t="shared" si="2"/>
        <v>Normal</v>
      </c>
      <c r="R533" s="1" t="str">
        <f t="shared" si="3"/>
        <v>Underutilized</v>
      </c>
      <c r="S533" s="4">
        <f t="shared" si="4"/>
        <v>58.85696985</v>
      </c>
      <c r="T533" s="1" t="str">
        <f t="shared" si="5"/>
        <v>Normal Cost</v>
      </c>
      <c r="U533" s="4">
        <f t="shared" si="6"/>
        <v>0.03241063427</v>
      </c>
    </row>
    <row r="534">
      <c r="A534" s="4" t="s">
        <v>1228</v>
      </c>
      <c r="B534" s="4" t="s">
        <v>166</v>
      </c>
      <c r="C534" s="4">
        <v>755.9279</v>
      </c>
      <c r="D534" s="4" t="s">
        <v>21</v>
      </c>
      <c r="E534" s="4" t="s">
        <v>32</v>
      </c>
      <c r="F534" s="4">
        <v>13.63</v>
      </c>
      <c r="G534" s="4">
        <v>91.41</v>
      </c>
      <c r="H534" s="4">
        <v>4.145901421E10</v>
      </c>
      <c r="I534" s="4">
        <v>4.7929914232E10</v>
      </c>
      <c r="J534" s="4" t="s">
        <v>1229</v>
      </c>
      <c r="K534" s="4" t="s">
        <v>1230</v>
      </c>
      <c r="L534" s="4">
        <v>3.59</v>
      </c>
      <c r="M534" s="4">
        <v>2713.78</v>
      </c>
      <c r="N534" s="4">
        <v>2714.0</v>
      </c>
      <c r="O534" s="4">
        <v>225262.0</v>
      </c>
      <c r="P534" s="4">
        <f t="shared" si="1"/>
        <v>96.7</v>
      </c>
      <c r="Q534" s="4" t="str">
        <f t="shared" si="2"/>
        <v>Underutilized</v>
      </c>
      <c r="R534" s="1" t="str">
        <f t="shared" si="3"/>
        <v>High</v>
      </c>
      <c r="S534" s="4">
        <f t="shared" si="4"/>
        <v>83.24992698</v>
      </c>
      <c r="T534" s="1" t="str">
        <f t="shared" si="5"/>
        <v>High Cost</v>
      </c>
      <c r="U534" s="4">
        <f t="shared" si="6"/>
        <v>0.02331507311</v>
      </c>
    </row>
    <row r="535">
      <c r="A535" s="4" t="s">
        <v>1231</v>
      </c>
      <c r="B535" s="4" t="s">
        <v>122</v>
      </c>
      <c r="C535" s="4">
        <v>388.3619</v>
      </c>
      <c r="D535" s="4" t="s">
        <v>17</v>
      </c>
      <c r="E535" s="4" t="s">
        <v>54</v>
      </c>
      <c r="F535" s="4">
        <v>28.47</v>
      </c>
      <c r="G535" s="4">
        <v>9.27</v>
      </c>
      <c r="H535" s="4">
        <v>1.6624322226E10</v>
      </c>
      <c r="I535" s="4">
        <v>2.1659815981E10</v>
      </c>
      <c r="J535" s="5">
        <v>45451.08472222222</v>
      </c>
      <c r="K535" s="5">
        <v>45481.66875</v>
      </c>
      <c r="L535" s="4">
        <v>1.0</v>
      </c>
      <c r="M535" s="4">
        <v>388.36</v>
      </c>
      <c r="N535" s="4">
        <v>388.0</v>
      </c>
      <c r="O535" s="4">
        <v>32204.0</v>
      </c>
      <c r="P535" s="4">
        <f t="shared" si="1"/>
        <v>38.01666667</v>
      </c>
      <c r="Q535" s="4" t="str">
        <f t="shared" si="2"/>
        <v>Underutilized</v>
      </c>
      <c r="R535" s="1" t="str">
        <f t="shared" si="3"/>
        <v>Underutilized</v>
      </c>
      <c r="S535" s="4">
        <f t="shared" si="4"/>
        <v>35.65488216</v>
      </c>
      <c r="T535" s="1" t="str">
        <f t="shared" si="5"/>
        <v>Normal Cost</v>
      </c>
      <c r="U535" s="4">
        <f t="shared" si="6"/>
        <v>0.05859520556</v>
      </c>
    </row>
    <row r="536">
      <c r="A536" s="4" t="s">
        <v>1232</v>
      </c>
      <c r="B536" s="4" t="s">
        <v>79</v>
      </c>
      <c r="C536" s="4">
        <v>568.3773</v>
      </c>
      <c r="D536" s="4" t="s">
        <v>21</v>
      </c>
      <c r="E536" s="4" t="s">
        <v>22</v>
      </c>
      <c r="F536" s="4">
        <v>8.79</v>
      </c>
      <c r="G536" s="4">
        <v>52.74</v>
      </c>
      <c r="H536" s="4">
        <v>1.3537126855E10</v>
      </c>
      <c r="I536" s="4">
        <v>1.6002647625E10</v>
      </c>
      <c r="J536" s="5">
        <v>45543.98819444444</v>
      </c>
      <c r="K536" s="5">
        <v>45634.25555555556</v>
      </c>
      <c r="L536" s="4">
        <v>5.71</v>
      </c>
      <c r="M536" s="4">
        <v>3245.43</v>
      </c>
      <c r="N536" s="4">
        <v>3245.0</v>
      </c>
      <c r="O536" s="4">
        <v>269335.0</v>
      </c>
      <c r="P536" s="4">
        <f t="shared" si="1"/>
        <v>54.41666667</v>
      </c>
      <c r="Q536" s="4" t="str">
        <f t="shared" si="2"/>
        <v>Underutilized</v>
      </c>
      <c r="R536" s="1" t="str">
        <f t="shared" si="3"/>
        <v>Normal</v>
      </c>
      <c r="S536" s="4">
        <f t="shared" si="4"/>
        <v>27.51105882</v>
      </c>
      <c r="T536" s="1" t="str">
        <f t="shared" si="5"/>
        <v>High Cost</v>
      </c>
      <c r="U536" s="4">
        <f t="shared" si="6"/>
        <v>0.01142257783</v>
      </c>
    </row>
    <row r="537">
      <c r="A537" s="4" t="s">
        <v>1233</v>
      </c>
      <c r="B537" s="4" t="s">
        <v>122</v>
      </c>
      <c r="C537" s="4">
        <v>446.7635</v>
      </c>
      <c r="D537" s="4" t="s">
        <v>17</v>
      </c>
      <c r="E537" s="4" t="s">
        <v>37</v>
      </c>
      <c r="F537" s="4">
        <v>38.45</v>
      </c>
      <c r="G537" s="4">
        <v>58.64</v>
      </c>
      <c r="H537" s="4">
        <v>8.9140612486E10</v>
      </c>
      <c r="I537" s="4">
        <v>9.5390226085E10</v>
      </c>
      <c r="J537" s="5">
        <v>45511.94236111111</v>
      </c>
      <c r="K537" s="5">
        <v>45572.00069444445</v>
      </c>
      <c r="L537" s="4">
        <v>8.27</v>
      </c>
      <c r="M537" s="4">
        <v>3694.73</v>
      </c>
      <c r="N537" s="4">
        <v>3695.0</v>
      </c>
      <c r="O537" s="4">
        <v>306685.0</v>
      </c>
      <c r="P537" s="4">
        <f t="shared" si="1"/>
        <v>25.4</v>
      </c>
      <c r="Q537" s="4" t="str">
        <f t="shared" si="2"/>
        <v>Normal</v>
      </c>
      <c r="R537" s="1" t="str">
        <f t="shared" si="3"/>
        <v>Normal</v>
      </c>
      <c r="S537" s="4">
        <f t="shared" si="4"/>
        <v>171.8577357</v>
      </c>
      <c r="T537" s="1" t="str">
        <f t="shared" si="5"/>
        <v>High Cost</v>
      </c>
      <c r="U537" s="4">
        <f t="shared" si="6"/>
        <v>0.01582894501</v>
      </c>
    </row>
    <row r="538">
      <c r="A538" s="4" t="s">
        <v>1234</v>
      </c>
      <c r="B538" s="4" t="s">
        <v>60</v>
      </c>
      <c r="C538" s="4">
        <v>137.0667</v>
      </c>
      <c r="D538" s="4" t="s">
        <v>42</v>
      </c>
      <c r="E538" s="4" t="s">
        <v>27</v>
      </c>
      <c r="F538" s="4">
        <v>28.29</v>
      </c>
      <c r="G538" s="4">
        <v>4.12</v>
      </c>
      <c r="H538" s="4">
        <v>3.8561687282E10</v>
      </c>
      <c r="I538" s="4">
        <v>4.5947923845E10</v>
      </c>
      <c r="J538" s="5">
        <v>45420.84583333333</v>
      </c>
      <c r="K538" s="5">
        <v>45604.55694444444</v>
      </c>
      <c r="L538" s="4">
        <v>2.9</v>
      </c>
      <c r="M538" s="4">
        <v>397.49</v>
      </c>
      <c r="N538" s="4">
        <v>397.0</v>
      </c>
      <c r="O538" s="4">
        <v>32951.0</v>
      </c>
      <c r="P538" s="4">
        <f t="shared" si="1"/>
        <v>137.0666667</v>
      </c>
      <c r="Q538" s="4" t="str">
        <f t="shared" si="2"/>
        <v>Underutilized</v>
      </c>
      <c r="R538" s="1" t="str">
        <f t="shared" si="3"/>
        <v>Underutilized</v>
      </c>
      <c r="S538" s="4">
        <f t="shared" si="4"/>
        <v>78.70570861</v>
      </c>
      <c r="T538" s="1" t="str">
        <f t="shared" si="5"/>
        <v>Normal Cost</v>
      </c>
      <c r="U538" s="4">
        <f t="shared" si="6"/>
        <v>0.04917908409</v>
      </c>
    </row>
    <row r="539">
      <c r="A539" s="4" t="s">
        <v>1235</v>
      </c>
      <c r="B539" s="4" t="s">
        <v>139</v>
      </c>
      <c r="C539" s="4">
        <v>102.3167</v>
      </c>
      <c r="D539" s="4" t="s">
        <v>42</v>
      </c>
      <c r="E539" s="4" t="s">
        <v>54</v>
      </c>
      <c r="F539" s="4">
        <v>86.34</v>
      </c>
      <c r="G539" s="4">
        <v>15.71</v>
      </c>
      <c r="H539" s="4">
        <v>6.219147399E9</v>
      </c>
      <c r="I539" s="4">
        <v>1.5724023212E10</v>
      </c>
      <c r="J539" s="4" t="s">
        <v>1236</v>
      </c>
      <c r="K539" s="4" t="s">
        <v>1237</v>
      </c>
      <c r="L539" s="4">
        <v>2.62</v>
      </c>
      <c r="M539" s="4">
        <v>268.07</v>
      </c>
      <c r="N539" s="4">
        <v>268.0</v>
      </c>
      <c r="O539" s="4">
        <v>22244.0</v>
      </c>
      <c r="P539" s="4">
        <f t="shared" si="1"/>
        <v>102.3166667</v>
      </c>
      <c r="Q539" s="4" t="str">
        <f t="shared" si="2"/>
        <v>High</v>
      </c>
      <c r="R539" s="1" t="str">
        <f t="shared" si="3"/>
        <v>Underutilized</v>
      </c>
      <c r="S539" s="4">
        <f t="shared" si="4"/>
        <v>20.43617015</v>
      </c>
      <c r="T539" s="1" t="str">
        <f t="shared" si="5"/>
        <v>Normal Cost</v>
      </c>
      <c r="U539" s="4">
        <f t="shared" si="6"/>
        <v>0.2293877001</v>
      </c>
    </row>
    <row r="540">
      <c r="A540" s="4" t="s">
        <v>1238</v>
      </c>
      <c r="B540" s="4" t="s">
        <v>57</v>
      </c>
      <c r="C540" s="4">
        <v>164.0299</v>
      </c>
      <c r="D540" s="4" t="s">
        <v>21</v>
      </c>
      <c r="E540" s="4" t="s">
        <v>27</v>
      </c>
      <c r="F540" s="4">
        <v>8.67</v>
      </c>
      <c r="G540" s="4">
        <v>25.58</v>
      </c>
      <c r="H540" s="4">
        <v>4.9968206937E10</v>
      </c>
      <c r="I540" s="4">
        <v>5.7300087049E10</v>
      </c>
      <c r="J540" s="5">
        <v>45573.69583333333</v>
      </c>
      <c r="K540" s="4" t="s">
        <v>1239</v>
      </c>
      <c r="L540" s="4">
        <v>7.31</v>
      </c>
      <c r="M540" s="4">
        <v>1199.06</v>
      </c>
      <c r="N540" s="4">
        <v>1199.0</v>
      </c>
      <c r="O540" s="4">
        <v>99517.0</v>
      </c>
      <c r="P540" s="4">
        <f t="shared" si="1"/>
        <v>142.35</v>
      </c>
      <c r="Q540" s="4" t="str">
        <f t="shared" si="2"/>
        <v>Underutilized</v>
      </c>
      <c r="R540" s="1" t="str">
        <f t="shared" si="3"/>
        <v>Underutilized</v>
      </c>
      <c r="S540" s="4">
        <f t="shared" si="4"/>
        <v>99.90138373</v>
      </c>
      <c r="T540" s="1" t="str">
        <f t="shared" si="5"/>
        <v>Normal Cost</v>
      </c>
      <c r="U540" s="4">
        <f t="shared" si="6"/>
        <v>0.0172081152</v>
      </c>
    </row>
    <row r="541">
      <c r="A541" s="4" t="s">
        <v>1240</v>
      </c>
      <c r="B541" s="4" t="s">
        <v>26</v>
      </c>
      <c r="C541" s="4">
        <v>574.5176</v>
      </c>
      <c r="D541" s="4" t="s">
        <v>21</v>
      </c>
      <c r="E541" s="4" t="s">
        <v>105</v>
      </c>
      <c r="F541" s="4">
        <v>99.22</v>
      </c>
      <c r="G541" s="4">
        <v>99.12</v>
      </c>
      <c r="H541" s="4">
        <v>6.4985616255E10</v>
      </c>
      <c r="I541" s="4">
        <v>6.9629329099E10</v>
      </c>
      <c r="J541" s="4" t="s">
        <v>1241</v>
      </c>
      <c r="K541" s="4" t="s">
        <v>1242</v>
      </c>
      <c r="L541" s="4">
        <v>7.6</v>
      </c>
      <c r="M541" s="4">
        <v>4366.33</v>
      </c>
      <c r="N541" s="4">
        <v>4366.0</v>
      </c>
      <c r="O541" s="4">
        <v>362378.0</v>
      </c>
      <c r="P541" s="4">
        <f t="shared" si="1"/>
        <v>41.93333333</v>
      </c>
      <c r="Q541" s="4" t="str">
        <f t="shared" si="2"/>
        <v>High</v>
      </c>
      <c r="R541" s="1" t="str">
        <f t="shared" si="3"/>
        <v>High</v>
      </c>
      <c r="S541" s="4">
        <f t="shared" si="4"/>
        <v>125.3699375</v>
      </c>
      <c r="T541" s="1" t="str">
        <f t="shared" si="5"/>
        <v>High Cost</v>
      </c>
      <c r="U541" s="4">
        <f t="shared" si="6"/>
        <v>0.02736645161</v>
      </c>
    </row>
    <row r="542">
      <c r="A542" s="4" t="s">
        <v>1243</v>
      </c>
      <c r="B542" s="4" t="s">
        <v>112</v>
      </c>
      <c r="C542" s="4">
        <v>60.7833</v>
      </c>
      <c r="D542" s="4" t="s">
        <v>42</v>
      </c>
      <c r="E542" s="4" t="s">
        <v>54</v>
      </c>
      <c r="F542" s="4">
        <v>89.95</v>
      </c>
      <c r="G542" s="4">
        <v>17.36</v>
      </c>
      <c r="H542" s="4">
        <v>4.4055330491E10</v>
      </c>
      <c r="I542" s="4">
        <v>4.4631492274E10</v>
      </c>
      <c r="J542" s="4" t="s">
        <v>1244</v>
      </c>
      <c r="K542" s="4" t="s">
        <v>1245</v>
      </c>
      <c r="L542" s="4">
        <v>8.24</v>
      </c>
      <c r="M542" s="4">
        <v>500.85</v>
      </c>
      <c r="N542" s="4">
        <v>501.0</v>
      </c>
      <c r="O542" s="4">
        <v>41583.0</v>
      </c>
      <c r="P542" s="4">
        <f t="shared" si="1"/>
        <v>60.78333333</v>
      </c>
      <c r="Q542" s="4" t="str">
        <f t="shared" si="2"/>
        <v>High</v>
      </c>
      <c r="R542" s="1" t="str">
        <f t="shared" si="3"/>
        <v>Underutilized</v>
      </c>
      <c r="S542" s="4">
        <f t="shared" si="4"/>
        <v>82.59604011</v>
      </c>
      <c r="T542" s="1" t="str">
        <f t="shared" si="5"/>
        <v>Normal Cost</v>
      </c>
      <c r="U542" s="4">
        <f t="shared" si="6"/>
        <v>0.1290310944</v>
      </c>
    </row>
    <row r="543">
      <c r="A543" s="4" t="s">
        <v>1246</v>
      </c>
      <c r="B543" s="4" t="s">
        <v>31</v>
      </c>
      <c r="C543" s="4">
        <v>315.848</v>
      </c>
      <c r="D543" s="4" t="s">
        <v>21</v>
      </c>
      <c r="E543" s="4" t="s">
        <v>74</v>
      </c>
      <c r="F543" s="4">
        <v>40.42</v>
      </c>
      <c r="G543" s="4">
        <v>3.39</v>
      </c>
      <c r="H543" s="4">
        <v>2.2470722254E10</v>
      </c>
      <c r="I543" s="4">
        <v>3.1363688005E10</v>
      </c>
      <c r="J543" s="5">
        <v>45420.71111111111</v>
      </c>
      <c r="K543" s="5">
        <v>45512.25555555556</v>
      </c>
      <c r="L543" s="4">
        <v>1.1</v>
      </c>
      <c r="M543" s="4">
        <v>347.43</v>
      </c>
      <c r="N543" s="4">
        <v>347.0</v>
      </c>
      <c r="O543" s="4">
        <v>28801.0</v>
      </c>
      <c r="P543" s="4">
        <f t="shared" si="1"/>
        <v>61.06666667</v>
      </c>
      <c r="Q543" s="4" t="str">
        <f t="shared" si="2"/>
        <v>Normal</v>
      </c>
      <c r="R543" s="1" t="str">
        <f t="shared" si="3"/>
        <v>Underutilized</v>
      </c>
      <c r="S543" s="4">
        <f t="shared" si="4"/>
        <v>50.13720157</v>
      </c>
      <c r="T543" s="1" t="str">
        <f t="shared" si="5"/>
        <v>Normal Cost</v>
      </c>
      <c r="U543" s="4">
        <f t="shared" si="6"/>
        <v>0.07605638693</v>
      </c>
    </row>
    <row r="544">
      <c r="A544" s="4" t="s">
        <v>1247</v>
      </c>
      <c r="B544" s="4" t="s">
        <v>31</v>
      </c>
      <c r="C544" s="4">
        <v>851.9663</v>
      </c>
      <c r="D544" s="4" t="s">
        <v>17</v>
      </c>
      <c r="E544" s="4" t="s">
        <v>70</v>
      </c>
      <c r="F544" s="4">
        <v>16.04</v>
      </c>
      <c r="G544" s="4">
        <v>92.44</v>
      </c>
      <c r="H544" s="4">
        <v>1.570346992E10</v>
      </c>
      <c r="I544" s="4">
        <v>2.293338707E10</v>
      </c>
      <c r="J544" s="5">
        <v>45299.69236111111</v>
      </c>
      <c r="K544" s="5">
        <v>45359.895833333336</v>
      </c>
      <c r="L544" s="4">
        <v>7.58</v>
      </c>
      <c r="M544" s="4">
        <v>6457.9</v>
      </c>
      <c r="N544" s="4">
        <v>6458.0</v>
      </c>
      <c r="O544" s="4">
        <v>536014.0</v>
      </c>
      <c r="P544" s="4">
        <f t="shared" si="1"/>
        <v>52.88333333</v>
      </c>
      <c r="Q544" s="4" t="str">
        <f t="shared" si="2"/>
        <v>Underutilized</v>
      </c>
      <c r="R544" s="1" t="str">
        <f t="shared" si="3"/>
        <v>High</v>
      </c>
      <c r="S544" s="4">
        <f t="shared" si="4"/>
        <v>35.98337713</v>
      </c>
      <c r="T544" s="1" t="str">
        <f t="shared" si="5"/>
        <v>High Cost</v>
      </c>
      <c r="U544" s="4">
        <f t="shared" si="6"/>
        <v>0.01011913868</v>
      </c>
    </row>
    <row r="545">
      <c r="A545" s="4" t="s">
        <v>1248</v>
      </c>
      <c r="B545" s="4" t="s">
        <v>16</v>
      </c>
      <c r="C545" s="4">
        <v>102.4153</v>
      </c>
      <c r="D545" s="4" t="s">
        <v>21</v>
      </c>
      <c r="E545" s="4" t="s">
        <v>37</v>
      </c>
      <c r="F545" s="4">
        <v>0.69</v>
      </c>
      <c r="G545" s="4">
        <v>79.14</v>
      </c>
      <c r="H545" s="4">
        <v>4.6113640301E10</v>
      </c>
      <c r="I545" s="4">
        <v>5.0547921965E10</v>
      </c>
      <c r="J545" s="4" t="s">
        <v>1249</v>
      </c>
      <c r="K545" s="4" t="s">
        <v>1250</v>
      </c>
      <c r="L545" s="4">
        <v>1.77</v>
      </c>
      <c r="M545" s="4">
        <v>181.28</v>
      </c>
      <c r="N545" s="4">
        <v>181.0</v>
      </c>
      <c r="O545" s="4">
        <v>15023.0</v>
      </c>
      <c r="P545" s="4">
        <f t="shared" si="1"/>
        <v>87.73333333</v>
      </c>
      <c r="Q545" s="4" t="str">
        <f t="shared" si="2"/>
        <v>Underutilized</v>
      </c>
      <c r="R545" s="1" t="str">
        <f t="shared" si="3"/>
        <v>High</v>
      </c>
      <c r="S545" s="4">
        <f t="shared" si="4"/>
        <v>90.02309504</v>
      </c>
      <c r="T545" s="1" t="str">
        <f t="shared" si="5"/>
        <v>Normal Cost</v>
      </c>
      <c r="U545" s="4">
        <f t="shared" si="6"/>
        <v>0.2656926047</v>
      </c>
    </row>
    <row r="546">
      <c r="A546" s="4" t="s">
        <v>1251</v>
      </c>
      <c r="B546" s="4" t="s">
        <v>16</v>
      </c>
      <c r="C546" s="4">
        <v>530.5378</v>
      </c>
      <c r="D546" s="4" t="s">
        <v>17</v>
      </c>
      <c r="E546" s="4" t="s">
        <v>54</v>
      </c>
      <c r="F546" s="4">
        <v>5.63</v>
      </c>
      <c r="G546" s="4">
        <v>80.46</v>
      </c>
      <c r="H546" s="4">
        <v>4.7148543586E10</v>
      </c>
      <c r="I546" s="4">
        <v>5.513059965E10</v>
      </c>
      <c r="J546" s="4" t="s">
        <v>1252</v>
      </c>
      <c r="K546" s="4" t="s">
        <v>1253</v>
      </c>
      <c r="L546" s="4">
        <v>3.49</v>
      </c>
      <c r="M546" s="4">
        <v>1851.58</v>
      </c>
      <c r="N546" s="4">
        <v>1852.0</v>
      </c>
      <c r="O546" s="4">
        <v>153716.0</v>
      </c>
      <c r="P546" s="4">
        <f t="shared" si="1"/>
        <v>57.85</v>
      </c>
      <c r="Q546" s="4" t="str">
        <f t="shared" si="2"/>
        <v>Underutilized</v>
      </c>
      <c r="R546" s="1" t="str">
        <f t="shared" si="3"/>
        <v>High</v>
      </c>
      <c r="S546" s="4">
        <f t="shared" si="4"/>
        <v>95.25487501</v>
      </c>
      <c r="T546" s="1" t="str">
        <f t="shared" si="5"/>
        <v>Normal Cost</v>
      </c>
      <c r="U546" s="4">
        <f t="shared" si="6"/>
        <v>0.02800294049</v>
      </c>
    </row>
    <row r="547">
      <c r="A547" s="4" t="s">
        <v>1254</v>
      </c>
      <c r="B547" s="4" t="s">
        <v>166</v>
      </c>
      <c r="C547" s="4">
        <v>439.1355</v>
      </c>
      <c r="D547" s="4" t="s">
        <v>21</v>
      </c>
      <c r="E547" s="4" t="s">
        <v>70</v>
      </c>
      <c r="F547" s="4">
        <v>0.69</v>
      </c>
      <c r="G547" s="4">
        <v>57.08</v>
      </c>
      <c r="H547" s="4">
        <v>3.5134645139E10</v>
      </c>
      <c r="I547" s="4">
        <v>3.7251592742E10</v>
      </c>
      <c r="J547" s="5">
        <v>45298.46527777778</v>
      </c>
      <c r="K547" s="5">
        <v>45450.88680555556</v>
      </c>
      <c r="L547" s="4">
        <v>7.67</v>
      </c>
      <c r="M547" s="4">
        <v>3368.17</v>
      </c>
      <c r="N547" s="4">
        <v>3368.0</v>
      </c>
      <c r="O547" s="4">
        <v>279544.0</v>
      </c>
      <c r="P547" s="4">
        <f t="shared" si="1"/>
        <v>130.1166667</v>
      </c>
      <c r="Q547" s="4" t="str">
        <f t="shared" si="2"/>
        <v>Underutilized</v>
      </c>
      <c r="R547" s="1" t="str">
        <f t="shared" si="3"/>
        <v>Normal</v>
      </c>
      <c r="S547" s="4">
        <f t="shared" si="4"/>
        <v>67.41493743</v>
      </c>
      <c r="T547" s="1" t="str">
        <f t="shared" si="5"/>
        <v>High Cost</v>
      </c>
      <c r="U547" s="4">
        <f t="shared" si="6"/>
        <v>0.01033289929</v>
      </c>
    </row>
    <row r="548">
      <c r="A548" s="4" t="s">
        <v>1255</v>
      </c>
      <c r="B548" s="4" t="s">
        <v>66</v>
      </c>
      <c r="C548" s="4">
        <v>139.8127</v>
      </c>
      <c r="D548" s="4" t="s">
        <v>21</v>
      </c>
      <c r="E548" s="4" t="s">
        <v>123</v>
      </c>
      <c r="F548" s="4">
        <v>36.36</v>
      </c>
      <c r="G548" s="4">
        <v>12.6</v>
      </c>
      <c r="H548" s="4">
        <v>2.707689102E9</v>
      </c>
      <c r="I548" s="4">
        <v>7.586503982E9</v>
      </c>
      <c r="J548" s="5">
        <v>45512.9875</v>
      </c>
      <c r="K548" s="5">
        <v>45634.055555555555</v>
      </c>
      <c r="L548" s="4">
        <v>8.65</v>
      </c>
      <c r="M548" s="4">
        <v>1209.38</v>
      </c>
      <c r="N548" s="4">
        <v>1209.0</v>
      </c>
      <c r="O548" s="4">
        <v>100347.0</v>
      </c>
      <c r="P548" s="4">
        <f t="shared" si="1"/>
        <v>73.63333333</v>
      </c>
      <c r="Q548" s="4" t="str">
        <f t="shared" si="2"/>
        <v>Normal</v>
      </c>
      <c r="R548" s="1" t="str">
        <f t="shared" si="3"/>
        <v>Underutilized</v>
      </c>
      <c r="S548" s="4">
        <f t="shared" si="4"/>
        <v>9.587214407</v>
      </c>
      <c r="T548" s="1" t="str">
        <f t="shared" si="5"/>
        <v>Normal Cost</v>
      </c>
      <c r="U548" s="4">
        <f t="shared" si="6"/>
        <v>0.02439534814</v>
      </c>
    </row>
    <row r="549">
      <c r="A549" s="4" t="s">
        <v>1256</v>
      </c>
      <c r="B549" s="4" t="s">
        <v>60</v>
      </c>
      <c r="C549" s="4">
        <v>33.9333</v>
      </c>
      <c r="D549" s="4" t="s">
        <v>42</v>
      </c>
      <c r="E549" s="4" t="s">
        <v>32</v>
      </c>
      <c r="F549" s="4">
        <v>5.08</v>
      </c>
      <c r="G549" s="4">
        <v>95.79</v>
      </c>
      <c r="H549" s="4">
        <v>3.6443878481E10</v>
      </c>
      <c r="I549" s="4">
        <v>4.3988606214E10</v>
      </c>
      <c r="J549" s="4" t="s">
        <v>1257</v>
      </c>
      <c r="K549" s="4" t="s">
        <v>1258</v>
      </c>
      <c r="L549" s="4">
        <v>6.0</v>
      </c>
      <c r="M549" s="4">
        <v>203.6</v>
      </c>
      <c r="N549" s="4">
        <v>204.0</v>
      </c>
      <c r="O549" s="4">
        <v>16932.0</v>
      </c>
      <c r="P549" s="4">
        <f t="shared" si="1"/>
        <v>33.93333333</v>
      </c>
      <c r="Q549" s="4" t="str">
        <f t="shared" si="2"/>
        <v>Underutilized</v>
      </c>
      <c r="R549" s="1" t="str">
        <f t="shared" si="3"/>
        <v>High</v>
      </c>
      <c r="S549" s="4">
        <f t="shared" si="4"/>
        <v>74.90858873</v>
      </c>
      <c r="T549" s="1" t="str">
        <f t="shared" si="5"/>
        <v>Normal Cost</v>
      </c>
      <c r="U549" s="4">
        <f t="shared" si="6"/>
        <v>0.2978679424</v>
      </c>
    </row>
    <row r="550">
      <c r="A550" s="4" t="s">
        <v>1259</v>
      </c>
      <c r="B550" s="4" t="s">
        <v>128</v>
      </c>
      <c r="C550" s="4">
        <v>983.2136</v>
      </c>
      <c r="D550" s="4" t="s">
        <v>17</v>
      </c>
      <c r="E550" s="4" t="s">
        <v>37</v>
      </c>
      <c r="F550" s="4">
        <v>8.79</v>
      </c>
      <c r="G550" s="4">
        <v>61.74</v>
      </c>
      <c r="H550" s="4">
        <v>5.708649608E10</v>
      </c>
      <c r="I550" s="4">
        <v>6.414697506E10</v>
      </c>
      <c r="J550" s="4" t="s">
        <v>1260</v>
      </c>
      <c r="K550" s="4" t="s">
        <v>1261</v>
      </c>
      <c r="L550" s="4">
        <v>8.9</v>
      </c>
      <c r="M550" s="4">
        <v>8750.6</v>
      </c>
      <c r="N550" s="4">
        <v>8751.0</v>
      </c>
      <c r="O550" s="4">
        <v>726333.0</v>
      </c>
      <c r="P550" s="4">
        <f t="shared" si="1"/>
        <v>87.26666667</v>
      </c>
      <c r="Q550" s="4" t="str">
        <f t="shared" si="2"/>
        <v>Underutilized</v>
      </c>
      <c r="R550" s="1" t="str">
        <f t="shared" si="3"/>
        <v>Normal</v>
      </c>
      <c r="S550" s="4">
        <f t="shared" si="4"/>
        <v>112.9074685</v>
      </c>
      <c r="T550" s="1" t="str">
        <f t="shared" si="5"/>
        <v>High Cost</v>
      </c>
      <c r="U550" s="4">
        <f t="shared" si="6"/>
        <v>0.00485521104</v>
      </c>
    </row>
    <row r="551">
      <c r="A551" s="4" t="s">
        <v>1262</v>
      </c>
      <c r="B551" s="4" t="s">
        <v>147</v>
      </c>
      <c r="C551" s="4">
        <v>68.5167</v>
      </c>
      <c r="D551" s="4" t="s">
        <v>42</v>
      </c>
      <c r="E551" s="4" t="s">
        <v>37</v>
      </c>
      <c r="F551" s="4">
        <v>56.01</v>
      </c>
      <c r="G551" s="4">
        <v>51.42</v>
      </c>
      <c r="H551" s="4">
        <v>4.1665426239E10</v>
      </c>
      <c r="I551" s="4">
        <v>4.350596649E10</v>
      </c>
      <c r="J551" s="4" t="s">
        <v>1263</v>
      </c>
      <c r="K551" s="4" t="s">
        <v>1264</v>
      </c>
      <c r="L551" s="4">
        <v>8.54</v>
      </c>
      <c r="M551" s="4">
        <v>585.13</v>
      </c>
      <c r="N551" s="4">
        <v>585.0</v>
      </c>
      <c r="O551" s="4">
        <v>48555.0</v>
      </c>
      <c r="P551" s="4">
        <f t="shared" si="1"/>
        <v>68.51666667</v>
      </c>
      <c r="Q551" s="4" t="str">
        <f t="shared" si="2"/>
        <v>Normal</v>
      </c>
      <c r="R551" s="1" t="str">
        <f t="shared" si="3"/>
        <v>Normal</v>
      </c>
      <c r="S551" s="4">
        <f t="shared" si="4"/>
        <v>79.32204076</v>
      </c>
      <c r="T551" s="1" t="str">
        <f t="shared" si="5"/>
        <v>Normal Cost</v>
      </c>
      <c r="U551" s="4">
        <f t="shared" si="6"/>
        <v>0.1106271239</v>
      </c>
    </row>
    <row r="552">
      <c r="A552" s="4" t="s">
        <v>1265</v>
      </c>
      <c r="B552" s="4" t="s">
        <v>26</v>
      </c>
      <c r="C552" s="4">
        <v>668.9061</v>
      </c>
      <c r="D552" s="4" t="s">
        <v>17</v>
      </c>
      <c r="E552" s="4" t="s">
        <v>54</v>
      </c>
      <c r="F552" s="4">
        <v>64.24</v>
      </c>
      <c r="G552" s="4">
        <v>46.71</v>
      </c>
      <c r="H552" s="4">
        <v>6.6275745278E10</v>
      </c>
      <c r="I552" s="4">
        <v>7.524380418E10</v>
      </c>
      <c r="J552" s="5">
        <v>45298.32013888889</v>
      </c>
      <c r="K552" s="5">
        <v>45389.43402777778</v>
      </c>
      <c r="L552" s="4">
        <v>5.96</v>
      </c>
      <c r="M552" s="4">
        <v>3986.68</v>
      </c>
      <c r="N552" s="4">
        <v>3987.0</v>
      </c>
      <c r="O552" s="4">
        <v>330921.0</v>
      </c>
      <c r="P552" s="4">
        <f t="shared" si="1"/>
        <v>74.73333333</v>
      </c>
      <c r="Q552" s="4" t="str">
        <f t="shared" si="2"/>
        <v>Normal</v>
      </c>
      <c r="R552" s="1" t="str">
        <f t="shared" si="3"/>
        <v>Normal</v>
      </c>
      <c r="S552" s="4">
        <f t="shared" si="4"/>
        <v>131.8003512</v>
      </c>
      <c r="T552" s="1" t="str">
        <f t="shared" si="5"/>
        <v>High Cost</v>
      </c>
      <c r="U552" s="4">
        <f t="shared" si="6"/>
        <v>0.01676381976</v>
      </c>
    </row>
    <row r="553">
      <c r="A553" s="4" t="s">
        <v>1266</v>
      </c>
      <c r="B553" s="4" t="s">
        <v>62</v>
      </c>
      <c r="C553" s="4">
        <v>70.9833</v>
      </c>
      <c r="D553" s="4" t="s">
        <v>42</v>
      </c>
      <c r="E553" s="4" t="s">
        <v>123</v>
      </c>
      <c r="F553" s="4">
        <v>59.38</v>
      </c>
      <c r="G553" s="4">
        <v>77.29</v>
      </c>
      <c r="H553" s="4">
        <v>9.9506684814E10</v>
      </c>
      <c r="I553" s="6">
        <v>1.00645E11</v>
      </c>
      <c r="J553" s="4" t="s">
        <v>1267</v>
      </c>
      <c r="K553" s="4" t="s">
        <v>1268</v>
      </c>
      <c r="L553" s="4">
        <v>8.0</v>
      </c>
      <c r="M553" s="4">
        <v>567.87</v>
      </c>
      <c r="N553" s="4">
        <v>568.0</v>
      </c>
      <c r="O553" s="4">
        <v>47144.0</v>
      </c>
      <c r="P553" s="4">
        <f t="shared" si="1"/>
        <v>70.98333333</v>
      </c>
      <c r="Q553" s="4" t="str">
        <f t="shared" si="2"/>
        <v>Normal</v>
      </c>
      <c r="R553" s="1" t="str">
        <f t="shared" si="3"/>
        <v>High</v>
      </c>
      <c r="S553" s="6">
        <f t="shared" si="4"/>
        <v>186.4057824</v>
      </c>
      <c r="T553" s="1" t="str">
        <f t="shared" si="5"/>
        <v>Normal Cost</v>
      </c>
      <c r="U553" s="4">
        <f t="shared" si="6"/>
        <v>0.1449495164</v>
      </c>
    </row>
    <row r="554">
      <c r="A554" s="4" t="s">
        <v>1269</v>
      </c>
      <c r="B554" s="4" t="s">
        <v>273</v>
      </c>
      <c r="C554" s="4">
        <v>399.8697</v>
      </c>
      <c r="D554" s="4" t="s">
        <v>17</v>
      </c>
      <c r="E554" s="4" t="s">
        <v>58</v>
      </c>
      <c r="F554" s="4">
        <v>44.3</v>
      </c>
      <c r="G554" s="4">
        <v>51.81</v>
      </c>
      <c r="H554" s="4">
        <v>2.2227345114E10</v>
      </c>
      <c r="I554" s="4">
        <v>2.2583927548E10</v>
      </c>
      <c r="J554" s="4" t="s">
        <v>1270</v>
      </c>
      <c r="K554" s="4" t="s">
        <v>1271</v>
      </c>
      <c r="L554" s="4">
        <v>6.54</v>
      </c>
      <c r="M554" s="4">
        <v>2615.15</v>
      </c>
      <c r="N554" s="4">
        <v>2615.0</v>
      </c>
      <c r="O554" s="4">
        <v>217045.0</v>
      </c>
      <c r="P554" s="4">
        <f t="shared" si="1"/>
        <v>64.66666667</v>
      </c>
      <c r="Q554" s="4" t="str">
        <f t="shared" si="2"/>
        <v>Normal</v>
      </c>
      <c r="R554" s="1" t="str">
        <f t="shared" si="3"/>
        <v>Normal</v>
      </c>
      <c r="S554" s="4">
        <f t="shared" si="4"/>
        <v>41.73374983</v>
      </c>
      <c r="T554" s="1" t="str">
        <f t="shared" si="5"/>
        <v>High Cost</v>
      </c>
      <c r="U554" s="4">
        <f t="shared" si="6"/>
        <v>0.02214056993</v>
      </c>
    </row>
    <row r="555">
      <c r="A555" s="4" t="s">
        <v>1272</v>
      </c>
      <c r="B555" s="4" t="s">
        <v>183</v>
      </c>
      <c r="C555" s="4">
        <v>661.8909</v>
      </c>
      <c r="D555" s="4" t="s">
        <v>21</v>
      </c>
      <c r="E555" s="4" t="s">
        <v>54</v>
      </c>
      <c r="F555" s="4">
        <v>97.45</v>
      </c>
      <c r="G555" s="4">
        <v>33.87</v>
      </c>
      <c r="H555" s="4">
        <v>4.7400717792E10</v>
      </c>
      <c r="I555" s="4">
        <v>5.0656729309E10</v>
      </c>
      <c r="J555" s="5">
        <v>45358.53402777778</v>
      </c>
      <c r="K555" s="5">
        <v>45480.001388888886</v>
      </c>
      <c r="L555" s="4">
        <v>1.89</v>
      </c>
      <c r="M555" s="4">
        <v>1250.97</v>
      </c>
      <c r="N555" s="4">
        <v>1251.0</v>
      </c>
      <c r="O555" s="4">
        <v>103833.0</v>
      </c>
      <c r="P555" s="4">
        <f t="shared" si="1"/>
        <v>83.21666667</v>
      </c>
      <c r="Q555" s="4" t="str">
        <f t="shared" si="2"/>
        <v>High</v>
      </c>
      <c r="R555" s="1" t="str">
        <f t="shared" si="3"/>
        <v>Underutilized</v>
      </c>
      <c r="S555" s="4">
        <f t="shared" si="4"/>
        <v>91.32311409</v>
      </c>
      <c r="T555" s="1" t="str">
        <f t="shared" si="5"/>
        <v>Normal Cost</v>
      </c>
      <c r="U555" s="4">
        <f t="shared" si="6"/>
        <v>0.06323615806</v>
      </c>
    </row>
    <row r="556">
      <c r="A556" s="4" t="s">
        <v>1273</v>
      </c>
      <c r="B556" s="4" t="s">
        <v>53</v>
      </c>
      <c r="C556" s="4">
        <v>133.9256</v>
      </c>
      <c r="D556" s="4" t="s">
        <v>17</v>
      </c>
      <c r="E556" s="4" t="s">
        <v>105</v>
      </c>
      <c r="F556" s="4">
        <v>42.83</v>
      </c>
      <c r="G556" s="4">
        <v>23.04</v>
      </c>
      <c r="H556" s="4">
        <v>7.407345405E10</v>
      </c>
      <c r="I556" s="4">
        <v>8.0762114631E10</v>
      </c>
      <c r="J556" s="4" t="s">
        <v>1274</v>
      </c>
      <c r="K556" s="4" t="s">
        <v>1275</v>
      </c>
      <c r="L556" s="4">
        <v>4.5</v>
      </c>
      <c r="M556" s="4">
        <v>602.67</v>
      </c>
      <c r="N556" s="4">
        <v>603.0</v>
      </c>
      <c r="O556" s="4">
        <v>50049.0</v>
      </c>
      <c r="P556" s="4">
        <f t="shared" si="1"/>
        <v>37.91666667</v>
      </c>
      <c r="Q556" s="4" t="str">
        <f t="shared" si="2"/>
        <v>Normal</v>
      </c>
      <c r="R556" s="1" t="str">
        <f t="shared" si="3"/>
        <v>Underutilized</v>
      </c>
      <c r="S556" s="4">
        <f t="shared" si="4"/>
        <v>144.2018605</v>
      </c>
      <c r="T556" s="1" t="str">
        <f t="shared" si="5"/>
        <v>Normal Cost</v>
      </c>
      <c r="U556" s="4">
        <f t="shared" si="6"/>
        <v>0.0658055106</v>
      </c>
    </row>
    <row r="557">
      <c r="A557" s="4" t="s">
        <v>1276</v>
      </c>
      <c r="B557" s="4" t="s">
        <v>16</v>
      </c>
      <c r="C557" s="4">
        <v>104.7603</v>
      </c>
      <c r="D557" s="4" t="s">
        <v>21</v>
      </c>
      <c r="E557" s="4" t="s">
        <v>123</v>
      </c>
      <c r="F557" s="4">
        <v>47.39</v>
      </c>
      <c r="G557" s="4">
        <v>38.48</v>
      </c>
      <c r="H557" s="4">
        <v>9.2008303208E10</v>
      </c>
      <c r="I557" s="4">
        <v>9.9187474674E10</v>
      </c>
      <c r="J557" s="4" t="s">
        <v>1277</v>
      </c>
      <c r="K557" s="4" t="s">
        <v>1278</v>
      </c>
      <c r="L557" s="4">
        <v>2.02</v>
      </c>
      <c r="M557" s="4">
        <v>211.62</v>
      </c>
      <c r="N557" s="4">
        <v>212.0</v>
      </c>
      <c r="O557" s="4">
        <v>17596.0</v>
      </c>
      <c r="P557" s="4">
        <f t="shared" si="1"/>
        <v>75.8</v>
      </c>
      <c r="Q557" s="4" t="str">
        <f t="shared" si="2"/>
        <v>Normal</v>
      </c>
      <c r="R557" s="1" t="str">
        <f t="shared" si="3"/>
        <v>Underutilized</v>
      </c>
      <c r="S557" s="4">
        <f t="shared" si="4"/>
        <v>178.0649441</v>
      </c>
      <c r="T557" s="1" t="str">
        <f t="shared" si="5"/>
        <v>Normal Cost</v>
      </c>
      <c r="U557" s="4">
        <f t="shared" si="6"/>
        <v>0.2440043192</v>
      </c>
    </row>
    <row r="558">
      <c r="A558" s="4" t="s">
        <v>1279</v>
      </c>
      <c r="B558" s="4" t="s">
        <v>46</v>
      </c>
      <c r="C558" s="4">
        <v>952.6501</v>
      </c>
      <c r="D558" s="4" t="s">
        <v>17</v>
      </c>
      <c r="E558" s="4" t="s">
        <v>58</v>
      </c>
      <c r="F558" s="4">
        <v>6.97</v>
      </c>
      <c r="G558" s="4">
        <v>29.33</v>
      </c>
      <c r="H558" s="4">
        <v>7.430082041E10</v>
      </c>
      <c r="I558" s="4">
        <v>7.5338702575E10</v>
      </c>
      <c r="J558" s="4" t="s">
        <v>1280</v>
      </c>
      <c r="K558" s="5">
        <v>45451.11944444444</v>
      </c>
      <c r="L558" s="4">
        <v>7.4</v>
      </c>
      <c r="M558" s="4">
        <v>7049.61</v>
      </c>
      <c r="N558" s="4">
        <v>7050.0</v>
      </c>
      <c r="O558" s="4">
        <v>585150.0</v>
      </c>
      <c r="P558" s="4">
        <f t="shared" si="1"/>
        <v>133.1333333</v>
      </c>
      <c r="Q558" s="4" t="str">
        <f t="shared" si="2"/>
        <v>Underutilized</v>
      </c>
      <c r="R558" s="1" t="str">
        <f t="shared" si="3"/>
        <v>Underutilized</v>
      </c>
      <c r="S558" s="4">
        <f t="shared" si="4"/>
        <v>139.3626658</v>
      </c>
      <c r="T558" s="1" t="str">
        <f t="shared" si="5"/>
        <v>High Cost</v>
      </c>
      <c r="U558" s="4">
        <f t="shared" si="6"/>
        <v>0.003101768777</v>
      </c>
    </row>
    <row r="559">
      <c r="A559" s="4" t="s">
        <v>1281</v>
      </c>
      <c r="B559" s="4" t="s">
        <v>53</v>
      </c>
      <c r="C559" s="4">
        <v>47.7975</v>
      </c>
      <c r="D559" s="4" t="s">
        <v>21</v>
      </c>
      <c r="E559" s="4" t="s">
        <v>22</v>
      </c>
      <c r="F559" s="4">
        <v>14.61</v>
      </c>
      <c r="G559" s="4">
        <v>58.3</v>
      </c>
      <c r="H559" s="4">
        <v>2.0945802878E10</v>
      </c>
      <c r="I559" s="4">
        <v>2.7359115076E10</v>
      </c>
      <c r="J559" s="4" t="s">
        <v>1282</v>
      </c>
      <c r="K559" s="4" t="s">
        <v>1283</v>
      </c>
      <c r="L559" s="4">
        <v>8.94</v>
      </c>
      <c r="M559" s="4">
        <v>427.31</v>
      </c>
      <c r="N559" s="4">
        <v>427.0</v>
      </c>
      <c r="O559" s="4">
        <v>35441.0</v>
      </c>
      <c r="P559" s="4">
        <f t="shared" si="1"/>
        <v>134.9</v>
      </c>
      <c r="Q559" s="4" t="str">
        <f t="shared" si="2"/>
        <v>Underutilized</v>
      </c>
      <c r="R559" s="1" t="str">
        <f t="shared" si="3"/>
        <v>Normal</v>
      </c>
      <c r="S559" s="4">
        <f t="shared" si="4"/>
        <v>44.98746056</v>
      </c>
      <c r="T559" s="1" t="str">
        <f t="shared" si="5"/>
        <v>Normal Cost</v>
      </c>
      <c r="U559" s="4">
        <f t="shared" si="6"/>
        <v>0.1028610931</v>
      </c>
    </row>
    <row r="560">
      <c r="A560" s="4" t="s">
        <v>1284</v>
      </c>
      <c r="B560" s="4" t="s">
        <v>53</v>
      </c>
      <c r="C560" s="4">
        <v>244.9716</v>
      </c>
      <c r="D560" s="4" t="s">
        <v>17</v>
      </c>
      <c r="E560" s="4" t="s">
        <v>70</v>
      </c>
      <c r="F560" s="4">
        <v>60.59</v>
      </c>
      <c r="G560" s="4">
        <v>24.0</v>
      </c>
      <c r="H560" s="4">
        <v>1.7152367E10</v>
      </c>
      <c r="I560" s="4">
        <v>2.5291730468E10</v>
      </c>
      <c r="J560" s="4" t="s">
        <v>1285</v>
      </c>
      <c r="K560" s="4" t="s">
        <v>1286</v>
      </c>
      <c r="L560" s="4">
        <v>5.57</v>
      </c>
      <c r="M560" s="4">
        <v>1364.49</v>
      </c>
      <c r="N560" s="4">
        <v>1364.0</v>
      </c>
      <c r="O560" s="4">
        <v>113212.0</v>
      </c>
      <c r="P560" s="4">
        <f t="shared" si="1"/>
        <v>141.25</v>
      </c>
      <c r="Q560" s="4" t="str">
        <f t="shared" si="2"/>
        <v>Normal</v>
      </c>
      <c r="R560" s="1" t="str">
        <f t="shared" si="3"/>
        <v>Underutilized</v>
      </c>
      <c r="S560" s="4">
        <f t="shared" si="4"/>
        <v>39.52914613</v>
      </c>
      <c r="T560" s="1" t="str">
        <f t="shared" si="5"/>
        <v>Normal Cost</v>
      </c>
      <c r="U560" s="4">
        <f t="shared" si="6"/>
        <v>0.03735911387</v>
      </c>
    </row>
    <row r="561">
      <c r="A561" s="4" t="s">
        <v>1287</v>
      </c>
      <c r="B561" s="4" t="s">
        <v>128</v>
      </c>
      <c r="C561" s="4">
        <v>908.6697</v>
      </c>
      <c r="D561" s="4" t="s">
        <v>21</v>
      </c>
      <c r="E561" s="4" t="s">
        <v>58</v>
      </c>
      <c r="F561" s="4">
        <v>38.37</v>
      </c>
      <c r="G561" s="4">
        <v>95.07</v>
      </c>
      <c r="H561" s="4">
        <v>7.227149701E10</v>
      </c>
      <c r="I561" s="4">
        <v>7.2781188808E10</v>
      </c>
      <c r="J561" s="5">
        <v>45573.308333333334</v>
      </c>
      <c r="K561" s="5">
        <v>45634.205555555556</v>
      </c>
      <c r="L561" s="4">
        <v>8.88</v>
      </c>
      <c r="M561" s="4">
        <v>8068.99</v>
      </c>
      <c r="N561" s="4">
        <v>8069.0</v>
      </c>
      <c r="O561" s="4">
        <v>669727.0</v>
      </c>
      <c r="P561" s="4">
        <f t="shared" si="1"/>
        <v>45.53333333</v>
      </c>
      <c r="Q561" s="4" t="str">
        <f t="shared" si="2"/>
        <v>Normal</v>
      </c>
      <c r="R561" s="1" t="str">
        <f t="shared" si="3"/>
        <v>High</v>
      </c>
      <c r="S561" s="4">
        <f t="shared" si="4"/>
        <v>135.0908408</v>
      </c>
      <c r="T561" s="1" t="str">
        <f t="shared" si="5"/>
        <v>High Cost</v>
      </c>
      <c r="U561" s="4">
        <f t="shared" si="6"/>
        <v>0.009962268208</v>
      </c>
    </row>
    <row r="562">
      <c r="A562" s="4" t="s">
        <v>1288</v>
      </c>
      <c r="B562" s="4" t="s">
        <v>83</v>
      </c>
      <c r="C562" s="4">
        <v>81.0727</v>
      </c>
      <c r="D562" s="4" t="s">
        <v>17</v>
      </c>
      <c r="E562" s="4" t="s">
        <v>123</v>
      </c>
      <c r="F562" s="4">
        <v>62.74</v>
      </c>
      <c r="G562" s="4">
        <v>66.9</v>
      </c>
      <c r="H562" s="4">
        <v>7.1228556714E10</v>
      </c>
      <c r="I562" s="4">
        <v>7.4440686236E10</v>
      </c>
      <c r="J562" s="4" t="s">
        <v>1289</v>
      </c>
      <c r="K562" s="4" t="s">
        <v>1290</v>
      </c>
      <c r="L562" s="4">
        <v>4.84</v>
      </c>
      <c r="M562" s="4">
        <v>392.39</v>
      </c>
      <c r="N562" s="4">
        <v>392.0</v>
      </c>
      <c r="O562" s="4">
        <v>32536.0</v>
      </c>
      <c r="P562" s="4">
        <f t="shared" si="1"/>
        <v>45.01666667</v>
      </c>
      <c r="Q562" s="4" t="str">
        <f t="shared" si="2"/>
        <v>Normal</v>
      </c>
      <c r="R562" s="1" t="str">
        <f t="shared" si="3"/>
        <v>Normal</v>
      </c>
      <c r="S562" s="4">
        <f t="shared" si="4"/>
        <v>135.6650544</v>
      </c>
      <c r="T562" s="1" t="str">
        <f t="shared" si="5"/>
        <v>Normal Cost</v>
      </c>
      <c r="U562" s="4">
        <f t="shared" si="6"/>
        <v>0.1992254733</v>
      </c>
    </row>
    <row r="563">
      <c r="A563" s="4" t="s">
        <v>1291</v>
      </c>
      <c r="B563" s="4" t="s">
        <v>60</v>
      </c>
      <c r="C563" s="4">
        <v>24.2667</v>
      </c>
      <c r="D563" s="4" t="s">
        <v>42</v>
      </c>
      <c r="E563" s="4" t="s">
        <v>32</v>
      </c>
      <c r="F563" s="4">
        <v>51.72</v>
      </c>
      <c r="G563" s="4">
        <v>22.33</v>
      </c>
      <c r="H563" s="4">
        <v>6.676334712E10</v>
      </c>
      <c r="I563" s="4">
        <v>7.4879957464E10</v>
      </c>
      <c r="J563" s="4" t="s">
        <v>1292</v>
      </c>
      <c r="K563" s="4" t="s">
        <v>1293</v>
      </c>
      <c r="L563" s="4">
        <v>2.7</v>
      </c>
      <c r="M563" s="4">
        <v>65.52</v>
      </c>
      <c r="N563" s="4">
        <v>66.0</v>
      </c>
      <c r="O563" s="4">
        <v>5478.0</v>
      </c>
      <c r="P563" s="4">
        <f t="shared" si="1"/>
        <v>24.26666667</v>
      </c>
      <c r="Q563" s="4" t="str">
        <f t="shared" si="2"/>
        <v>Normal</v>
      </c>
      <c r="R563" s="1" t="str">
        <f t="shared" si="3"/>
        <v>Underutilized</v>
      </c>
      <c r="S563" s="4">
        <f t="shared" si="4"/>
        <v>131.9156071</v>
      </c>
      <c r="T563" s="1" t="str">
        <f t="shared" si="5"/>
        <v>Normal Cost</v>
      </c>
      <c r="U563" s="4">
        <f t="shared" si="6"/>
        <v>0.6758853596</v>
      </c>
    </row>
    <row r="564">
      <c r="A564" s="4" t="s">
        <v>1294</v>
      </c>
      <c r="B564" s="4" t="s">
        <v>57</v>
      </c>
      <c r="C564" s="4">
        <v>184.2222</v>
      </c>
      <c r="D564" s="4" t="s">
        <v>17</v>
      </c>
      <c r="E564" s="4" t="s">
        <v>58</v>
      </c>
      <c r="F564" s="4">
        <v>11.3</v>
      </c>
      <c r="G564" s="4">
        <v>28.26</v>
      </c>
      <c r="H564" s="4">
        <v>1.465636726E10</v>
      </c>
      <c r="I564" s="4">
        <v>1.6707749412E10</v>
      </c>
      <c r="J564" s="4" t="s">
        <v>1295</v>
      </c>
      <c r="K564" s="4" t="s">
        <v>1296</v>
      </c>
      <c r="L564" s="4">
        <v>6.1</v>
      </c>
      <c r="M564" s="4">
        <v>1123.76</v>
      </c>
      <c r="N564" s="4">
        <v>1124.0</v>
      </c>
      <c r="O564" s="4">
        <v>93292.0</v>
      </c>
      <c r="P564" s="4">
        <f t="shared" si="1"/>
        <v>127.1166667</v>
      </c>
      <c r="Q564" s="4" t="str">
        <f t="shared" si="2"/>
        <v>Underutilized</v>
      </c>
      <c r="R564" s="1" t="str">
        <f t="shared" si="3"/>
        <v>Underutilized</v>
      </c>
      <c r="S564" s="4">
        <f t="shared" si="4"/>
        <v>29.21010989</v>
      </c>
      <c r="T564" s="1" t="str">
        <f t="shared" si="5"/>
        <v>Normal Cost</v>
      </c>
      <c r="U564" s="4">
        <f t="shared" si="6"/>
        <v>0.02120224671</v>
      </c>
    </row>
    <row r="565">
      <c r="A565" s="4" t="s">
        <v>1297</v>
      </c>
      <c r="B565" s="4" t="s">
        <v>31</v>
      </c>
      <c r="C565" s="4">
        <v>978.7496</v>
      </c>
      <c r="D565" s="4" t="s">
        <v>17</v>
      </c>
      <c r="E565" s="4" t="s">
        <v>155</v>
      </c>
      <c r="F565" s="4">
        <v>26.6</v>
      </c>
      <c r="G565" s="4">
        <v>26.62</v>
      </c>
      <c r="H565" s="4">
        <v>6.4347112189E10</v>
      </c>
      <c r="I565" s="4">
        <v>7.3020301103E10</v>
      </c>
      <c r="J565" s="4" t="s">
        <v>1298</v>
      </c>
      <c r="K565" s="4" t="s">
        <v>1299</v>
      </c>
      <c r="L565" s="4">
        <v>6.37</v>
      </c>
      <c r="M565" s="4">
        <v>6234.63</v>
      </c>
      <c r="N565" s="4">
        <v>6235.0</v>
      </c>
      <c r="O565" s="4">
        <v>517505.0</v>
      </c>
      <c r="P565" s="4">
        <f t="shared" si="1"/>
        <v>113</v>
      </c>
      <c r="Q565" s="4" t="str">
        <f t="shared" si="2"/>
        <v>Underutilized</v>
      </c>
      <c r="R565" s="1" t="str">
        <f t="shared" si="3"/>
        <v>Underutilized</v>
      </c>
      <c r="S565" s="4">
        <f t="shared" si="4"/>
        <v>127.933373</v>
      </c>
      <c r="T565" s="1" t="str">
        <f t="shared" si="5"/>
        <v>High Cost</v>
      </c>
      <c r="U565" s="4">
        <f t="shared" si="6"/>
        <v>0.005141979305</v>
      </c>
    </row>
    <row r="566">
      <c r="A566" s="4" t="s">
        <v>1300</v>
      </c>
      <c r="B566" s="4" t="s">
        <v>122</v>
      </c>
      <c r="C566" s="4">
        <v>962.1663</v>
      </c>
      <c r="D566" s="4" t="s">
        <v>21</v>
      </c>
      <c r="E566" s="4" t="s">
        <v>22</v>
      </c>
      <c r="F566" s="4">
        <v>87.07</v>
      </c>
      <c r="G566" s="4">
        <v>33.92</v>
      </c>
      <c r="H566" s="4">
        <v>8.9586422372E10</v>
      </c>
      <c r="I566" s="4">
        <v>9.9534812241E10</v>
      </c>
      <c r="J566" s="4" t="s">
        <v>1301</v>
      </c>
      <c r="K566" s="4" t="s">
        <v>1302</v>
      </c>
      <c r="L566" s="4">
        <v>1.98</v>
      </c>
      <c r="M566" s="4">
        <v>1905.09</v>
      </c>
      <c r="N566" s="4">
        <v>1905.0</v>
      </c>
      <c r="O566" s="4">
        <v>158115.0</v>
      </c>
      <c r="P566" s="4">
        <f t="shared" si="1"/>
        <v>87.18333333</v>
      </c>
      <c r="Q566" s="4" t="str">
        <f t="shared" si="2"/>
        <v>High</v>
      </c>
      <c r="R566" s="1" t="str">
        <f t="shared" si="3"/>
        <v>Underutilized</v>
      </c>
      <c r="S566" s="4">
        <f t="shared" si="4"/>
        <v>176.1328751</v>
      </c>
      <c r="T566" s="1" t="str">
        <f t="shared" si="5"/>
        <v>Normal Cost</v>
      </c>
      <c r="U566" s="4">
        <f t="shared" si="6"/>
        <v>0.03826012712</v>
      </c>
    </row>
    <row r="567">
      <c r="A567" s="4" t="s">
        <v>1303</v>
      </c>
      <c r="B567" s="4" t="s">
        <v>62</v>
      </c>
      <c r="C567" s="4">
        <v>28.6667</v>
      </c>
      <c r="D567" s="4" t="s">
        <v>42</v>
      </c>
      <c r="E567" s="4" t="s">
        <v>22</v>
      </c>
      <c r="F567" s="4">
        <v>23.39</v>
      </c>
      <c r="G567" s="4">
        <v>56.76</v>
      </c>
      <c r="H567" s="4">
        <v>7.8184512938E10</v>
      </c>
      <c r="I567" s="4">
        <v>8.6307836887E10</v>
      </c>
      <c r="J567" s="5">
        <v>45572.54305555556</v>
      </c>
      <c r="K567" s="5">
        <v>45603.7375</v>
      </c>
      <c r="L567" s="4">
        <v>8.07</v>
      </c>
      <c r="M567" s="4">
        <v>231.34</v>
      </c>
      <c r="N567" s="4">
        <v>231.0</v>
      </c>
      <c r="O567" s="4">
        <v>19173.0</v>
      </c>
      <c r="P567" s="4">
        <f t="shared" si="1"/>
        <v>28.66666667</v>
      </c>
      <c r="Q567" s="4" t="str">
        <f t="shared" si="2"/>
        <v>Underutilized</v>
      </c>
      <c r="R567" s="1" t="str">
        <f t="shared" si="3"/>
        <v>Normal</v>
      </c>
      <c r="S567" s="4">
        <f t="shared" si="4"/>
        <v>153.1954387</v>
      </c>
      <c r="T567" s="1" t="str">
        <f t="shared" si="5"/>
        <v>Normal Cost</v>
      </c>
      <c r="U567" s="4">
        <f t="shared" si="6"/>
        <v>0.2090178897</v>
      </c>
    </row>
    <row r="568">
      <c r="A568" s="4" t="s">
        <v>1304</v>
      </c>
      <c r="B568" s="4" t="s">
        <v>16</v>
      </c>
      <c r="C568" s="4">
        <v>311.0466</v>
      </c>
      <c r="D568" s="4" t="s">
        <v>17</v>
      </c>
      <c r="E568" s="4" t="s">
        <v>155</v>
      </c>
      <c r="F568" s="4">
        <v>99.52</v>
      </c>
      <c r="G568" s="4">
        <v>22.92</v>
      </c>
      <c r="H568" s="4">
        <v>5.6304430755E10</v>
      </c>
      <c r="I568" s="4">
        <v>6.3655689339E10</v>
      </c>
      <c r="J568" s="4" t="s">
        <v>1305</v>
      </c>
      <c r="K568" s="4" t="s">
        <v>1306</v>
      </c>
      <c r="L568" s="4">
        <v>5.58</v>
      </c>
      <c r="M568" s="4">
        <v>1735.64</v>
      </c>
      <c r="N568" s="4">
        <v>1736.0</v>
      </c>
      <c r="O568" s="4">
        <v>144088.0</v>
      </c>
      <c r="P568" s="4">
        <f t="shared" si="1"/>
        <v>63.41666667</v>
      </c>
      <c r="Q568" s="4" t="str">
        <f t="shared" si="2"/>
        <v>High</v>
      </c>
      <c r="R568" s="1" t="str">
        <f t="shared" si="3"/>
        <v>Underutilized</v>
      </c>
      <c r="S568" s="4">
        <f t="shared" si="4"/>
        <v>111.7215679</v>
      </c>
      <c r="T568" s="1" t="str">
        <f t="shared" si="5"/>
        <v>Normal Cost</v>
      </c>
      <c r="U568" s="4">
        <f t="shared" si="6"/>
        <v>0.04248792405</v>
      </c>
    </row>
    <row r="569">
      <c r="A569" s="4" t="s">
        <v>1307</v>
      </c>
      <c r="B569" s="4" t="s">
        <v>16</v>
      </c>
      <c r="C569" s="4">
        <v>30.9371</v>
      </c>
      <c r="D569" s="4" t="s">
        <v>21</v>
      </c>
      <c r="E569" s="4" t="s">
        <v>70</v>
      </c>
      <c r="F569" s="4">
        <v>30.09</v>
      </c>
      <c r="G569" s="4">
        <v>42.9</v>
      </c>
      <c r="H569" s="4">
        <v>6.5864508923E10</v>
      </c>
      <c r="I569" s="4">
        <v>7.5745728262E10</v>
      </c>
      <c r="J569" s="4" t="s">
        <v>1308</v>
      </c>
      <c r="K569" s="4" t="s">
        <v>1309</v>
      </c>
      <c r="L569" s="4">
        <v>4.74</v>
      </c>
      <c r="M569" s="4">
        <v>146.64</v>
      </c>
      <c r="N569" s="4">
        <v>147.0</v>
      </c>
      <c r="O569" s="4">
        <v>12201.0</v>
      </c>
      <c r="P569" s="4">
        <f t="shared" si="1"/>
        <v>119.6666667</v>
      </c>
      <c r="Q569" s="4" t="str">
        <f t="shared" si="2"/>
        <v>Normal</v>
      </c>
      <c r="R569" s="1" t="str">
        <f t="shared" si="3"/>
        <v>Normal</v>
      </c>
      <c r="S569" s="4">
        <f t="shared" si="4"/>
        <v>131.8848107</v>
      </c>
      <c r="T569" s="1" t="str">
        <f t="shared" si="5"/>
        <v>Normal Cost</v>
      </c>
      <c r="U569" s="4">
        <f t="shared" si="6"/>
        <v>0.2991148267</v>
      </c>
    </row>
    <row r="570">
      <c r="A570" s="4" t="s">
        <v>1310</v>
      </c>
      <c r="B570" s="4" t="s">
        <v>112</v>
      </c>
      <c r="C570" s="4">
        <v>80.4</v>
      </c>
      <c r="D570" s="4" t="s">
        <v>42</v>
      </c>
      <c r="E570" s="4" t="s">
        <v>27</v>
      </c>
      <c r="F570" s="4">
        <v>50.28</v>
      </c>
      <c r="G570" s="4">
        <v>11.88</v>
      </c>
      <c r="H570" s="4">
        <v>7.7464457242E10</v>
      </c>
      <c r="I570" s="4">
        <v>7.7859360072E10</v>
      </c>
      <c r="J570" s="5">
        <v>45542.813888888886</v>
      </c>
      <c r="K570" s="4" t="s">
        <v>1311</v>
      </c>
      <c r="L570" s="4">
        <v>7.93</v>
      </c>
      <c r="M570" s="4">
        <v>637.57</v>
      </c>
      <c r="N570" s="4">
        <v>638.0</v>
      </c>
      <c r="O570" s="4">
        <v>52954.0</v>
      </c>
      <c r="P570" s="4">
        <f t="shared" si="1"/>
        <v>80.4</v>
      </c>
      <c r="Q570" s="4" t="str">
        <f t="shared" si="2"/>
        <v>Normal</v>
      </c>
      <c r="R570" s="1" t="str">
        <f t="shared" si="3"/>
        <v>Underutilized</v>
      </c>
      <c r="S570" s="4">
        <f t="shared" si="4"/>
        <v>144.6565774</v>
      </c>
      <c r="T570" s="1" t="str">
        <f t="shared" si="5"/>
        <v>Normal Cost</v>
      </c>
      <c r="U570" s="4">
        <f t="shared" si="6"/>
        <v>0.05869245005</v>
      </c>
    </row>
    <row r="571">
      <c r="A571" s="4" t="s">
        <v>1312</v>
      </c>
      <c r="B571" s="4" t="s">
        <v>83</v>
      </c>
      <c r="C571" s="4">
        <v>734.7722</v>
      </c>
      <c r="D571" s="4" t="s">
        <v>17</v>
      </c>
      <c r="E571" s="4" t="s">
        <v>58</v>
      </c>
      <c r="F571" s="4">
        <v>26.61</v>
      </c>
      <c r="G571" s="4">
        <v>62.42</v>
      </c>
      <c r="H571" s="4">
        <v>1.196113039E10</v>
      </c>
      <c r="I571" s="4">
        <v>2.1953273498E10</v>
      </c>
      <c r="J571" s="5">
        <v>45389.395833333336</v>
      </c>
      <c r="K571" s="5">
        <v>45542.34444444445</v>
      </c>
      <c r="L571" s="4">
        <v>7.1</v>
      </c>
      <c r="M571" s="4">
        <v>5216.88</v>
      </c>
      <c r="N571" s="4">
        <v>5217.0</v>
      </c>
      <c r="O571" s="4">
        <v>433011.0</v>
      </c>
      <c r="P571" s="4">
        <f t="shared" si="1"/>
        <v>118.7666667</v>
      </c>
      <c r="Q571" s="4" t="str">
        <f t="shared" si="2"/>
        <v>Underutilized</v>
      </c>
      <c r="R571" s="1" t="str">
        <f t="shared" si="3"/>
        <v>Normal</v>
      </c>
      <c r="S571" s="4">
        <f t="shared" si="4"/>
        <v>31.58524995</v>
      </c>
      <c r="T571" s="1" t="str">
        <f t="shared" si="5"/>
        <v>High Cost</v>
      </c>
      <c r="U571" s="4">
        <f t="shared" si="6"/>
        <v>0.0102803393</v>
      </c>
    </row>
    <row r="572">
      <c r="A572" s="4" t="s">
        <v>1313</v>
      </c>
      <c r="B572" s="4" t="s">
        <v>46</v>
      </c>
      <c r="C572" s="4">
        <v>366.9998</v>
      </c>
      <c r="D572" s="4" t="s">
        <v>21</v>
      </c>
      <c r="E572" s="4" t="s">
        <v>32</v>
      </c>
      <c r="F572" s="4">
        <v>60.38</v>
      </c>
      <c r="G572" s="4">
        <v>37.62</v>
      </c>
      <c r="H572" s="4">
        <v>8.6262733765E10</v>
      </c>
      <c r="I572" s="4">
        <v>9.1541327287E10</v>
      </c>
      <c r="J572" s="4" t="s">
        <v>1314</v>
      </c>
      <c r="K572" s="4" t="s">
        <v>1315</v>
      </c>
      <c r="L572" s="4">
        <v>8.92</v>
      </c>
      <c r="M572" s="4">
        <v>3273.64</v>
      </c>
      <c r="N572" s="4">
        <v>3274.0</v>
      </c>
      <c r="O572" s="4">
        <v>271742.0</v>
      </c>
      <c r="P572" s="4">
        <f t="shared" si="1"/>
        <v>26.05</v>
      </c>
      <c r="Q572" s="4" t="str">
        <f t="shared" si="2"/>
        <v>Normal</v>
      </c>
      <c r="R572" s="1" t="str">
        <f t="shared" si="3"/>
        <v>Underutilized</v>
      </c>
      <c r="S572" s="4">
        <f t="shared" si="4"/>
        <v>165.5929359</v>
      </c>
      <c r="T572" s="1" t="str">
        <f t="shared" si="5"/>
        <v>High Cost</v>
      </c>
      <c r="U572" s="4">
        <f t="shared" si="6"/>
        <v>0.01803180958</v>
      </c>
    </row>
    <row r="573">
      <c r="A573" s="4" t="s">
        <v>1316</v>
      </c>
      <c r="B573" s="4" t="s">
        <v>46</v>
      </c>
      <c r="C573" s="4">
        <v>832.7303</v>
      </c>
      <c r="D573" s="4" t="s">
        <v>21</v>
      </c>
      <c r="E573" s="4" t="s">
        <v>74</v>
      </c>
      <c r="F573" s="4">
        <v>57.94</v>
      </c>
      <c r="G573" s="4">
        <v>80.47</v>
      </c>
      <c r="H573" s="4">
        <v>4.983017782E9</v>
      </c>
      <c r="I573" s="4">
        <v>1.1521417313E10</v>
      </c>
      <c r="J573" s="4" t="s">
        <v>1317</v>
      </c>
      <c r="K573" s="4" t="s">
        <v>1318</v>
      </c>
      <c r="L573" s="4">
        <v>6.13</v>
      </c>
      <c r="M573" s="4">
        <v>5104.64</v>
      </c>
      <c r="N573" s="4">
        <v>5105.0</v>
      </c>
      <c r="O573" s="4">
        <v>423715.0</v>
      </c>
      <c r="P573" s="4">
        <f t="shared" si="1"/>
        <v>43.06666667</v>
      </c>
      <c r="Q573" s="4" t="str">
        <f t="shared" si="2"/>
        <v>Normal</v>
      </c>
      <c r="R573" s="1" t="str">
        <f t="shared" si="3"/>
        <v>High</v>
      </c>
      <c r="S573" s="4">
        <f t="shared" si="4"/>
        <v>15.37095299</v>
      </c>
      <c r="T573" s="1" t="str">
        <f t="shared" si="5"/>
        <v>High Cost</v>
      </c>
      <c r="U573" s="4">
        <f t="shared" si="6"/>
        <v>0.01633291245</v>
      </c>
    </row>
    <row r="574">
      <c r="A574" s="4" t="s">
        <v>1319</v>
      </c>
      <c r="B574" s="4" t="s">
        <v>31</v>
      </c>
      <c r="C574" s="4">
        <v>350.6873</v>
      </c>
      <c r="D574" s="4" t="s">
        <v>21</v>
      </c>
      <c r="E574" s="4" t="s">
        <v>32</v>
      </c>
      <c r="F574" s="4">
        <v>94.96</v>
      </c>
      <c r="G574" s="4">
        <v>77.92</v>
      </c>
      <c r="H574" s="4">
        <v>8.9584285188E10</v>
      </c>
      <c r="I574" s="4">
        <v>9.2406101906E10</v>
      </c>
      <c r="J574" s="5">
        <v>45604.10902777778</v>
      </c>
      <c r="K574" s="4" t="s">
        <v>1320</v>
      </c>
      <c r="L574" s="4">
        <v>2.35</v>
      </c>
      <c r="M574" s="4">
        <v>824.12</v>
      </c>
      <c r="N574" s="4">
        <v>824.0</v>
      </c>
      <c r="O574" s="4">
        <v>68392.0</v>
      </c>
      <c r="P574" s="4">
        <f t="shared" si="1"/>
        <v>48.63333333</v>
      </c>
      <c r="Q574" s="4" t="str">
        <f t="shared" si="2"/>
        <v>High</v>
      </c>
      <c r="R574" s="1" t="str">
        <f t="shared" si="3"/>
        <v>High</v>
      </c>
      <c r="S574" s="4">
        <f t="shared" si="4"/>
        <v>169.4917559</v>
      </c>
      <c r="T574" s="1" t="str">
        <f t="shared" si="5"/>
        <v>Normal Cost</v>
      </c>
      <c r="U574" s="4">
        <f t="shared" si="6"/>
        <v>0.1263890514</v>
      </c>
    </row>
    <row r="575">
      <c r="A575" s="4" t="s">
        <v>1321</v>
      </c>
      <c r="B575" s="4" t="s">
        <v>169</v>
      </c>
      <c r="C575" s="4">
        <v>575.093</v>
      </c>
      <c r="D575" s="4" t="s">
        <v>21</v>
      </c>
      <c r="E575" s="4" t="s">
        <v>105</v>
      </c>
      <c r="F575" s="4">
        <v>89.16</v>
      </c>
      <c r="G575" s="4">
        <v>0.73</v>
      </c>
      <c r="H575" s="4">
        <v>2.5153342634E10</v>
      </c>
      <c r="I575" s="4">
        <v>3.2359221738E10</v>
      </c>
      <c r="J575" s="4" t="s">
        <v>1322</v>
      </c>
      <c r="K575" s="4" t="s">
        <v>1323</v>
      </c>
      <c r="L575" s="4">
        <v>3.32</v>
      </c>
      <c r="M575" s="4">
        <v>1909.31</v>
      </c>
      <c r="N575" s="4">
        <v>1909.0</v>
      </c>
      <c r="O575" s="4">
        <v>158447.0</v>
      </c>
      <c r="P575" s="4">
        <f t="shared" si="1"/>
        <v>130.4666667</v>
      </c>
      <c r="Q575" s="4" t="str">
        <f t="shared" si="2"/>
        <v>High</v>
      </c>
      <c r="R575" s="1" t="str">
        <f t="shared" si="3"/>
        <v>Underutilized</v>
      </c>
      <c r="S575" s="4">
        <f t="shared" si="4"/>
        <v>53.56274952</v>
      </c>
      <c r="T575" s="1" t="str">
        <f t="shared" si="5"/>
        <v>Normal Cost</v>
      </c>
      <c r="U575" s="4">
        <f t="shared" si="6"/>
        <v>0.02836595202</v>
      </c>
    </row>
    <row r="576">
      <c r="A576" s="4" t="s">
        <v>1324</v>
      </c>
      <c r="B576" s="4" t="s">
        <v>26</v>
      </c>
      <c r="C576" s="4">
        <v>195.4914</v>
      </c>
      <c r="D576" s="4" t="s">
        <v>17</v>
      </c>
      <c r="E576" s="4" t="s">
        <v>22</v>
      </c>
      <c r="F576" s="4">
        <v>61.71</v>
      </c>
      <c r="G576" s="4">
        <v>91.21</v>
      </c>
      <c r="H576" s="4">
        <v>2.260036751E10</v>
      </c>
      <c r="I576" s="4">
        <v>2.3271333009E10</v>
      </c>
      <c r="J576" s="5">
        <v>45359.2125</v>
      </c>
      <c r="K576" s="5">
        <v>45543.18402777778</v>
      </c>
      <c r="L576" s="4">
        <v>2.4</v>
      </c>
      <c r="M576" s="4">
        <v>469.18</v>
      </c>
      <c r="N576" s="4">
        <v>469.0</v>
      </c>
      <c r="O576" s="4">
        <v>38927.0</v>
      </c>
      <c r="P576" s="4">
        <f t="shared" si="1"/>
        <v>143.3166667</v>
      </c>
      <c r="Q576" s="4" t="str">
        <f t="shared" si="2"/>
        <v>Normal</v>
      </c>
      <c r="R576" s="1" t="str">
        <f t="shared" si="3"/>
        <v>High</v>
      </c>
      <c r="S576" s="4">
        <f t="shared" si="4"/>
        <v>42.72135023</v>
      </c>
      <c r="T576" s="1" t="str">
        <f t="shared" si="5"/>
        <v>Normal Cost</v>
      </c>
      <c r="U576" s="4">
        <f t="shared" si="6"/>
        <v>0.196418938</v>
      </c>
    </row>
    <row r="577">
      <c r="A577" s="4" t="s">
        <v>1325</v>
      </c>
      <c r="B577" s="4" t="s">
        <v>128</v>
      </c>
      <c r="C577" s="4">
        <v>555.4361</v>
      </c>
      <c r="D577" s="4" t="s">
        <v>21</v>
      </c>
      <c r="E577" s="4" t="s">
        <v>37</v>
      </c>
      <c r="F577" s="4">
        <v>66.59</v>
      </c>
      <c r="G577" s="4">
        <v>58.88</v>
      </c>
      <c r="H577" s="4">
        <v>8.9123002558E10</v>
      </c>
      <c r="I577" s="4">
        <v>9.2701686882E10</v>
      </c>
      <c r="J577" s="5">
        <v>45511.73611111111</v>
      </c>
      <c r="K577" s="4" t="s">
        <v>1326</v>
      </c>
      <c r="L577" s="4">
        <v>6.38</v>
      </c>
      <c r="M577" s="4">
        <v>3543.68</v>
      </c>
      <c r="N577" s="4">
        <v>3544.0</v>
      </c>
      <c r="O577" s="4">
        <v>294152.0</v>
      </c>
      <c r="P577" s="4">
        <f t="shared" si="1"/>
        <v>128.15</v>
      </c>
      <c r="Q577" s="4" t="str">
        <f t="shared" si="2"/>
        <v>Normal</v>
      </c>
      <c r="R577" s="1" t="str">
        <f t="shared" si="3"/>
        <v>Normal</v>
      </c>
      <c r="S577" s="4">
        <f t="shared" si="4"/>
        <v>169.3374379</v>
      </c>
      <c r="T577" s="1" t="str">
        <f t="shared" si="5"/>
        <v>High Cost</v>
      </c>
      <c r="U577" s="4">
        <f t="shared" si="6"/>
        <v>0.02132740896</v>
      </c>
    </row>
    <row r="578">
      <c r="A578" s="4" t="s">
        <v>1327</v>
      </c>
      <c r="B578" s="4" t="s">
        <v>169</v>
      </c>
      <c r="C578" s="4">
        <v>779.8708</v>
      </c>
      <c r="D578" s="4" t="s">
        <v>21</v>
      </c>
      <c r="E578" s="4" t="s">
        <v>18</v>
      </c>
      <c r="F578" s="4">
        <v>92.21</v>
      </c>
      <c r="G578" s="4">
        <v>96.64</v>
      </c>
      <c r="H578" s="4">
        <v>8.9176509871E10</v>
      </c>
      <c r="I578" s="4">
        <v>9.3493164826E10</v>
      </c>
      <c r="J578" s="4" t="s">
        <v>1328</v>
      </c>
      <c r="K578" s="4" t="s">
        <v>1329</v>
      </c>
      <c r="L578" s="4">
        <v>9.28</v>
      </c>
      <c r="M578" s="4">
        <v>7237.2</v>
      </c>
      <c r="N578" s="4">
        <v>7237.0</v>
      </c>
      <c r="O578" s="4">
        <v>600671.0</v>
      </c>
      <c r="P578" s="4">
        <f t="shared" si="1"/>
        <v>110.3666667</v>
      </c>
      <c r="Q578" s="4" t="str">
        <f t="shared" si="2"/>
        <v>High</v>
      </c>
      <c r="R578" s="1" t="str">
        <f t="shared" si="3"/>
        <v>High</v>
      </c>
      <c r="S578" s="4">
        <f t="shared" si="4"/>
        <v>170.1243917</v>
      </c>
      <c r="T578" s="1" t="str">
        <f t="shared" si="5"/>
        <v>High Cost</v>
      </c>
      <c r="U578" s="4">
        <f t="shared" si="6"/>
        <v>0.01571991989</v>
      </c>
    </row>
    <row r="579">
      <c r="A579" s="4" t="s">
        <v>1330</v>
      </c>
      <c r="B579" s="4" t="s">
        <v>83</v>
      </c>
      <c r="C579" s="4">
        <v>344.424</v>
      </c>
      <c r="D579" s="4" t="s">
        <v>21</v>
      </c>
      <c r="E579" s="4" t="s">
        <v>22</v>
      </c>
      <c r="F579" s="4">
        <v>33.13</v>
      </c>
      <c r="G579" s="4">
        <v>93.68</v>
      </c>
      <c r="H579" s="4">
        <v>9.755217181E9</v>
      </c>
      <c r="I579" s="4">
        <v>1.5073644558E10</v>
      </c>
      <c r="J579" s="4" t="s">
        <v>1331</v>
      </c>
      <c r="K579" s="4" t="s">
        <v>1332</v>
      </c>
      <c r="L579" s="4">
        <v>6.96</v>
      </c>
      <c r="M579" s="4">
        <v>2397.19</v>
      </c>
      <c r="N579" s="4">
        <v>2397.0</v>
      </c>
      <c r="O579" s="4">
        <v>198951.0</v>
      </c>
      <c r="P579" s="4">
        <f t="shared" si="1"/>
        <v>72.15</v>
      </c>
      <c r="Q579" s="4" t="str">
        <f t="shared" si="2"/>
        <v>Normal</v>
      </c>
      <c r="R579" s="1" t="str">
        <f t="shared" si="3"/>
        <v>High</v>
      </c>
      <c r="S579" s="4">
        <f t="shared" si="4"/>
        <v>23.12367944</v>
      </c>
      <c r="T579" s="1" t="str">
        <f t="shared" si="5"/>
        <v>High Cost</v>
      </c>
      <c r="U579" s="4">
        <f t="shared" si="6"/>
        <v>0.03186965635</v>
      </c>
    </row>
    <row r="580">
      <c r="A580" s="4" t="s">
        <v>1333</v>
      </c>
      <c r="B580" s="4" t="s">
        <v>46</v>
      </c>
      <c r="C580" s="4">
        <v>457.5282</v>
      </c>
      <c r="D580" s="4" t="s">
        <v>21</v>
      </c>
      <c r="E580" s="4" t="s">
        <v>54</v>
      </c>
      <c r="F580" s="4">
        <v>10.52</v>
      </c>
      <c r="G580" s="4">
        <v>88.01</v>
      </c>
      <c r="H580" s="4">
        <v>4.3895284601E10</v>
      </c>
      <c r="I580" s="4">
        <v>4.9685670959E10</v>
      </c>
      <c r="J580" s="4" t="s">
        <v>1334</v>
      </c>
      <c r="K580" s="4" t="s">
        <v>1335</v>
      </c>
      <c r="L580" s="4">
        <v>2.51</v>
      </c>
      <c r="M580" s="4">
        <v>1148.4</v>
      </c>
      <c r="N580" s="4">
        <v>1148.0</v>
      </c>
      <c r="O580" s="4">
        <v>95284.0</v>
      </c>
      <c r="P580" s="4">
        <f t="shared" si="1"/>
        <v>103.45</v>
      </c>
      <c r="Q580" s="4" t="str">
        <f t="shared" si="2"/>
        <v>Underutilized</v>
      </c>
      <c r="R580" s="1" t="str">
        <f t="shared" si="3"/>
        <v>High</v>
      </c>
      <c r="S580" s="4">
        <f t="shared" si="4"/>
        <v>87.15405647</v>
      </c>
      <c r="T580" s="1" t="str">
        <f t="shared" si="5"/>
        <v>Normal Cost</v>
      </c>
      <c r="U580" s="4">
        <f t="shared" si="6"/>
        <v>0.051703329</v>
      </c>
    </row>
    <row r="581">
      <c r="A581" s="4" t="s">
        <v>1336</v>
      </c>
      <c r="B581" s="4" t="s">
        <v>122</v>
      </c>
      <c r="C581" s="4">
        <v>96.3442</v>
      </c>
      <c r="D581" s="4" t="s">
        <v>21</v>
      </c>
      <c r="E581" s="4" t="s">
        <v>27</v>
      </c>
      <c r="F581" s="4">
        <v>45.14</v>
      </c>
      <c r="G581" s="4">
        <v>86.59</v>
      </c>
      <c r="H581" s="4">
        <v>6.4011750754E10</v>
      </c>
      <c r="I581" s="4">
        <v>6.48112777E10</v>
      </c>
      <c r="J581" s="4" t="s">
        <v>1337</v>
      </c>
      <c r="K581" s="4" t="s">
        <v>1338</v>
      </c>
      <c r="L581" s="4">
        <v>3.38</v>
      </c>
      <c r="M581" s="4">
        <v>325.64</v>
      </c>
      <c r="N581" s="4">
        <v>326.0</v>
      </c>
      <c r="O581" s="4">
        <v>27058.0</v>
      </c>
      <c r="P581" s="4">
        <f t="shared" si="1"/>
        <v>79.26666667</v>
      </c>
      <c r="Q581" s="4" t="str">
        <f t="shared" si="2"/>
        <v>Normal</v>
      </c>
      <c r="R581" s="1" t="str">
        <f t="shared" si="3"/>
        <v>High</v>
      </c>
      <c r="S581" s="4">
        <f t="shared" si="4"/>
        <v>119.9757945</v>
      </c>
      <c r="T581" s="1" t="str">
        <f t="shared" si="5"/>
        <v>Normal Cost</v>
      </c>
      <c r="U581" s="4">
        <f t="shared" si="6"/>
        <v>0.2434215389</v>
      </c>
    </row>
    <row r="582">
      <c r="A582" s="4" t="s">
        <v>1339</v>
      </c>
      <c r="B582" s="4" t="s">
        <v>20</v>
      </c>
      <c r="C582" s="4">
        <v>95.1226</v>
      </c>
      <c r="D582" s="4" t="s">
        <v>21</v>
      </c>
      <c r="E582" s="4" t="s">
        <v>27</v>
      </c>
      <c r="F582" s="4">
        <v>73.95</v>
      </c>
      <c r="G582" s="4">
        <v>45.25</v>
      </c>
      <c r="H582" s="4">
        <v>9.4131763984E10</v>
      </c>
      <c r="I582" s="6">
        <v>1.0171E11</v>
      </c>
      <c r="J582" s="4" t="s">
        <v>1340</v>
      </c>
      <c r="K582" s="4" t="s">
        <v>1341</v>
      </c>
      <c r="L582" s="4">
        <v>1.33</v>
      </c>
      <c r="M582" s="4">
        <v>126.51</v>
      </c>
      <c r="N582" s="4">
        <v>127.0</v>
      </c>
      <c r="O582" s="4">
        <v>10541.0</v>
      </c>
      <c r="P582" s="4">
        <f t="shared" si="1"/>
        <v>57.86666667</v>
      </c>
      <c r="Q582" s="4" t="str">
        <f t="shared" si="2"/>
        <v>High</v>
      </c>
      <c r="R582" s="1" t="str">
        <f t="shared" si="3"/>
        <v>Normal</v>
      </c>
      <c r="S582" s="6">
        <f t="shared" si="4"/>
        <v>182.3918559</v>
      </c>
      <c r="T582" s="1" t="str">
        <f t="shared" si="5"/>
        <v>Normal Cost</v>
      </c>
      <c r="U582" s="4">
        <f t="shared" si="6"/>
        <v>0.5654112513</v>
      </c>
    </row>
    <row r="583">
      <c r="A583" s="4" t="s">
        <v>1342</v>
      </c>
      <c r="B583" s="4" t="s">
        <v>122</v>
      </c>
      <c r="C583" s="4">
        <v>906.1268</v>
      </c>
      <c r="D583" s="4" t="s">
        <v>17</v>
      </c>
      <c r="E583" s="4" t="s">
        <v>32</v>
      </c>
      <c r="F583" s="4">
        <v>6.46</v>
      </c>
      <c r="G583" s="4">
        <v>76.09</v>
      </c>
      <c r="H583" s="4">
        <v>9.6240826717E10</v>
      </c>
      <c r="I583" s="4">
        <v>9.8628174081E10</v>
      </c>
      <c r="J583" s="5">
        <v>45634.98263888889</v>
      </c>
      <c r="K583" s="4" t="s">
        <v>1343</v>
      </c>
      <c r="L583" s="4">
        <v>6.23</v>
      </c>
      <c r="M583" s="4">
        <v>5645.17</v>
      </c>
      <c r="N583" s="4">
        <v>5645.0</v>
      </c>
      <c r="O583" s="4">
        <v>468535.0</v>
      </c>
      <c r="P583" s="4">
        <f t="shared" si="1"/>
        <v>93.28333333</v>
      </c>
      <c r="Q583" s="4" t="str">
        <f t="shared" si="2"/>
        <v>Underutilized</v>
      </c>
      <c r="R583" s="1" t="str">
        <f t="shared" si="3"/>
        <v>High</v>
      </c>
      <c r="S583" s="4">
        <f t="shared" si="4"/>
        <v>181.4858995</v>
      </c>
      <c r="T583" s="1" t="str">
        <f t="shared" si="5"/>
        <v>High Cost</v>
      </c>
      <c r="U583" s="4">
        <f t="shared" si="6"/>
        <v>0.008809373899</v>
      </c>
    </row>
    <row r="584">
      <c r="A584" s="4" t="s">
        <v>1344</v>
      </c>
      <c r="B584" s="4" t="s">
        <v>79</v>
      </c>
      <c r="C584" s="4">
        <v>663.1473</v>
      </c>
      <c r="D584" s="4" t="s">
        <v>21</v>
      </c>
      <c r="E584" s="4" t="s">
        <v>74</v>
      </c>
      <c r="F584" s="4">
        <v>36.9</v>
      </c>
      <c r="G584" s="4">
        <v>70.47</v>
      </c>
      <c r="H584" s="4">
        <v>9.1183939033E10</v>
      </c>
      <c r="I584" s="4">
        <v>9.4771254471E10</v>
      </c>
      <c r="J584" s="4" t="s">
        <v>1345</v>
      </c>
      <c r="K584" s="4" t="s">
        <v>1346</v>
      </c>
      <c r="L584" s="4">
        <v>4.54</v>
      </c>
      <c r="M584" s="4">
        <v>3010.69</v>
      </c>
      <c r="N584" s="4">
        <v>3011.0</v>
      </c>
      <c r="O584" s="4">
        <v>249913.0</v>
      </c>
      <c r="P584" s="4">
        <f t="shared" si="1"/>
        <v>89.26666667</v>
      </c>
      <c r="Q584" s="4" t="str">
        <f t="shared" si="2"/>
        <v>Normal</v>
      </c>
      <c r="R584" s="1" t="str">
        <f t="shared" si="3"/>
        <v>Normal</v>
      </c>
      <c r="S584" s="4">
        <f t="shared" si="4"/>
        <v>173.1842696</v>
      </c>
      <c r="T584" s="1" t="str">
        <f t="shared" si="5"/>
        <v>High Cost</v>
      </c>
      <c r="U584" s="4">
        <f t="shared" si="6"/>
        <v>0.02148147555</v>
      </c>
    </row>
    <row r="585">
      <c r="A585" s="4" t="s">
        <v>1347</v>
      </c>
      <c r="B585" s="4" t="s">
        <v>20</v>
      </c>
      <c r="C585" s="4">
        <v>929.1694</v>
      </c>
      <c r="D585" s="4" t="s">
        <v>21</v>
      </c>
      <c r="E585" s="4" t="s">
        <v>32</v>
      </c>
      <c r="F585" s="4">
        <v>73.09</v>
      </c>
      <c r="G585" s="4">
        <v>38.66</v>
      </c>
      <c r="H585" s="4">
        <v>7.782785245E9</v>
      </c>
      <c r="I585" s="4">
        <v>9.375770542E9</v>
      </c>
      <c r="J585" s="4" t="s">
        <v>1348</v>
      </c>
      <c r="K585" s="4" t="s">
        <v>1349</v>
      </c>
      <c r="L585" s="4">
        <v>9.69</v>
      </c>
      <c r="M585" s="4">
        <v>9003.65</v>
      </c>
      <c r="N585" s="4">
        <v>9004.0</v>
      </c>
      <c r="O585" s="4">
        <v>747332.0</v>
      </c>
      <c r="P585" s="4">
        <f t="shared" si="1"/>
        <v>88.88333333</v>
      </c>
      <c r="Q585" s="4" t="str">
        <f t="shared" si="2"/>
        <v>High</v>
      </c>
      <c r="R585" s="1" t="str">
        <f t="shared" si="3"/>
        <v>Underutilized</v>
      </c>
      <c r="S585" s="4">
        <f t="shared" si="4"/>
        <v>15.98015035</v>
      </c>
      <c r="T585" s="1" t="str">
        <f t="shared" si="5"/>
        <v>High Cost</v>
      </c>
      <c r="U585" s="4">
        <f t="shared" si="6"/>
        <v>0.007476596747</v>
      </c>
    </row>
    <row r="586">
      <c r="A586" s="4" t="s">
        <v>1350</v>
      </c>
      <c r="B586" s="4" t="s">
        <v>26</v>
      </c>
      <c r="C586" s="4">
        <v>685.0582</v>
      </c>
      <c r="D586" s="4" t="s">
        <v>17</v>
      </c>
      <c r="E586" s="4" t="s">
        <v>54</v>
      </c>
      <c r="F586" s="4">
        <v>88.19</v>
      </c>
      <c r="G586" s="4">
        <v>34.34</v>
      </c>
      <c r="H586" s="4">
        <v>8.0406916505E10</v>
      </c>
      <c r="I586" s="4">
        <v>8.3159936819E10</v>
      </c>
      <c r="J586" s="4" t="s">
        <v>1351</v>
      </c>
      <c r="K586" s="4" t="s">
        <v>1352</v>
      </c>
      <c r="L586" s="4">
        <v>4.89</v>
      </c>
      <c r="M586" s="4">
        <v>3349.93</v>
      </c>
      <c r="N586" s="4">
        <v>3350.0</v>
      </c>
      <c r="O586" s="4">
        <v>278050.0</v>
      </c>
      <c r="P586" s="4">
        <f t="shared" si="1"/>
        <v>143.5</v>
      </c>
      <c r="Q586" s="4" t="str">
        <f t="shared" si="2"/>
        <v>High</v>
      </c>
      <c r="R586" s="1" t="str">
        <f t="shared" si="3"/>
        <v>Underutilized</v>
      </c>
      <c r="S586" s="4">
        <f t="shared" si="4"/>
        <v>152.333503</v>
      </c>
      <c r="T586" s="1" t="str">
        <f t="shared" si="5"/>
        <v>High Cost</v>
      </c>
      <c r="U586" s="4">
        <f t="shared" si="6"/>
        <v>0.02203380687</v>
      </c>
    </row>
    <row r="587">
      <c r="A587" s="4" t="s">
        <v>1353</v>
      </c>
      <c r="B587" s="4" t="s">
        <v>16</v>
      </c>
      <c r="C587" s="4">
        <v>779.1763</v>
      </c>
      <c r="D587" s="4" t="s">
        <v>17</v>
      </c>
      <c r="E587" s="4" t="s">
        <v>70</v>
      </c>
      <c r="F587" s="4">
        <v>80.81</v>
      </c>
      <c r="G587" s="4">
        <v>91.42</v>
      </c>
      <c r="H587" s="4">
        <v>9.537209976E10</v>
      </c>
      <c r="I587" s="4">
        <v>9.6841264412E10</v>
      </c>
      <c r="J587" s="5">
        <v>45330.10972222222</v>
      </c>
      <c r="K587" s="5">
        <v>45359.27569444444</v>
      </c>
      <c r="L587" s="4">
        <v>4.23</v>
      </c>
      <c r="M587" s="4">
        <v>3295.92</v>
      </c>
      <c r="N587" s="4">
        <v>3296.0</v>
      </c>
      <c r="O587" s="4">
        <v>273568.0</v>
      </c>
      <c r="P587" s="4">
        <f t="shared" si="1"/>
        <v>27.98333333</v>
      </c>
      <c r="Q587" s="4" t="str">
        <f t="shared" si="2"/>
        <v>High</v>
      </c>
      <c r="R587" s="1" t="str">
        <f t="shared" si="3"/>
        <v>High</v>
      </c>
      <c r="S587" s="4">
        <f t="shared" si="4"/>
        <v>179.0126452</v>
      </c>
      <c r="T587" s="1" t="str">
        <f t="shared" si="5"/>
        <v>High Cost</v>
      </c>
      <c r="U587" s="4">
        <f t="shared" si="6"/>
        <v>0.03147846239</v>
      </c>
    </row>
    <row r="588">
      <c r="A588" s="4" t="s">
        <v>1354</v>
      </c>
      <c r="B588" s="4" t="s">
        <v>112</v>
      </c>
      <c r="C588" s="4">
        <v>83.4333</v>
      </c>
      <c r="D588" s="4" t="s">
        <v>42</v>
      </c>
      <c r="E588" s="4" t="s">
        <v>123</v>
      </c>
      <c r="F588" s="4">
        <v>25.2</v>
      </c>
      <c r="G588" s="4">
        <v>53.54</v>
      </c>
      <c r="H588" s="4">
        <v>3.8288332782E10</v>
      </c>
      <c r="I588" s="4">
        <v>4.0786031512E10</v>
      </c>
      <c r="J588" s="4" t="s">
        <v>1355</v>
      </c>
      <c r="K588" s="4" t="s">
        <v>1356</v>
      </c>
      <c r="L588" s="4">
        <v>3.18</v>
      </c>
      <c r="M588" s="4">
        <v>265.32</v>
      </c>
      <c r="N588" s="4">
        <v>265.0</v>
      </c>
      <c r="O588" s="4">
        <v>21995.0</v>
      </c>
      <c r="P588" s="4">
        <f t="shared" si="1"/>
        <v>83.43333333</v>
      </c>
      <c r="Q588" s="4" t="str">
        <f t="shared" si="2"/>
        <v>Underutilized</v>
      </c>
      <c r="R588" s="1" t="str">
        <f t="shared" si="3"/>
        <v>Normal</v>
      </c>
      <c r="S588" s="4">
        <f t="shared" si="4"/>
        <v>73.64374054</v>
      </c>
      <c r="T588" s="1" t="str">
        <f t="shared" si="5"/>
        <v>Normal Cost</v>
      </c>
      <c r="U588" s="4">
        <f t="shared" si="6"/>
        <v>0.1789952262</v>
      </c>
    </row>
    <row r="589">
      <c r="A589" s="4" t="s">
        <v>1357</v>
      </c>
      <c r="B589" s="4" t="s">
        <v>112</v>
      </c>
      <c r="C589" s="4">
        <v>90.0833</v>
      </c>
      <c r="D589" s="4" t="s">
        <v>42</v>
      </c>
      <c r="E589" s="4" t="s">
        <v>54</v>
      </c>
      <c r="F589" s="4">
        <v>16.92</v>
      </c>
      <c r="G589" s="4">
        <v>16.22</v>
      </c>
      <c r="H589" s="4">
        <v>5.9952324151E10</v>
      </c>
      <c r="I589" s="4">
        <v>6.5511042535E10</v>
      </c>
      <c r="J589" s="4" t="s">
        <v>1358</v>
      </c>
      <c r="K589" s="4" t="s">
        <v>610</v>
      </c>
      <c r="L589" s="4">
        <v>1.87</v>
      </c>
      <c r="M589" s="4">
        <v>168.46</v>
      </c>
      <c r="N589" s="4">
        <v>168.0</v>
      </c>
      <c r="O589" s="4">
        <v>13944.0</v>
      </c>
      <c r="P589" s="4">
        <f t="shared" si="1"/>
        <v>90.08333333</v>
      </c>
      <c r="Q589" s="4" t="str">
        <f t="shared" si="2"/>
        <v>Underutilized</v>
      </c>
      <c r="R589" s="1" t="str">
        <f t="shared" si="3"/>
        <v>Underutilized</v>
      </c>
      <c r="S589" s="4">
        <f t="shared" si="4"/>
        <v>116.8468657</v>
      </c>
      <c r="T589" s="1" t="str">
        <f t="shared" si="5"/>
        <v>Normal Cost</v>
      </c>
      <c r="U589" s="4">
        <f t="shared" si="6"/>
        <v>0.1188324727</v>
      </c>
    </row>
    <row r="590">
      <c r="A590" s="4" t="s">
        <v>1359</v>
      </c>
      <c r="B590" s="4" t="s">
        <v>26</v>
      </c>
      <c r="C590" s="4">
        <v>120.5022</v>
      </c>
      <c r="D590" s="4" t="s">
        <v>17</v>
      </c>
      <c r="E590" s="4" t="s">
        <v>22</v>
      </c>
      <c r="F590" s="4">
        <v>98.35</v>
      </c>
      <c r="G590" s="4">
        <v>57.52</v>
      </c>
      <c r="H590" s="4">
        <v>4.6192771254E10</v>
      </c>
      <c r="I590" s="4">
        <v>4.9636478748E10</v>
      </c>
      <c r="J590" s="4" t="s">
        <v>1360</v>
      </c>
      <c r="K590" s="4" t="s">
        <v>1361</v>
      </c>
      <c r="L590" s="4">
        <v>2.3</v>
      </c>
      <c r="M590" s="4">
        <v>277.16</v>
      </c>
      <c r="N590" s="4">
        <v>277.0</v>
      </c>
      <c r="O590" s="4">
        <v>22991.0</v>
      </c>
      <c r="P590" s="4">
        <f t="shared" si="1"/>
        <v>98.81666667</v>
      </c>
      <c r="Q590" s="4" t="str">
        <f t="shared" si="2"/>
        <v>High</v>
      </c>
      <c r="R590" s="1" t="str">
        <f t="shared" si="3"/>
        <v>Normal</v>
      </c>
      <c r="S590" s="4">
        <f t="shared" si="4"/>
        <v>89.24794384</v>
      </c>
      <c r="T590" s="1" t="str">
        <f t="shared" si="5"/>
        <v>Normal Cost</v>
      </c>
      <c r="U590" s="4">
        <f t="shared" si="6"/>
        <v>0.3389804706</v>
      </c>
    </row>
    <row r="591">
      <c r="A591" s="4" t="s">
        <v>1362</v>
      </c>
      <c r="B591" s="4" t="s">
        <v>46</v>
      </c>
      <c r="C591" s="4">
        <v>802.3156</v>
      </c>
      <c r="D591" s="4" t="s">
        <v>17</v>
      </c>
      <c r="E591" s="4" t="s">
        <v>18</v>
      </c>
      <c r="F591" s="4">
        <v>97.07</v>
      </c>
      <c r="G591" s="4">
        <v>47.44</v>
      </c>
      <c r="H591" s="4">
        <v>6.6031799701E10</v>
      </c>
      <c r="I591" s="4">
        <v>7.3946955087E10</v>
      </c>
      <c r="J591" s="5">
        <v>45633.972916666666</v>
      </c>
      <c r="K591" s="4" t="s">
        <v>1363</v>
      </c>
      <c r="L591" s="4">
        <v>7.29</v>
      </c>
      <c r="M591" s="4">
        <v>5848.88</v>
      </c>
      <c r="N591" s="4">
        <v>5849.0</v>
      </c>
      <c r="O591" s="4">
        <v>485467.0</v>
      </c>
      <c r="P591" s="4">
        <f t="shared" si="1"/>
        <v>126.0666667</v>
      </c>
      <c r="Q591" s="4" t="str">
        <f t="shared" si="2"/>
        <v>High</v>
      </c>
      <c r="R591" s="1" t="str">
        <f t="shared" si="3"/>
        <v>Normal</v>
      </c>
      <c r="S591" s="4">
        <f t="shared" si="4"/>
        <v>130.3653743</v>
      </c>
      <c r="T591" s="1" t="str">
        <f t="shared" si="5"/>
        <v>High Cost</v>
      </c>
      <c r="U591" s="4">
        <f t="shared" si="6"/>
        <v>0.01488360692</v>
      </c>
    </row>
    <row r="592">
      <c r="A592" s="4" t="s">
        <v>1364</v>
      </c>
      <c r="B592" s="4" t="s">
        <v>41</v>
      </c>
      <c r="C592" s="4">
        <v>139.5333</v>
      </c>
      <c r="D592" s="4" t="s">
        <v>42</v>
      </c>
      <c r="E592" s="4" t="s">
        <v>32</v>
      </c>
      <c r="F592" s="4">
        <v>55.83</v>
      </c>
      <c r="G592" s="4">
        <v>51.05</v>
      </c>
      <c r="H592" s="4">
        <v>7.5535230544E10</v>
      </c>
      <c r="I592" s="4">
        <v>7.7049187501E10</v>
      </c>
      <c r="J592" s="5">
        <v>45330.85208333333</v>
      </c>
      <c r="K592" s="5">
        <v>45512.665972222225</v>
      </c>
      <c r="L592" s="4">
        <v>1.89</v>
      </c>
      <c r="M592" s="4">
        <v>263.72</v>
      </c>
      <c r="N592" s="4">
        <v>264.0</v>
      </c>
      <c r="O592" s="4">
        <v>21912.0</v>
      </c>
      <c r="P592" s="4">
        <f t="shared" si="1"/>
        <v>139.5333333</v>
      </c>
      <c r="Q592" s="4" t="str">
        <f t="shared" si="2"/>
        <v>Normal</v>
      </c>
      <c r="R592" s="1" t="str">
        <f t="shared" si="3"/>
        <v>Normal</v>
      </c>
      <c r="S592" s="4">
        <f t="shared" si="4"/>
        <v>142.1053131</v>
      </c>
      <c r="T592" s="1" t="str">
        <f t="shared" si="5"/>
        <v>Normal Cost</v>
      </c>
      <c r="U592" s="4">
        <f t="shared" si="6"/>
        <v>0.2438846294</v>
      </c>
    </row>
    <row r="593">
      <c r="A593" s="4" t="s">
        <v>1365</v>
      </c>
      <c r="B593" s="4" t="s">
        <v>166</v>
      </c>
      <c r="C593" s="4">
        <v>470.2063</v>
      </c>
      <c r="D593" s="4" t="s">
        <v>21</v>
      </c>
      <c r="E593" s="4" t="s">
        <v>155</v>
      </c>
      <c r="F593" s="4">
        <v>3.96</v>
      </c>
      <c r="G593" s="4">
        <v>14.6</v>
      </c>
      <c r="H593" s="4">
        <v>5.4199201379E10</v>
      </c>
      <c r="I593" s="4">
        <v>5.981000836E10</v>
      </c>
      <c r="J593" s="5">
        <v>45542.540972222225</v>
      </c>
      <c r="K593" s="5">
        <v>45603.23472222222</v>
      </c>
      <c r="L593" s="4">
        <v>8.35</v>
      </c>
      <c r="M593" s="4">
        <v>3926.22</v>
      </c>
      <c r="N593" s="4">
        <v>3926.0</v>
      </c>
      <c r="O593" s="4">
        <v>325858.0</v>
      </c>
      <c r="P593" s="4">
        <f t="shared" si="1"/>
        <v>40.65</v>
      </c>
      <c r="Q593" s="4" t="str">
        <f t="shared" si="2"/>
        <v>Underutilized</v>
      </c>
      <c r="R593" s="1" t="str">
        <f t="shared" si="3"/>
        <v>Underutilized</v>
      </c>
      <c r="S593" s="4">
        <f t="shared" si="4"/>
        <v>106.1793507</v>
      </c>
      <c r="T593" s="1" t="str">
        <f t="shared" si="5"/>
        <v>High Cost</v>
      </c>
      <c r="U593" s="4">
        <f t="shared" si="6"/>
        <v>0.002847866248</v>
      </c>
    </row>
    <row r="594">
      <c r="A594" s="4" t="s">
        <v>1366</v>
      </c>
      <c r="B594" s="4" t="s">
        <v>139</v>
      </c>
      <c r="C594" s="4">
        <v>31.2833</v>
      </c>
      <c r="D594" s="4" t="s">
        <v>42</v>
      </c>
      <c r="E594" s="4" t="s">
        <v>70</v>
      </c>
      <c r="F594" s="4">
        <v>94.2</v>
      </c>
      <c r="G594" s="4">
        <v>76.15</v>
      </c>
      <c r="H594" s="4">
        <v>3.0211701461E10</v>
      </c>
      <c r="I594" s="4">
        <v>3.4831933503E10</v>
      </c>
      <c r="J594" s="5">
        <v>45572.853472222225</v>
      </c>
      <c r="K594" s="5">
        <v>45633.15694444445</v>
      </c>
      <c r="L594" s="4">
        <v>7.86</v>
      </c>
      <c r="M594" s="4">
        <v>245.89</v>
      </c>
      <c r="N594" s="4">
        <v>246.0</v>
      </c>
      <c r="O594" s="4">
        <v>20418.0</v>
      </c>
      <c r="P594" s="4">
        <f t="shared" si="1"/>
        <v>31.28333333</v>
      </c>
      <c r="Q594" s="4" t="str">
        <f t="shared" si="2"/>
        <v>High</v>
      </c>
      <c r="R594" s="1" t="str">
        <f t="shared" si="3"/>
        <v>High</v>
      </c>
      <c r="S594" s="4">
        <f t="shared" si="4"/>
        <v>60.57660558</v>
      </c>
      <c r="T594" s="1" t="str">
        <f t="shared" si="5"/>
        <v>Normal Cost</v>
      </c>
      <c r="U594" s="4">
        <f t="shared" si="6"/>
        <v>0.4171564306</v>
      </c>
    </row>
    <row r="595">
      <c r="A595" s="4" t="s">
        <v>1367</v>
      </c>
      <c r="B595" s="4" t="s">
        <v>57</v>
      </c>
      <c r="C595" s="4">
        <v>214.9452</v>
      </c>
      <c r="D595" s="4" t="s">
        <v>17</v>
      </c>
      <c r="E595" s="4" t="s">
        <v>70</v>
      </c>
      <c r="F595" s="4">
        <v>48.81</v>
      </c>
      <c r="G595" s="4">
        <v>92.23</v>
      </c>
      <c r="H595" s="4">
        <v>4.968760381E9</v>
      </c>
      <c r="I595" s="4">
        <v>6.544021317E9</v>
      </c>
      <c r="J595" s="4" t="s">
        <v>1368</v>
      </c>
      <c r="K595" s="4" t="s">
        <v>1369</v>
      </c>
      <c r="L595" s="4">
        <v>2.05</v>
      </c>
      <c r="M595" s="4">
        <v>440.64</v>
      </c>
      <c r="N595" s="4">
        <v>441.0</v>
      </c>
      <c r="O595" s="4">
        <v>36603.0</v>
      </c>
      <c r="P595" s="4">
        <f t="shared" si="1"/>
        <v>53.33333333</v>
      </c>
      <c r="Q595" s="4" t="str">
        <f t="shared" si="2"/>
        <v>Normal</v>
      </c>
      <c r="R595" s="1" t="str">
        <f t="shared" si="3"/>
        <v>High</v>
      </c>
      <c r="S595" s="4">
        <f t="shared" si="4"/>
        <v>10.72211349</v>
      </c>
      <c r="T595" s="1" t="str">
        <f t="shared" si="5"/>
        <v>Normal Cost</v>
      </c>
      <c r="U595" s="4">
        <f t="shared" si="6"/>
        <v>0.1926618037</v>
      </c>
    </row>
    <row r="596">
      <c r="A596" s="4" t="s">
        <v>1370</v>
      </c>
      <c r="B596" s="4" t="s">
        <v>31</v>
      </c>
      <c r="C596" s="4">
        <v>958.0251</v>
      </c>
      <c r="D596" s="4" t="s">
        <v>21</v>
      </c>
      <c r="E596" s="4" t="s">
        <v>18</v>
      </c>
      <c r="F596" s="4">
        <v>21.58</v>
      </c>
      <c r="G596" s="4">
        <v>24.91</v>
      </c>
      <c r="H596" s="4">
        <v>1.4507368142E10</v>
      </c>
      <c r="I596" s="4">
        <v>1.4799300079E10</v>
      </c>
      <c r="J596" s="5">
        <v>45543.29861111111</v>
      </c>
      <c r="K596" s="5">
        <v>45604.00625</v>
      </c>
      <c r="L596" s="4">
        <v>8.34</v>
      </c>
      <c r="M596" s="4">
        <v>7989.93</v>
      </c>
      <c r="N596" s="4">
        <v>7990.0</v>
      </c>
      <c r="O596" s="4">
        <v>663170.0</v>
      </c>
      <c r="P596" s="4">
        <f t="shared" si="1"/>
        <v>40.98333333</v>
      </c>
      <c r="Q596" s="4" t="str">
        <f t="shared" si="2"/>
        <v>Underutilized</v>
      </c>
      <c r="R596" s="1" t="str">
        <f t="shared" si="3"/>
        <v>Underutilized</v>
      </c>
      <c r="S596" s="4">
        <f t="shared" si="4"/>
        <v>27.2939617</v>
      </c>
      <c r="T596" s="1" t="str">
        <f t="shared" si="5"/>
        <v>High Cost</v>
      </c>
      <c r="U596" s="4">
        <f t="shared" si="6"/>
        <v>0.00350513443</v>
      </c>
    </row>
    <row r="597">
      <c r="A597" s="4" t="s">
        <v>1371</v>
      </c>
      <c r="B597" s="4" t="s">
        <v>183</v>
      </c>
      <c r="C597" s="4">
        <v>56.0054</v>
      </c>
      <c r="D597" s="4" t="s">
        <v>21</v>
      </c>
      <c r="E597" s="4" t="s">
        <v>70</v>
      </c>
      <c r="F597" s="4">
        <v>82.09</v>
      </c>
      <c r="G597" s="4">
        <v>49.34</v>
      </c>
      <c r="H597" s="4">
        <v>4.7722928764E10</v>
      </c>
      <c r="I597" s="4">
        <v>5.2353116409E10</v>
      </c>
      <c r="J597" s="4" t="s">
        <v>1372</v>
      </c>
      <c r="K597" s="4" t="s">
        <v>1373</v>
      </c>
      <c r="L597" s="4">
        <v>2.96</v>
      </c>
      <c r="M597" s="4">
        <v>165.78</v>
      </c>
      <c r="N597" s="4">
        <v>166.0</v>
      </c>
      <c r="O597" s="4">
        <v>13778.0</v>
      </c>
      <c r="P597" s="4">
        <f t="shared" si="1"/>
        <v>120.9833333</v>
      </c>
      <c r="Q597" s="4" t="str">
        <f t="shared" si="2"/>
        <v>High</v>
      </c>
      <c r="R597" s="1" t="str">
        <f t="shared" si="3"/>
        <v>Normal</v>
      </c>
      <c r="S597" s="4">
        <f t="shared" si="4"/>
        <v>93.20308005</v>
      </c>
      <c r="T597" s="1" t="str">
        <f t="shared" si="5"/>
        <v>Normal Cost</v>
      </c>
      <c r="U597" s="4">
        <f t="shared" si="6"/>
        <v>0.4769560168</v>
      </c>
    </row>
    <row r="598">
      <c r="A598" s="4" t="s">
        <v>1374</v>
      </c>
      <c r="B598" s="4" t="s">
        <v>139</v>
      </c>
      <c r="C598" s="4">
        <v>58.8167</v>
      </c>
      <c r="D598" s="4" t="s">
        <v>42</v>
      </c>
      <c r="E598" s="4" t="s">
        <v>18</v>
      </c>
      <c r="F598" s="4">
        <v>92.84</v>
      </c>
      <c r="G598" s="4">
        <v>49.35</v>
      </c>
      <c r="H598" s="4">
        <v>3.8117025024E10</v>
      </c>
      <c r="I598" s="4">
        <v>4.6310224844E10</v>
      </c>
      <c r="J598" s="5">
        <v>45298.41388888889</v>
      </c>
      <c r="K598" s="5">
        <v>45358.864583333336</v>
      </c>
      <c r="L598" s="4">
        <v>9.93</v>
      </c>
      <c r="M598" s="4">
        <v>584.05</v>
      </c>
      <c r="N598" s="4">
        <v>584.0</v>
      </c>
      <c r="O598" s="4">
        <v>48472.0</v>
      </c>
      <c r="P598" s="4">
        <f t="shared" si="1"/>
        <v>58.81666667</v>
      </c>
      <c r="Q598" s="4" t="str">
        <f t="shared" si="2"/>
        <v>High</v>
      </c>
      <c r="R598" s="1" t="str">
        <f t="shared" si="3"/>
        <v>Normal</v>
      </c>
      <c r="S598" s="4">
        <f t="shared" si="4"/>
        <v>78.62900371</v>
      </c>
      <c r="T598" s="1" t="str">
        <f t="shared" si="5"/>
        <v>Normal Cost</v>
      </c>
      <c r="U598" s="4">
        <f t="shared" si="6"/>
        <v>0.1466723057</v>
      </c>
    </row>
    <row r="599">
      <c r="A599" s="4" t="s">
        <v>1375</v>
      </c>
      <c r="B599" s="4" t="s">
        <v>36</v>
      </c>
      <c r="C599" s="4">
        <v>388.8883</v>
      </c>
      <c r="D599" s="4" t="s">
        <v>21</v>
      </c>
      <c r="E599" s="4" t="s">
        <v>155</v>
      </c>
      <c r="F599" s="4">
        <v>80.23</v>
      </c>
      <c r="G599" s="4">
        <v>41.57</v>
      </c>
      <c r="H599" s="4">
        <v>8.1865257366E10</v>
      </c>
      <c r="I599" s="4">
        <v>8.5119583044E10</v>
      </c>
      <c r="J599" s="5">
        <v>45481.302777777775</v>
      </c>
      <c r="K599" s="5">
        <v>45512.850694444445</v>
      </c>
      <c r="L599" s="4">
        <v>7.03</v>
      </c>
      <c r="M599" s="4">
        <v>2733.88</v>
      </c>
      <c r="N599" s="4">
        <v>2734.0</v>
      </c>
      <c r="O599" s="4">
        <v>226922.0</v>
      </c>
      <c r="P599" s="4">
        <f t="shared" si="1"/>
        <v>37.15</v>
      </c>
      <c r="Q599" s="4" t="str">
        <f t="shared" si="2"/>
        <v>High</v>
      </c>
      <c r="R599" s="1" t="str">
        <f t="shared" si="3"/>
        <v>Normal</v>
      </c>
      <c r="S599" s="4">
        <f t="shared" si="4"/>
        <v>155.5167515</v>
      </c>
      <c r="T599" s="1" t="str">
        <f t="shared" si="5"/>
        <v>High Cost</v>
      </c>
      <c r="U599" s="4">
        <f t="shared" si="6"/>
        <v>0.0268374155</v>
      </c>
    </row>
    <row r="600">
      <c r="A600" s="4" t="s">
        <v>1376</v>
      </c>
      <c r="B600" s="4" t="s">
        <v>57</v>
      </c>
      <c r="C600" s="4">
        <v>278.6818</v>
      </c>
      <c r="D600" s="4" t="s">
        <v>21</v>
      </c>
      <c r="E600" s="4" t="s">
        <v>22</v>
      </c>
      <c r="F600" s="4">
        <v>68.82</v>
      </c>
      <c r="G600" s="4">
        <v>26.87</v>
      </c>
      <c r="H600" s="4">
        <v>8.0624515493E10</v>
      </c>
      <c r="I600" s="4">
        <v>8.7446054134E10</v>
      </c>
      <c r="J600" s="4" t="s">
        <v>1377</v>
      </c>
      <c r="K600" s="5">
        <v>45331.85833333333</v>
      </c>
      <c r="L600" s="4">
        <v>2.05</v>
      </c>
      <c r="M600" s="4">
        <v>571.3</v>
      </c>
      <c r="N600" s="4">
        <v>571.0</v>
      </c>
      <c r="O600" s="4">
        <v>47393.0</v>
      </c>
      <c r="P600" s="4">
        <f t="shared" si="1"/>
        <v>112.65</v>
      </c>
      <c r="Q600" s="4" t="str">
        <f t="shared" si="2"/>
        <v>Normal</v>
      </c>
      <c r="R600" s="1" t="str">
        <f t="shared" si="3"/>
        <v>Underutilized</v>
      </c>
      <c r="S600" s="4">
        <f t="shared" si="4"/>
        <v>156.5279156</v>
      </c>
      <c r="T600" s="1" t="str">
        <f t="shared" si="5"/>
        <v>Normal Cost</v>
      </c>
      <c r="U600" s="4">
        <f t="shared" si="6"/>
        <v>0.1009537273</v>
      </c>
    </row>
    <row r="601">
      <c r="A601" s="4" t="s">
        <v>1378</v>
      </c>
      <c r="B601" s="4" t="s">
        <v>53</v>
      </c>
      <c r="C601" s="4">
        <v>107.7011</v>
      </c>
      <c r="D601" s="4" t="s">
        <v>17</v>
      </c>
      <c r="E601" s="4" t="s">
        <v>18</v>
      </c>
      <c r="F601" s="4">
        <v>24.41</v>
      </c>
      <c r="G601" s="4">
        <v>29.04</v>
      </c>
      <c r="H601" s="4">
        <v>5.8360197356E10</v>
      </c>
      <c r="I601" s="4">
        <v>5.9141084735E10</v>
      </c>
      <c r="J601" s="4" t="s">
        <v>1379</v>
      </c>
      <c r="K601" s="4" t="s">
        <v>1380</v>
      </c>
      <c r="L601" s="4">
        <v>4.12</v>
      </c>
      <c r="M601" s="4">
        <v>443.73</v>
      </c>
      <c r="N601" s="4">
        <v>444.0</v>
      </c>
      <c r="O601" s="4">
        <v>36852.0</v>
      </c>
      <c r="P601" s="4">
        <f t="shared" si="1"/>
        <v>66.78333333</v>
      </c>
      <c r="Q601" s="4" t="str">
        <f t="shared" si="2"/>
        <v>Underutilized</v>
      </c>
      <c r="R601" s="1" t="str">
        <f t="shared" si="3"/>
        <v>Underutilized</v>
      </c>
      <c r="S601" s="4">
        <f t="shared" si="4"/>
        <v>109.4315966</v>
      </c>
      <c r="T601" s="1" t="str">
        <f t="shared" si="5"/>
        <v>Normal Cost</v>
      </c>
      <c r="U601" s="4">
        <f t="shared" si="6"/>
        <v>0.07251980897</v>
      </c>
    </row>
    <row r="602">
      <c r="A602" s="4" t="s">
        <v>1381</v>
      </c>
      <c r="B602" s="4" t="s">
        <v>53</v>
      </c>
      <c r="C602" s="4">
        <v>472.5108</v>
      </c>
      <c r="D602" s="4" t="s">
        <v>17</v>
      </c>
      <c r="E602" s="4" t="s">
        <v>22</v>
      </c>
      <c r="F602" s="4">
        <v>59.68</v>
      </c>
      <c r="G602" s="4">
        <v>32.7</v>
      </c>
      <c r="H602" s="4">
        <v>5.0485341786E10</v>
      </c>
      <c r="I602" s="4">
        <v>5.9272302026E10</v>
      </c>
      <c r="J602" s="4" t="s">
        <v>1382</v>
      </c>
      <c r="K602" s="4" t="s">
        <v>1383</v>
      </c>
      <c r="L602" s="4">
        <v>8.37</v>
      </c>
      <c r="M602" s="4">
        <v>3954.92</v>
      </c>
      <c r="N602" s="4">
        <v>3955.0</v>
      </c>
      <c r="O602" s="4">
        <v>328265.0</v>
      </c>
      <c r="P602" s="4">
        <f t="shared" si="1"/>
        <v>35.98333333</v>
      </c>
      <c r="Q602" s="4" t="str">
        <f t="shared" si="2"/>
        <v>Normal</v>
      </c>
      <c r="R602" s="1" t="str">
        <f t="shared" si="3"/>
        <v>Underutilized</v>
      </c>
      <c r="S602" s="4">
        <f t="shared" si="4"/>
        <v>102.2197714</v>
      </c>
      <c r="T602" s="1" t="str">
        <f t="shared" si="5"/>
        <v>High Cost</v>
      </c>
      <c r="U602" s="4">
        <f t="shared" si="6"/>
        <v>0.01407094878</v>
      </c>
    </row>
    <row r="603">
      <c r="A603" s="4" t="s">
        <v>1384</v>
      </c>
      <c r="B603" s="4" t="s">
        <v>147</v>
      </c>
      <c r="C603" s="4">
        <v>34.2833</v>
      </c>
      <c r="D603" s="4" t="s">
        <v>42</v>
      </c>
      <c r="E603" s="4" t="s">
        <v>22</v>
      </c>
      <c r="F603" s="4">
        <v>10.03</v>
      </c>
      <c r="G603" s="4">
        <v>96.22</v>
      </c>
      <c r="H603" s="4">
        <v>9.4135245422E10</v>
      </c>
      <c r="I603" s="4">
        <v>9.8449735815E10</v>
      </c>
      <c r="J603" s="5">
        <v>45298.186111111114</v>
      </c>
      <c r="K603" s="5">
        <v>45329.614583333336</v>
      </c>
      <c r="L603" s="4">
        <v>6.14</v>
      </c>
      <c r="M603" s="4">
        <v>210.5</v>
      </c>
      <c r="N603" s="4">
        <v>210.0</v>
      </c>
      <c r="O603" s="4">
        <v>17430.0</v>
      </c>
      <c r="P603" s="4">
        <f t="shared" si="1"/>
        <v>34.28333333</v>
      </c>
      <c r="Q603" s="4" t="str">
        <f t="shared" si="2"/>
        <v>Underutilized</v>
      </c>
      <c r="R603" s="1" t="str">
        <f t="shared" si="3"/>
        <v>High</v>
      </c>
      <c r="S603" s="4">
        <f t="shared" si="4"/>
        <v>179.3587406</v>
      </c>
      <c r="T603" s="1" t="str">
        <f t="shared" si="5"/>
        <v>Normal Cost</v>
      </c>
      <c r="U603" s="4">
        <f t="shared" si="6"/>
        <v>0.3047905909</v>
      </c>
    </row>
    <row r="604">
      <c r="A604" s="4" t="s">
        <v>1385</v>
      </c>
      <c r="B604" s="4" t="s">
        <v>166</v>
      </c>
      <c r="C604" s="4">
        <v>199.0047</v>
      </c>
      <c r="D604" s="4" t="s">
        <v>17</v>
      </c>
      <c r="E604" s="4" t="s">
        <v>58</v>
      </c>
      <c r="F604" s="4">
        <v>68.2</v>
      </c>
      <c r="G604" s="4">
        <v>51.61</v>
      </c>
      <c r="H604" s="4">
        <v>5.3528253656E10</v>
      </c>
      <c r="I604" s="4">
        <v>5.9192635837E10</v>
      </c>
      <c r="J604" s="4" t="s">
        <v>1386</v>
      </c>
      <c r="K604" s="4" t="s">
        <v>1387</v>
      </c>
      <c r="L604" s="4">
        <v>5.99</v>
      </c>
      <c r="M604" s="4">
        <v>1192.04</v>
      </c>
      <c r="N604" s="4">
        <v>1192.0</v>
      </c>
      <c r="O604" s="4">
        <v>98936.0</v>
      </c>
      <c r="P604" s="4">
        <f t="shared" si="1"/>
        <v>109.5333333</v>
      </c>
      <c r="Q604" s="4" t="str">
        <f t="shared" si="2"/>
        <v>Normal</v>
      </c>
      <c r="R604" s="1" t="str">
        <f t="shared" si="3"/>
        <v>Normal</v>
      </c>
      <c r="S604" s="4">
        <f t="shared" si="4"/>
        <v>104.979509</v>
      </c>
      <c r="T604" s="1" t="str">
        <f t="shared" si="5"/>
        <v>Normal Cost</v>
      </c>
      <c r="U604" s="4">
        <f t="shared" si="6"/>
        <v>0.06054924396</v>
      </c>
    </row>
    <row r="605">
      <c r="A605" s="4" t="s">
        <v>1388</v>
      </c>
      <c r="B605" s="4" t="s">
        <v>147</v>
      </c>
      <c r="C605" s="4">
        <v>74.4667</v>
      </c>
      <c r="D605" s="4" t="s">
        <v>42</v>
      </c>
      <c r="E605" s="4" t="s">
        <v>27</v>
      </c>
      <c r="F605" s="4">
        <v>5.07</v>
      </c>
      <c r="G605" s="4">
        <v>44.06</v>
      </c>
      <c r="H605" s="4">
        <v>2.7065705673E10</v>
      </c>
      <c r="I605" s="4">
        <v>3.0638291701E10</v>
      </c>
      <c r="J605" s="5">
        <v>45633.4375</v>
      </c>
      <c r="K605" s="4" t="s">
        <v>1389</v>
      </c>
      <c r="L605" s="4">
        <v>1.35</v>
      </c>
      <c r="M605" s="4">
        <v>100.53</v>
      </c>
      <c r="N605" s="4">
        <v>101.0</v>
      </c>
      <c r="O605" s="4">
        <v>8383.0</v>
      </c>
      <c r="P605" s="4">
        <f t="shared" si="1"/>
        <v>74.46666667</v>
      </c>
      <c r="Q605" s="4" t="str">
        <f t="shared" si="2"/>
        <v>Underutilized</v>
      </c>
      <c r="R605" s="1" t="str">
        <f t="shared" si="3"/>
        <v>Normal</v>
      </c>
      <c r="S605" s="4">
        <f t="shared" si="4"/>
        <v>53.7410354</v>
      </c>
      <c r="T605" s="1" t="str">
        <f t="shared" si="5"/>
        <v>Normal Cost</v>
      </c>
      <c r="U605" s="4">
        <f t="shared" si="6"/>
        <v>0.2930335202</v>
      </c>
    </row>
    <row r="606">
      <c r="A606" s="4" t="s">
        <v>1390</v>
      </c>
      <c r="B606" s="4" t="s">
        <v>41</v>
      </c>
      <c r="C606" s="4">
        <v>30.7</v>
      </c>
      <c r="D606" s="4" t="s">
        <v>42</v>
      </c>
      <c r="E606" s="4" t="s">
        <v>58</v>
      </c>
      <c r="F606" s="4">
        <v>93.43</v>
      </c>
      <c r="G606" s="4">
        <v>60.69</v>
      </c>
      <c r="H606" s="4">
        <v>9.0173241605E10</v>
      </c>
      <c r="I606" s="4">
        <v>9.3835895466E10</v>
      </c>
      <c r="J606" s="5">
        <v>45330.74375</v>
      </c>
      <c r="K606" s="5">
        <v>45390.02291666667</v>
      </c>
      <c r="L606" s="4">
        <v>8.96</v>
      </c>
      <c r="M606" s="4">
        <v>275.07</v>
      </c>
      <c r="N606" s="4">
        <v>275.0</v>
      </c>
      <c r="O606" s="4">
        <v>22825.0</v>
      </c>
      <c r="P606" s="4">
        <f t="shared" si="1"/>
        <v>30.7</v>
      </c>
      <c r="Q606" s="4" t="str">
        <f t="shared" si="2"/>
        <v>High</v>
      </c>
      <c r="R606" s="1" t="str">
        <f t="shared" si="3"/>
        <v>Normal</v>
      </c>
      <c r="S606" s="4">
        <f t="shared" si="4"/>
        <v>171.3718633</v>
      </c>
      <c r="T606" s="1" t="str">
        <f t="shared" si="5"/>
        <v>Normal Cost</v>
      </c>
      <c r="U606" s="4">
        <f t="shared" si="6"/>
        <v>0.3376122673</v>
      </c>
    </row>
    <row r="607">
      <c r="A607" s="4" t="s">
        <v>1391</v>
      </c>
      <c r="B607" s="4" t="s">
        <v>166</v>
      </c>
      <c r="C607" s="4">
        <v>402.1611</v>
      </c>
      <c r="D607" s="4" t="s">
        <v>17</v>
      </c>
      <c r="E607" s="4" t="s">
        <v>74</v>
      </c>
      <c r="F607" s="4">
        <v>58.6</v>
      </c>
      <c r="G607" s="4">
        <v>70.99</v>
      </c>
      <c r="H607" s="4">
        <v>8.0225660303E10</v>
      </c>
      <c r="I607" s="4">
        <v>8.0774640241E10</v>
      </c>
      <c r="J607" s="4" t="s">
        <v>1392</v>
      </c>
      <c r="K607" s="4" t="s">
        <v>1393</v>
      </c>
      <c r="L607" s="4">
        <v>2.62</v>
      </c>
      <c r="M607" s="4">
        <v>1053.66</v>
      </c>
      <c r="N607" s="4">
        <v>1054.0</v>
      </c>
      <c r="O607" s="4">
        <v>87482.0</v>
      </c>
      <c r="P607" s="4">
        <f t="shared" si="1"/>
        <v>143.1166667</v>
      </c>
      <c r="Q607" s="4" t="str">
        <f t="shared" si="2"/>
        <v>Normal</v>
      </c>
      <c r="R607" s="1" t="str">
        <f t="shared" si="3"/>
        <v>Normal</v>
      </c>
      <c r="S607" s="4">
        <f t="shared" si="4"/>
        <v>149.9432144</v>
      </c>
      <c r="T607" s="1" t="str">
        <f t="shared" si="5"/>
        <v>Normal Cost</v>
      </c>
      <c r="U607" s="4">
        <f t="shared" si="6"/>
        <v>0.07406666514</v>
      </c>
    </row>
    <row r="608">
      <c r="A608" s="4" t="s">
        <v>1394</v>
      </c>
      <c r="B608" s="4" t="s">
        <v>60</v>
      </c>
      <c r="C608" s="4">
        <v>70.0</v>
      </c>
      <c r="D608" s="4" t="s">
        <v>42</v>
      </c>
      <c r="E608" s="4" t="s">
        <v>105</v>
      </c>
      <c r="F608" s="4">
        <v>0.19</v>
      </c>
      <c r="G608" s="4">
        <v>63.07</v>
      </c>
      <c r="H608" s="4">
        <v>8.3126833068E10</v>
      </c>
      <c r="I608" s="4">
        <v>9.2600620478E10</v>
      </c>
      <c r="J608" s="4" t="s">
        <v>1395</v>
      </c>
      <c r="K608" s="4" t="s">
        <v>1396</v>
      </c>
      <c r="L608" s="4">
        <v>1.71</v>
      </c>
      <c r="M608" s="4">
        <v>119.7</v>
      </c>
      <c r="N608" s="4">
        <v>120.0</v>
      </c>
      <c r="O608" s="4">
        <v>9960.0</v>
      </c>
      <c r="P608" s="4">
        <f t="shared" si="1"/>
        <v>70</v>
      </c>
      <c r="Q608" s="4" t="str">
        <f t="shared" si="2"/>
        <v>Underutilized</v>
      </c>
      <c r="R608" s="1" t="str">
        <f t="shared" si="3"/>
        <v>Normal</v>
      </c>
      <c r="S608" s="4">
        <f t="shared" si="4"/>
        <v>163.6589445</v>
      </c>
      <c r="T608" s="1" t="str">
        <f t="shared" si="5"/>
        <v>Normal Cost</v>
      </c>
      <c r="U608" s="4">
        <f t="shared" si="6"/>
        <v>0.3175702811</v>
      </c>
    </row>
    <row r="609">
      <c r="A609" s="4" t="s">
        <v>1397</v>
      </c>
      <c r="B609" s="4" t="s">
        <v>139</v>
      </c>
      <c r="C609" s="4">
        <v>109.6333</v>
      </c>
      <c r="D609" s="4" t="s">
        <v>42</v>
      </c>
      <c r="E609" s="4" t="s">
        <v>123</v>
      </c>
      <c r="F609" s="4">
        <v>97.05</v>
      </c>
      <c r="G609" s="4">
        <v>97.65</v>
      </c>
      <c r="H609" s="4">
        <v>6.1917587897E10</v>
      </c>
      <c r="I609" s="4">
        <v>6.7635412141E10</v>
      </c>
      <c r="J609" s="5">
        <v>45573.15</v>
      </c>
      <c r="K609" s="4" t="s">
        <v>1398</v>
      </c>
      <c r="L609" s="4">
        <v>7.78</v>
      </c>
      <c r="M609" s="4">
        <v>852.95</v>
      </c>
      <c r="N609" s="4">
        <v>853.0</v>
      </c>
      <c r="O609" s="4">
        <v>70799.0</v>
      </c>
      <c r="P609" s="4">
        <f t="shared" si="1"/>
        <v>109.6333333</v>
      </c>
      <c r="Q609" s="4" t="str">
        <f t="shared" si="2"/>
        <v>High</v>
      </c>
      <c r="R609" s="1" t="str">
        <f t="shared" si="3"/>
        <v>High</v>
      </c>
      <c r="S609" s="4">
        <f t="shared" si="4"/>
        <v>120.6556335</v>
      </c>
      <c r="T609" s="1" t="str">
        <f t="shared" si="5"/>
        <v>Normal Cost</v>
      </c>
      <c r="U609" s="4">
        <f t="shared" si="6"/>
        <v>0.1375019421</v>
      </c>
    </row>
    <row r="610">
      <c r="A610" s="4" t="s">
        <v>1399</v>
      </c>
      <c r="B610" s="4" t="s">
        <v>79</v>
      </c>
      <c r="C610" s="4">
        <v>740.4587</v>
      </c>
      <c r="D610" s="4" t="s">
        <v>21</v>
      </c>
      <c r="E610" s="4" t="s">
        <v>74</v>
      </c>
      <c r="F610" s="4">
        <v>4.53</v>
      </c>
      <c r="G610" s="4">
        <v>74.01</v>
      </c>
      <c r="H610" s="4">
        <v>7.938375261E10</v>
      </c>
      <c r="I610" s="4">
        <v>8.8680909492E10</v>
      </c>
      <c r="J610" s="4" t="s">
        <v>1400</v>
      </c>
      <c r="K610" s="4" t="s">
        <v>1401</v>
      </c>
      <c r="L610" s="4">
        <v>2.8</v>
      </c>
      <c r="M610" s="4">
        <v>2073.28</v>
      </c>
      <c r="N610" s="4">
        <v>2073.0</v>
      </c>
      <c r="O610" s="4">
        <v>172059.0</v>
      </c>
      <c r="P610" s="4">
        <f t="shared" si="1"/>
        <v>27.76666667</v>
      </c>
      <c r="Q610" s="4" t="str">
        <f t="shared" si="2"/>
        <v>Underutilized</v>
      </c>
      <c r="R610" s="1" t="str">
        <f t="shared" si="3"/>
        <v>Normal</v>
      </c>
      <c r="S610" s="4">
        <f t="shared" si="4"/>
        <v>156.5224138</v>
      </c>
      <c r="T610" s="1" t="str">
        <f t="shared" si="5"/>
        <v>Normal Cost</v>
      </c>
      <c r="U610" s="4">
        <f t="shared" si="6"/>
        <v>0.02282356633</v>
      </c>
    </row>
    <row r="611">
      <c r="A611" s="4" t="s">
        <v>1402</v>
      </c>
      <c r="B611" s="4" t="s">
        <v>83</v>
      </c>
      <c r="C611" s="4">
        <v>422.7299</v>
      </c>
      <c r="D611" s="4" t="s">
        <v>21</v>
      </c>
      <c r="E611" s="4" t="s">
        <v>123</v>
      </c>
      <c r="F611" s="4">
        <v>1.72</v>
      </c>
      <c r="G611" s="4">
        <v>74.52</v>
      </c>
      <c r="H611" s="4">
        <v>7.6049289371E10</v>
      </c>
      <c r="I611" s="4">
        <v>8.4863458397E10</v>
      </c>
      <c r="J611" s="4" t="s">
        <v>1403</v>
      </c>
      <c r="K611" s="4" t="s">
        <v>1404</v>
      </c>
      <c r="L611" s="4">
        <v>4.08</v>
      </c>
      <c r="M611" s="4">
        <v>1724.74</v>
      </c>
      <c r="N611" s="4">
        <v>1725.0</v>
      </c>
      <c r="O611" s="4">
        <v>143175.0</v>
      </c>
      <c r="P611" s="4">
        <f t="shared" si="1"/>
        <v>79.83333333</v>
      </c>
      <c r="Q611" s="4" t="str">
        <f t="shared" si="2"/>
        <v>Underutilized</v>
      </c>
      <c r="R611" s="1" t="str">
        <f t="shared" si="3"/>
        <v>Normal</v>
      </c>
      <c r="S611" s="4">
        <f t="shared" si="4"/>
        <v>149.8616745</v>
      </c>
      <c r="T611" s="1" t="str">
        <f t="shared" si="5"/>
        <v>Normal Cost</v>
      </c>
      <c r="U611" s="4">
        <f t="shared" si="6"/>
        <v>0.02662475991</v>
      </c>
    </row>
    <row r="612">
      <c r="A612" s="4" t="s">
        <v>1405</v>
      </c>
      <c r="B612" s="4" t="s">
        <v>183</v>
      </c>
      <c r="C612" s="4">
        <v>758.306</v>
      </c>
      <c r="D612" s="4" t="s">
        <v>17</v>
      </c>
      <c r="E612" s="4" t="s">
        <v>123</v>
      </c>
      <c r="F612" s="4">
        <v>71.11</v>
      </c>
      <c r="G612" s="4">
        <v>20.31</v>
      </c>
      <c r="H612" s="4">
        <v>2.6769360946E10</v>
      </c>
      <c r="I612" s="4">
        <v>3.3807753371E10</v>
      </c>
      <c r="J612" s="4" t="s">
        <v>1406</v>
      </c>
      <c r="K612" s="4" t="s">
        <v>1407</v>
      </c>
      <c r="L612" s="4">
        <v>8.82</v>
      </c>
      <c r="M612" s="4">
        <v>6688.26</v>
      </c>
      <c r="N612" s="4">
        <v>6688.0</v>
      </c>
      <c r="O612" s="4">
        <v>555104.0</v>
      </c>
      <c r="P612" s="4">
        <f t="shared" si="1"/>
        <v>35.73333333</v>
      </c>
      <c r="Q612" s="4" t="str">
        <f t="shared" si="2"/>
        <v>High</v>
      </c>
      <c r="R612" s="1" t="str">
        <f t="shared" si="3"/>
        <v>Underutilized</v>
      </c>
      <c r="S612" s="4">
        <f t="shared" si="4"/>
        <v>56.41683407</v>
      </c>
      <c r="T612" s="1" t="str">
        <f t="shared" si="5"/>
        <v>High Cost</v>
      </c>
      <c r="U612" s="4">
        <f t="shared" si="6"/>
        <v>0.008234492996</v>
      </c>
    </row>
    <row r="613">
      <c r="A613" s="4" t="s">
        <v>1408</v>
      </c>
      <c r="B613" s="4" t="s">
        <v>169</v>
      </c>
      <c r="C613" s="4">
        <v>768.0133</v>
      </c>
      <c r="D613" s="4" t="s">
        <v>17</v>
      </c>
      <c r="E613" s="4" t="s">
        <v>27</v>
      </c>
      <c r="F613" s="4">
        <v>5.33</v>
      </c>
      <c r="G613" s="4">
        <v>50.11</v>
      </c>
      <c r="H613" s="4">
        <v>5.0942367098E10</v>
      </c>
      <c r="I613" s="4">
        <v>5.8673102217E10</v>
      </c>
      <c r="J613" s="4" t="s">
        <v>1409</v>
      </c>
      <c r="K613" s="4" t="s">
        <v>1410</v>
      </c>
      <c r="L613" s="4">
        <v>7.12</v>
      </c>
      <c r="M613" s="4">
        <v>5468.25</v>
      </c>
      <c r="N613" s="4">
        <v>5468.0</v>
      </c>
      <c r="O613" s="4">
        <v>453844.0</v>
      </c>
      <c r="P613" s="4">
        <f t="shared" si="1"/>
        <v>115.5</v>
      </c>
      <c r="Q613" s="4" t="str">
        <f t="shared" si="2"/>
        <v>Underutilized</v>
      </c>
      <c r="R613" s="1" t="str">
        <f t="shared" si="3"/>
        <v>Normal</v>
      </c>
      <c r="S613" s="4">
        <f t="shared" si="4"/>
        <v>102.0873611</v>
      </c>
      <c r="T613" s="1" t="str">
        <f t="shared" si="5"/>
        <v>High Cost</v>
      </c>
      <c r="U613" s="4">
        <f t="shared" si="6"/>
        <v>0.006107825596</v>
      </c>
    </row>
    <row r="614">
      <c r="A614" s="4" t="s">
        <v>1411</v>
      </c>
      <c r="B614" s="4" t="s">
        <v>36</v>
      </c>
      <c r="C614" s="4">
        <v>933.6444</v>
      </c>
      <c r="D614" s="4" t="s">
        <v>17</v>
      </c>
      <c r="E614" s="4" t="s">
        <v>123</v>
      </c>
      <c r="F614" s="4">
        <v>92.88</v>
      </c>
      <c r="G614" s="4">
        <v>35.54</v>
      </c>
      <c r="H614" s="4">
        <v>3.8215807762E10</v>
      </c>
      <c r="I614" s="4">
        <v>4.590959343E10</v>
      </c>
      <c r="J614" s="5">
        <v>45298.12291666667</v>
      </c>
      <c r="K614" s="5">
        <v>45419.311111111114</v>
      </c>
      <c r="L614" s="4">
        <v>2.74</v>
      </c>
      <c r="M614" s="4">
        <v>2558.19</v>
      </c>
      <c r="N614" s="4">
        <v>2558.0</v>
      </c>
      <c r="O614" s="4">
        <v>212314.0</v>
      </c>
      <c r="P614" s="4">
        <f t="shared" si="1"/>
        <v>100.5166667</v>
      </c>
      <c r="Q614" s="4" t="str">
        <f t="shared" si="2"/>
        <v>High</v>
      </c>
      <c r="R614" s="1" t="str">
        <f t="shared" si="3"/>
        <v>Underutilized</v>
      </c>
      <c r="S614" s="4">
        <f t="shared" si="4"/>
        <v>78.34788523</v>
      </c>
      <c r="T614" s="1" t="str">
        <f t="shared" si="5"/>
        <v>High Cost</v>
      </c>
      <c r="U614" s="4">
        <f t="shared" si="6"/>
        <v>0.03024294206</v>
      </c>
    </row>
    <row r="615">
      <c r="A615" s="4" t="s">
        <v>1412</v>
      </c>
      <c r="B615" s="4" t="s">
        <v>20</v>
      </c>
      <c r="C615" s="4">
        <v>579.897</v>
      </c>
      <c r="D615" s="4" t="s">
        <v>17</v>
      </c>
      <c r="E615" s="4" t="s">
        <v>74</v>
      </c>
      <c r="F615" s="4">
        <v>15.28</v>
      </c>
      <c r="G615" s="4">
        <v>86.99</v>
      </c>
      <c r="H615" s="4">
        <v>6.0995867173E10</v>
      </c>
      <c r="I615" s="4">
        <v>6.1780596439E10</v>
      </c>
      <c r="J615" s="4" t="s">
        <v>1413</v>
      </c>
      <c r="K615" s="4" t="s">
        <v>1414</v>
      </c>
      <c r="L615" s="4">
        <v>1.5</v>
      </c>
      <c r="M615" s="4">
        <v>869.85</v>
      </c>
      <c r="N615" s="4">
        <v>870.0</v>
      </c>
      <c r="O615" s="4">
        <v>72210.0</v>
      </c>
      <c r="P615" s="4">
        <f t="shared" si="1"/>
        <v>61.25</v>
      </c>
      <c r="Q615" s="4" t="str">
        <f t="shared" si="2"/>
        <v>Underutilized</v>
      </c>
      <c r="R615" s="1" t="str">
        <f t="shared" si="3"/>
        <v>High</v>
      </c>
      <c r="S615" s="4">
        <f t="shared" si="4"/>
        <v>114.3444922</v>
      </c>
      <c r="T615" s="1" t="str">
        <f t="shared" si="5"/>
        <v>Normal Cost</v>
      </c>
      <c r="U615" s="4">
        <f t="shared" si="6"/>
        <v>0.07081429165</v>
      </c>
    </row>
    <row r="616">
      <c r="A616" s="4" t="s">
        <v>1415</v>
      </c>
      <c r="B616" s="4" t="s">
        <v>57</v>
      </c>
      <c r="C616" s="4">
        <v>75.9818</v>
      </c>
      <c r="D616" s="4" t="s">
        <v>17</v>
      </c>
      <c r="E616" s="4" t="s">
        <v>22</v>
      </c>
      <c r="F616" s="4">
        <v>18.79</v>
      </c>
      <c r="G616" s="4">
        <v>10.51</v>
      </c>
      <c r="H616" s="4">
        <v>3.8046686352E10</v>
      </c>
      <c r="I616" s="4">
        <v>4.1138689229E10</v>
      </c>
      <c r="J616" s="5">
        <v>45634.53055555555</v>
      </c>
      <c r="K616" s="4" t="s">
        <v>1416</v>
      </c>
      <c r="L616" s="4">
        <v>4.09</v>
      </c>
      <c r="M616" s="4">
        <v>310.77</v>
      </c>
      <c r="N616" s="4">
        <v>311.0</v>
      </c>
      <c r="O616" s="4">
        <v>25813.0</v>
      </c>
      <c r="P616" s="4">
        <f t="shared" si="1"/>
        <v>71</v>
      </c>
      <c r="Q616" s="4" t="str">
        <f t="shared" si="2"/>
        <v>Underutilized</v>
      </c>
      <c r="R616" s="1" t="str">
        <f t="shared" si="3"/>
        <v>Underutilized</v>
      </c>
      <c r="S616" s="4">
        <f t="shared" si="4"/>
        <v>73.74712786</v>
      </c>
      <c r="T616" s="1" t="str">
        <f t="shared" si="5"/>
        <v>Normal Cost</v>
      </c>
      <c r="U616" s="4">
        <f t="shared" si="6"/>
        <v>0.05675434858</v>
      </c>
    </row>
    <row r="617">
      <c r="A617" s="4" t="s">
        <v>1417</v>
      </c>
      <c r="B617" s="4" t="s">
        <v>66</v>
      </c>
      <c r="C617" s="4">
        <v>364.5037</v>
      </c>
      <c r="D617" s="4" t="s">
        <v>21</v>
      </c>
      <c r="E617" s="4" t="s">
        <v>18</v>
      </c>
      <c r="F617" s="4">
        <v>50.11</v>
      </c>
      <c r="G617" s="4">
        <v>2.28</v>
      </c>
      <c r="H617" s="4">
        <v>7.7440994177E10</v>
      </c>
      <c r="I617" s="4">
        <v>7.784075432E10</v>
      </c>
      <c r="J617" s="4" t="s">
        <v>1418</v>
      </c>
      <c r="K617" s="5">
        <v>45299.513194444444</v>
      </c>
      <c r="L617" s="4">
        <v>3.65</v>
      </c>
      <c r="M617" s="4">
        <v>1330.44</v>
      </c>
      <c r="N617" s="4">
        <v>1330.0</v>
      </c>
      <c r="O617" s="4">
        <v>110390.0</v>
      </c>
      <c r="P617" s="4">
        <f t="shared" si="1"/>
        <v>112.8833333</v>
      </c>
      <c r="Q617" s="4" t="str">
        <f t="shared" si="2"/>
        <v>Normal</v>
      </c>
      <c r="R617" s="1" t="str">
        <f t="shared" si="3"/>
        <v>Underutilized</v>
      </c>
      <c r="S617" s="4">
        <f t="shared" si="4"/>
        <v>144.6173978</v>
      </c>
      <c r="T617" s="1" t="str">
        <f t="shared" si="5"/>
        <v>Normal Cost</v>
      </c>
      <c r="U617" s="4">
        <f t="shared" si="6"/>
        <v>0.02372950448</v>
      </c>
    </row>
    <row r="618">
      <c r="A618" s="4" t="s">
        <v>1419</v>
      </c>
      <c r="B618" s="4" t="s">
        <v>139</v>
      </c>
      <c r="C618" s="4">
        <v>82.9</v>
      </c>
      <c r="D618" s="4" t="s">
        <v>42</v>
      </c>
      <c r="E618" s="4" t="s">
        <v>155</v>
      </c>
      <c r="F618" s="4">
        <v>44.88</v>
      </c>
      <c r="G618" s="4">
        <v>94.96</v>
      </c>
      <c r="H618" s="4">
        <v>1.3212279998E10</v>
      </c>
      <c r="I618" s="4">
        <v>1.7308367361E10</v>
      </c>
      <c r="J618" s="5">
        <v>45329.097916666666</v>
      </c>
      <c r="K618" s="5">
        <v>45419.552083333336</v>
      </c>
      <c r="L618" s="4">
        <v>6.66</v>
      </c>
      <c r="M618" s="4">
        <v>552.11</v>
      </c>
      <c r="N618" s="4">
        <v>552.0</v>
      </c>
      <c r="O618" s="4">
        <v>45816.0</v>
      </c>
      <c r="P618" s="4">
        <f t="shared" si="1"/>
        <v>82.9</v>
      </c>
      <c r="Q618" s="4" t="str">
        <f t="shared" si="2"/>
        <v>Normal</v>
      </c>
      <c r="R618" s="1" t="str">
        <f t="shared" si="3"/>
        <v>High</v>
      </c>
      <c r="S618" s="4">
        <f t="shared" si="4"/>
        <v>28.42456788</v>
      </c>
      <c r="T618" s="1" t="str">
        <f t="shared" si="5"/>
        <v>Normal Cost</v>
      </c>
      <c r="U618" s="4">
        <f t="shared" si="6"/>
        <v>0.1526104418</v>
      </c>
    </row>
    <row r="619">
      <c r="A619" s="4" t="s">
        <v>1420</v>
      </c>
      <c r="B619" s="4" t="s">
        <v>26</v>
      </c>
      <c r="C619" s="4">
        <v>357.5289</v>
      </c>
      <c r="D619" s="4" t="s">
        <v>17</v>
      </c>
      <c r="E619" s="4" t="s">
        <v>155</v>
      </c>
      <c r="F619" s="4">
        <v>19.36</v>
      </c>
      <c r="G619" s="4">
        <v>40.14</v>
      </c>
      <c r="H619" s="4">
        <v>1.0886501175E10</v>
      </c>
      <c r="I619" s="4">
        <v>2.0627001344E10</v>
      </c>
      <c r="J619" s="5">
        <v>45543.47083333333</v>
      </c>
      <c r="K619" s="4" t="s">
        <v>1421</v>
      </c>
      <c r="L619" s="4">
        <v>2.43</v>
      </c>
      <c r="M619" s="4">
        <v>868.8</v>
      </c>
      <c r="N619" s="4">
        <v>869.0</v>
      </c>
      <c r="O619" s="4">
        <v>72127.0</v>
      </c>
      <c r="P619" s="4">
        <f t="shared" si="1"/>
        <v>129.1666667</v>
      </c>
      <c r="Q619" s="4" t="str">
        <f t="shared" si="2"/>
        <v>Underutilized</v>
      </c>
      <c r="R619" s="1" t="str">
        <f t="shared" si="3"/>
        <v>Normal</v>
      </c>
      <c r="S619" s="4">
        <f t="shared" si="4"/>
        <v>29.3492363</v>
      </c>
      <c r="T619" s="1" t="str">
        <f t="shared" si="5"/>
        <v>Normal Cost</v>
      </c>
      <c r="U619" s="4">
        <f t="shared" si="6"/>
        <v>0.04124668987</v>
      </c>
    </row>
    <row r="620">
      <c r="A620" s="4" t="s">
        <v>1422</v>
      </c>
      <c r="B620" s="4" t="s">
        <v>60</v>
      </c>
      <c r="C620" s="4">
        <v>61.4833</v>
      </c>
      <c r="D620" s="4" t="s">
        <v>42</v>
      </c>
      <c r="E620" s="4" t="s">
        <v>58</v>
      </c>
      <c r="F620" s="4">
        <v>73.77</v>
      </c>
      <c r="G620" s="4">
        <v>16.96</v>
      </c>
      <c r="H620" s="4">
        <v>6.0202055264E10</v>
      </c>
      <c r="I620" s="4">
        <v>6.8337416384E10</v>
      </c>
      <c r="J620" s="5">
        <v>45543.450694444444</v>
      </c>
      <c r="K620" s="5">
        <v>45634.0125</v>
      </c>
      <c r="L620" s="4">
        <v>3.98</v>
      </c>
      <c r="M620" s="4">
        <v>244.7</v>
      </c>
      <c r="N620" s="4">
        <v>245.0</v>
      </c>
      <c r="O620" s="4">
        <v>20335.0</v>
      </c>
      <c r="P620" s="4">
        <f t="shared" si="1"/>
        <v>61.48333333</v>
      </c>
      <c r="Q620" s="4" t="str">
        <f t="shared" si="2"/>
        <v>High</v>
      </c>
      <c r="R620" s="1" t="str">
        <f t="shared" si="3"/>
        <v>Underutilized</v>
      </c>
      <c r="S620" s="4">
        <f t="shared" si="4"/>
        <v>119.7117117</v>
      </c>
      <c r="T620" s="1" t="str">
        <f t="shared" si="5"/>
        <v>Normal Cost</v>
      </c>
      <c r="U620" s="4">
        <f t="shared" si="6"/>
        <v>0.2230882715</v>
      </c>
    </row>
    <row r="621">
      <c r="A621" s="4" t="s">
        <v>1423</v>
      </c>
      <c r="B621" s="4" t="s">
        <v>41</v>
      </c>
      <c r="C621" s="4">
        <v>132.5833</v>
      </c>
      <c r="D621" s="4" t="s">
        <v>42</v>
      </c>
      <c r="E621" s="4" t="s">
        <v>32</v>
      </c>
      <c r="F621" s="4">
        <v>32.95</v>
      </c>
      <c r="G621" s="4">
        <v>50.84</v>
      </c>
      <c r="H621" s="4">
        <v>6.2624375224E10</v>
      </c>
      <c r="I621" s="4">
        <v>6.6506699642E10</v>
      </c>
      <c r="J621" s="4" t="s">
        <v>1424</v>
      </c>
      <c r="K621" s="5">
        <v>45360.31597222222</v>
      </c>
      <c r="L621" s="4">
        <v>8.24</v>
      </c>
      <c r="M621" s="4">
        <v>1092.49</v>
      </c>
      <c r="N621" s="4">
        <v>1092.0</v>
      </c>
      <c r="O621" s="4">
        <v>90636.0</v>
      </c>
      <c r="P621" s="4">
        <f t="shared" si="1"/>
        <v>132.5833333</v>
      </c>
      <c r="Q621" s="4" t="str">
        <f t="shared" si="2"/>
        <v>Normal</v>
      </c>
      <c r="R621" s="1" t="str">
        <f t="shared" si="3"/>
        <v>Normal</v>
      </c>
      <c r="S621" s="4">
        <f t="shared" si="4"/>
        <v>120.2626851</v>
      </c>
      <c r="T621" s="1" t="str">
        <f t="shared" si="5"/>
        <v>Normal Cost</v>
      </c>
      <c r="U621" s="4">
        <f t="shared" si="6"/>
        <v>0.04622335496</v>
      </c>
    </row>
    <row r="622">
      <c r="A622" s="4" t="s">
        <v>1425</v>
      </c>
      <c r="B622" s="4" t="s">
        <v>183</v>
      </c>
      <c r="C622" s="4">
        <v>931.6294</v>
      </c>
      <c r="D622" s="4" t="s">
        <v>17</v>
      </c>
      <c r="E622" s="4" t="s">
        <v>18</v>
      </c>
      <c r="F622" s="4">
        <v>69.47</v>
      </c>
      <c r="G622" s="4">
        <v>60.8</v>
      </c>
      <c r="H622" s="4">
        <v>3.9058017625E10</v>
      </c>
      <c r="I622" s="4">
        <v>4.8645923518E10</v>
      </c>
      <c r="J622" s="4" t="s">
        <v>1426</v>
      </c>
      <c r="K622" s="4" t="s">
        <v>1427</v>
      </c>
      <c r="L622" s="4">
        <v>3.15</v>
      </c>
      <c r="M622" s="4">
        <v>2934.63</v>
      </c>
      <c r="N622" s="4">
        <v>2935.0</v>
      </c>
      <c r="O622" s="4">
        <v>243605.0</v>
      </c>
      <c r="P622" s="4">
        <f t="shared" si="1"/>
        <v>24.01666667</v>
      </c>
      <c r="Q622" s="4" t="str">
        <f t="shared" si="2"/>
        <v>Normal</v>
      </c>
      <c r="R622" s="1" t="str">
        <f t="shared" si="3"/>
        <v>Normal</v>
      </c>
      <c r="S622" s="4">
        <f t="shared" si="4"/>
        <v>81.68066027</v>
      </c>
      <c r="T622" s="1" t="str">
        <f t="shared" si="5"/>
        <v>High Cost</v>
      </c>
      <c r="U622" s="4">
        <f t="shared" si="6"/>
        <v>0.02673795694</v>
      </c>
    </row>
    <row r="623">
      <c r="A623" s="4" t="s">
        <v>1428</v>
      </c>
      <c r="B623" s="4" t="s">
        <v>112</v>
      </c>
      <c r="C623" s="4">
        <v>103.9167</v>
      </c>
      <c r="D623" s="4" t="s">
        <v>42</v>
      </c>
      <c r="E623" s="4" t="s">
        <v>70</v>
      </c>
      <c r="F623" s="4">
        <v>93.48</v>
      </c>
      <c r="G623" s="4">
        <v>32.8</v>
      </c>
      <c r="H623" s="4">
        <v>3.2475050333E10</v>
      </c>
      <c r="I623" s="4">
        <v>4.0333849858E10</v>
      </c>
      <c r="J623" s="5">
        <v>45298.37430555555</v>
      </c>
      <c r="K623" s="5">
        <v>45419.70416666667</v>
      </c>
      <c r="L623" s="4">
        <v>8.52</v>
      </c>
      <c r="M623" s="4">
        <v>885.37</v>
      </c>
      <c r="N623" s="4">
        <v>885.0</v>
      </c>
      <c r="O623" s="4">
        <v>73455.0</v>
      </c>
      <c r="P623" s="4">
        <f t="shared" si="1"/>
        <v>103.9166667</v>
      </c>
      <c r="Q623" s="4" t="str">
        <f t="shared" si="2"/>
        <v>High</v>
      </c>
      <c r="R623" s="1" t="str">
        <f t="shared" si="3"/>
        <v>Underutilized</v>
      </c>
      <c r="S623" s="4">
        <f t="shared" si="4"/>
        <v>67.80857238</v>
      </c>
      <c r="T623" s="1" t="str">
        <f t="shared" si="5"/>
        <v>Normal Cost</v>
      </c>
      <c r="U623" s="4">
        <f t="shared" si="6"/>
        <v>0.08595738888</v>
      </c>
    </row>
    <row r="624">
      <c r="A624" s="4" t="s">
        <v>1429</v>
      </c>
      <c r="B624" s="4" t="s">
        <v>128</v>
      </c>
      <c r="C624" s="4">
        <v>142.5774</v>
      </c>
      <c r="D624" s="4" t="s">
        <v>21</v>
      </c>
      <c r="E624" s="4" t="s">
        <v>74</v>
      </c>
      <c r="F624" s="4">
        <v>61.06</v>
      </c>
      <c r="G624" s="4">
        <v>25.1</v>
      </c>
      <c r="H624" s="4">
        <v>8.9802450137E10</v>
      </c>
      <c r="I624" s="4">
        <v>9.4186930893E10</v>
      </c>
      <c r="J624" s="5">
        <v>45358.572916666664</v>
      </c>
      <c r="K624" s="5">
        <v>45480.847916666666</v>
      </c>
      <c r="L624" s="4">
        <v>6.06</v>
      </c>
      <c r="M624" s="4">
        <v>864.02</v>
      </c>
      <c r="N624" s="4">
        <v>864.0</v>
      </c>
      <c r="O624" s="4">
        <v>71712.0</v>
      </c>
      <c r="P624" s="4">
        <f t="shared" si="1"/>
        <v>102.6</v>
      </c>
      <c r="Q624" s="4" t="str">
        <f t="shared" si="2"/>
        <v>Normal</v>
      </c>
      <c r="R624" s="1" t="str">
        <f t="shared" si="3"/>
        <v>Underutilized</v>
      </c>
      <c r="S624" s="4">
        <f t="shared" si="4"/>
        <v>171.353464</v>
      </c>
      <c r="T624" s="1" t="str">
        <f t="shared" si="5"/>
        <v>Normal Cost</v>
      </c>
      <c r="U624" s="4">
        <f t="shared" si="6"/>
        <v>0.06007362784</v>
      </c>
    </row>
    <row r="625">
      <c r="A625" s="4" t="s">
        <v>1430</v>
      </c>
      <c r="B625" s="4" t="s">
        <v>66</v>
      </c>
      <c r="C625" s="4">
        <v>395.8666</v>
      </c>
      <c r="D625" s="4" t="s">
        <v>17</v>
      </c>
      <c r="E625" s="4" t="s">
        <v>123</v>
      </c>
      <c r="F625" s="4">
        <v>31.76</v>
      </c>
      <c r="G625" s="4">
        <v>4.0</v>
      </c>
      <c r="H625" s="4">
        <v>9.0103791429E10</v>
      </c>
      <c r="I625" s="4">
        <v>9.6109228818E10</v>
      </c>
      <c r="J625" s="5">
        <v>45330.660416666666</v>
      </c>
      <c r="K625" s="5">
        <v>45390.583333333336</v>
      </c>
      <c r="L625" s="4">
        <v>6.32</v>
      </c>
      <c r="M625" s="4">
        <v>2501.88</v>
      </c>
      <c r="N625" s="4">
        <v>2502.0</v>
      </c>
      <c r="O625" s="4">
        <v>207666.0</v>
      </c>
      <c r="P625" s="4">
        <f t="shared" si="1"/>
        <v>46.15</v>
      </c>
      <c r="Q625" s="4" t="str">
        <f t="shared" si="2"/>
        <v>Normal</v>
      </c>
      <c r="R625" s="1" t="str">
        <f t="shared" si="3"/>
        <v>Underutilized</v>
      </c>
      <c r="S625" s="4">
        <f t="shared" si="4"/>
        <v>173.4243894</v>
      </c>
      <c r="T625" s="1" t="str">
        <f t="shared" si="5"/>
        <v>High Cost</v>
      </c>
      <c r="U625" s="4">
        <f t="shared" si="6"/>
        <v>0.008609979486</v>
      </c>
    </row>
    <row r="626">
      <c r="A626" s="4" t="s">
        <v>1431</v>
      </c>
      <c r="B626" s="4" t="s">
        <v>66</v>
      </c>
      <c r="C626" s="4">
        <v>691.7493</v>
      </c>
      <c r="D626" s="4" t="s">
        <v>21</v>
      </c>
      <c r="E626" s="4" t="s">
        <v>37</v>
      </c>
      <c r="F626" s="4">
        <v>3.07</v>
      </c>
      <c r="G626" s="4">
        <v>5.56</v>
      </c>
      <c r="H626" s="4">
        <v>4.16957707E9</v>
      </c>
      <c r="I626" s="4">
        <v>1.1227431169E10</v>
      </c>
      <c r="J626" s="4" t="s">
        <v>1432</v>
      </c>
      <c r="K626" s="4" t="s">
        <v>1433</v>
      </c>
      <c r="L626" s="4">
        <v>5.71</v>
      </c>
      <c r="M626" s="4">
        <v>3949.89</v>
      </c>
      <c r="N626" s="4">
        <v>3950.0</v>
      </c>
      <c r="O626" s="4">
        <v>327850.0</v>
      </c>
      <c r="P626" s="4">
        <f t="shared" si="1"/>
        <v>136.1833333</v>
      </c>
      <c r="Q626" s="4" t="str">
        <f t="shared" si="2"/>
        <v>Underutilized</v>
      </c>
      <c r="R626" s="1" t="str">
        <f t="shared" si="3"/>
        <v>Underutilized</v>
      </c>
      <c r="S626" s="4">
        <f t="shared" si="4"/>
        <v>14.33958135</v>
      </c>
      <c r="T626" s="1" t="str">
        <f t="shared" si="5"/>
        <v>High Cost</v>
      </c>
      <c r="U626" s="4">
        <f t="shared" si="6"/>
        <v>0.001316150679</v>
      </c>
    </row>
    <row r="627">
      <c r="A627" s="4" t="s">
        <v>1434</v>
      </c>
      <c r="B627" s="4" t="s">
        <v>147</v>
      </c>
      <c r="C627" s="4">
        <v>31.4</v>
      </c>
      <c r="D627" s="4" t="s">
        <v>42</v>
      </c>
      <c r="E627" s="4" t="s">
        <v>123</v>
      </c>
      <c r="F627" s="4">
        <v>66.21</v>
      </c>
      <c r="G627" s="4">
        <v>60.58</v>
      </c>
      <c r="H627" s="4">
        <v>4.8909078248E10</v>
      </c>
      <c r="I627" s="4">
        <v>5.6422763858E10</v>
      </c>
      <c r="J627" s="5">
        <v>45543.06597222222</v>
      </c>
      <c r="K627" s="5">
        <v>45573.37430555555</v>
      </c>
      <c r="L627" s="4">
        <v>4.56</v>
      </c>
      <c r="M627" s="4">
        <v>143.18</v>
      </c>
      <c r="N627" s="4">
        <v>143.0</v>
      </c>
      <c r="O627" s="4">
        <v>11869.0</v>
      </c>
      <c r="P627" s="4">
        <f t="shared" si="1"/>
        <v>31.4</v>
      </c>
      <c r="Q627" s="4" t="str">
        <f t="shared" si="2"/>
        <v>Normal</v>
      </c>
      <c r="R627" s="1" t="str">
        <f t="shared" si="3"/>
        <v>Normal</v>
      </c>
      <c r="S627" s="4">
        <f t="shared" si="4"/>
        <v>98.09792238</v>
      </c>
      <c r="T627" s="1" t="str">
        <f t="shared" si="5"/>
        <v>Normal Cost</v>
      </c>
      <c r="U627" s="4">
        <f t="shared" si="6"/>
        <v>0.534122504</v>
      </c>
    </row>
    <row r="628">
      <c r="A628" s="4" t="s">
        <v>1435</v>
      </c>
      <c r="B628" s="4" t="s">
        <v>26</v>
      </c>
      <c r="C628" s="4">
        <v>94.6982</v>
      </c>
      <c r="D628" s="4" t="s">
        <v>17</v>
      </c>
      <c r="E628" s="4" t="s">
        <v>155</v>
      </c>
      <c r="F628" s="4">
        <v>98.0</v>
      </c>
      <c r="G628" s="4">
        <v>36.52</v>
      </c>
      <c r="H628" s="4">
        <v>9.14725292E9</v>
      </c>
      <c r="I628" s="4">
        <v>1.4178293537E10</v>
      </c>
      <c r="J628" s="4" t="s">
        <v>1436</v>
      </c>
      <c r="K628" s="5">
        <v>45299.11944444444</v>
      </c>
      <c r="L628" s="4">
        <v>7.05</v>
      </c>
      <c r="M628" s="4">
        <v>667.62</v>
      </c>
      <c r="N628" s="4">
        <v>668.0</v>
      </c>
      <c r="O628" s="4">
        <v>55444.0</v>
      </c>
      <c r="P628" s="4">
        <f t="shared" si="1"/>
        <v>55.26666667</v>
      </c>
      <c r="Q628" s="4" t="str">
        <f t="shared" si="2"/>
        <v>High</v>
      </c>
      <c r="R628" s="1" t="str">
        <f t="shared" si="3"/>
        <v>Underutilized</v>
      </c>
      <c r="S628" s="4">
        <f t="shared" si="4"/>
        <v>21.72360798</v>
      </c>
      <c r="T628" s="1" t="str">
        <f t="shared" si="5"/>
        <v>Normal Cost</v>
      </c>
      <c r="U628" s="4">
        <f t="shared" si="6"/>
        <v>0.1213115937</v>
      </c>
    </row>
    <row r="629">
      <c r="A629" s="4" t="s">
        <v>1437</v>
      </c>
      <c r="B629" s="4" t="s">
        <v>31</v>
      </c>
      <c r="C629" s="4">
        <v>323.6305</v>
      </c>
      <c r="D629" s="4" t="s">
        <v>21</v>
      </c>
      <c r="E629" s="4" t="s">
        <v>70</v>
      </c>
      <c r="F629" s="4">
        <v>85.01</v>
      </c>
      <c r="G629" s="4">
        <v>78.84</v>
      </c>
      <c r="H629" s="4">
        <v>8.4496301651E10</v>
      </c>
      <c r="I629" s="4">
        <v>8.5421901662E10</v>
      </c>
      <c r="J629" s="5">
        <v>45543.521527777775</v>
      </c>
      <c r="K629" s="5">
        <v>45634.240277777775</v>
      </c>
      <c r="L629" s="4">
        <v>5.99</v>
      </c>
      <c r="M629" s="4">
        <v>1938.55</v>
      </c>
      <c r="N629" s="4">
        <v>1939.0</v>
      </c>
      <c r="O629" s="4">
        <v>160937.0</v>
      </c>
      <c r="P629" s="4">
        <f t="shared" si="1"/>
        <v>65.25</v>
      </c>
      <c r="Q629" s="4" t="str">
        <f t="shared" si="2"/>
        <v>High</v>
      </c>
      <c r="R629" s="1" t="str">
        <f t="shared" si="3"/>
        <v>High</v>
      </c>
      <c r="S629" s="4">
        <f t="shared" si="4"/>
        <v>158.2486586</v>
      </c>
      <c r="T629" s="1" t="str">
        <f t="shared" si="5"/>
        <v>Normal Cost</v>
      </c>
      <c r="U629" s="4">
        <f t="shared" si="6"/>
        <v>0.05090501252</v>
      </c>
    </row>
    <row r="630">
      <c r="A630" s="4" t="s">
        <v>1438</v>
      </c>
      <c r="B630" s="4" t="s">
        <v>169</v>
      </c>
      <c r="C630" s="4">
        <v>773.7328</v>
      </c>
      <c r="D630" s="4" t="s">
        <v>21</v>
      </c>
      <c r="E630" s="4" t="s">
        <v>27</v>
      </c>
      <c r="F630" s="4">
        <v>0.72</v>
      </c>
      <c r="G630" s="4">
        <v>75.7</v>
      </c>
      <c r="H630" s="4">
        <v>5.2580606871E10</v>
      </c>
      <c r="I630" s="4">
        <v>5.471822072E10</v>
      </c>
      <c r="J630" s="4" t="s">
        <v>1439</v>
      </c>
      <c r="K630" s="4" t="s">
        <v>1440</v>
      </c>
      <c r="L630" s="4">
        <v>7.67</v>
      </c>
      <c r="M630" s="4">
        <v>5934.53</v>
      </c>
      <c r="N630" s="4">
        <v>5935.0</v>
      </c>
      <c r="O630" s="4">
        <v>492605.0</v>
      </c>
      <c r="P630" s="4">
        <f t="shared" si="1"/>
        <v>101.45</v>
      </c>
      <c r="Q630" s="4" t="str">
        <f t="shared" si="2"/>
        <v>Underutilized</v>
      </c>
      <c r="R630" s="1" t="str">
        <f t="shared" si="3"/>
        <v>High</v>
      </c>
      <c r="S630" s="4">
        <f t="shared" si="4"/>
        <v>99.92982037</v>
      </c>
      <c r="T630" s="1" t="str">
        <f t="shared" si="5"/>
        <v>High Cost</v>
      </c>
      <c r="U630" s="4">
        <f t="shared" si="6"/>
        <v>0.007756721917</v>
      </c>
    </row>
    <row r="631">
      <c r="A631" s="4" t="s">
        <v>1441</v>
      </c>
      <c r="B631" s="4" t="s">
        <v>46</v>
      </c>
      <c r="C631" s="4">
        <v>654.2975</v>
      </c>
      <c r="D631" s="4" t="s">
        <v>21</v>
      </c>
      <c r="E631" s="4" t="s">
        <v>54</v>
      </c>
      <c r="F631" s="4">
        <v>20.92</v>
      </c>
      <c r="G631" s="4">
        <v>76.59</v>
      </c>
      <c r="H631" s="4">
        <v>1.6174137911E10</v>
      </c>
      <c r="I631" s="4">
        <v>1.8145286001E10</v>
      </c>
      <c r="J631" s="4" t="s">
        <v>1442</v>
      </c>
      <c r="K631" s="4" t="s">
        <v>1443</v>
      </c>
      <c r="L631" s="4">
        <v>1.36</v>
      </c>
      <c r="M631" s="4">
        <v>889.84</v>
      </c>
      <c r="N631" s="4">
        <v>890.0</v>
      </c>
      <c r="O631" s="4">
        <v>73870.0</v>
      </c>
      <c r="P631" s="4">
        <f t="shared" si="1"/>
        <v>98.51666667</v>
      </c>
      <c r="Q631" s="4" t="str">
        <f t="shared" si="2"/>
        <v>Underutilized</v>
      </c>
      <c r="R631" s="1" t="str">
        <f t="shared" si="3"/>
        <v>High</v>
      </c>
      <c r="S631" s="4">
        <f t="shared" si="4"/>
        <v>31.96245424</v>
      </c>
      <c r="T631" s="1" t="str">
        <f t="shared" si="5"/>
        <v>Normal Cost</v>
      </c>
      <c r="U631" s="4">
        <f t="shared" si="6"/>
        <v>0.06600108298</v>
      </c>
    </row>
    <row r="632">
      <c r="A632" s="4" t="s">
        <v>1444</v>
      </c>
      <c r="B632" s="4" t="s">
        <v>83</v>
      </c>
      <c r="C632" s="4">
        <v>353.1097</v>
      </c>
      <c r="D632" s="4" t="s">
        <v>21</v>
      </c>
      <c r="E632" s="4" t="s">
        <v>155</v>
      </c>
      <c r="F632" s="4">
        <v>71.19</v>
      </c>
      <c r="G632" s="4">
        <v>63.19</v>
      </c>
      <c r="H632" s="4">
        <v>7.5436784164E10</v>
      </c>
      <c r="I632" s="4">
        <v>8.4411038163E10</v>
      </c>
      <c r="J632" s="5">
        <v>45573.26111111111</v>
      </c>
      <c r="K632" s="5">
        <v>45604.975694444445</v>
      </c>
      <c r="L632" s="4">
        <v>5.27</v>
      </c>
      <c r="M632" s="4">
        <v>1860.89</v>
      </c>
      <c r="N632" s="4">
        <v>1861.0</v>
      </c>
      <c r="O632" s="4">
        <v>154463.0</v>
      </c>
      <c r="P632" s="4">
        <f t="shared" si="1"/>
        <v>41.15</v>
      </c>
      <c r="Q632" s="4" t="str">
        <f t="shared" si="2"/>
        <v>High</v>
      </c>
      <c r="R632" s="1" t="str">
        <f t="shared" si="3"/>
        <v>Normal</v>
      </c>
      <c r="S632" s="4">
        <f t="shared" si="4"/>
        <v>148.8698854</v>
      </c>
      <c r="T632" s="1" t="str">
        <f t="shared" si="5"/>
        <v>Normal Cost</v>
      </c>
      <c r="U632" s="4">
        <f t="shared" si="6"/>
        <v>0.0434990904</v>
      </c>
    </row>
    <row r="633">
      <c r="A633" s="4" t="s">
        <v>1445</v>
      </c>
      <c r="B633" s="4" t="s">
        <v>350</v>
      </c>
      <c r="C633" s="4">
        <v>733.4302</v>
      </c>
      <c r="D633" s="4" t="s">
        <v>17</v>
      </c>
      <c r="E633" s="4" t="s">
        <v>22</v>
      </c>
      <c r="F633" s="4">
        <v>59.44</v>
      </c>
      <c r="G633" s="4">
        <v>62.96</v>
      </c>
      <c r="H633" s="4">
        <v>6.5233713287E10</v>
      </c>
      <c r="I633" s="4">
        <v>7.1396549568E10</v>
      </c>
      <c r="J633" s="5">
        <v>45573.76111111111</v>
      </c>
      <c r="K633" s="4" t="s">
        <v>1446</v>
      </c>
      <c r="L633" s="4">
        <v>5.54</v>
      </c>
      <c r="M633" s="4">
        <v>4063.2</v>
      </c>
      <c r="N633" s="4">
        <v>4063.0</v>
      </c>
      <c r="O633" s="4">
        <v>337229.0</v>
      </c>
      <c r="P633" s="4">
        <f t="shared" si="1"/>
        <v>107.3666667</v>
      </c>
      <c r="Q633" s="4" t="str">
        <f t="shared" si="2"/>
        <v>Normal</v>
      </c>
      <c r="R633" s="1" t="str">
        <f t="shared" si="3"/>
        <v>Normal</v>
      </c>
      <c r="S633" s="4">
        <f t="shared" si="4"/>
        <v>127.2468482</v>
      </c>
      <c r="T633" s="1" t="str">
        <f t="shared" si="5"/>
        <v>High Cost</v>
      </c>
      <c r="U633" s="4">
        <f t="shared" si="6"/>
        <v>0.01814790543</v>
      </c>
    </row>
    <row r="634">
      <c r="A634" s="4" t="s">
        <v>1447</v>
      </c>
      <c r="B634" s="4" t="s">
        <v>166</v>
      </c>
      <c r="C634" s="4">
        <v>440.8594</v>
      </c>
      <c r="D634" s="4" t="s">
        <v>21</v>
      </c>
      <c r="E634" s="4" t="s">
        <v>70</v>
      </c>
      <c r="F634" s="4">
        <v>63.21</v>
      </c>
      <c r="G634" s="4">
        <v>81.01</v>
      </c>
      <c r="H634" s="4">
        <v>7.8340522052E10</v>
      </c>
      <c r="I634" s="4">
        <v>8.5056013216E10</v>
      </c>
      <c r="J634" s="5">
        <v>45511.40277777778</v>
      </c>
      <c r="K634" s="5">
        <v>45603.174305555556</v>
      </c>
      <c r="L634" s="4">
        <v>4.18</v>
      </c>
      <c r="M634" s="4">
        <v>1842.79</v>
      </c>
      <c r="N634" s="4">
        <v>1843.0</v>
      </c>
      <c r="O634" s="4">
        <v>152969.0</v>
      </c>
      <c r="P634" s="4">
        <f t="shared" si="1"/>
        <v>66.51666667</v>
      </c>
      <c r="Q634" s="4" t="str">
        <f t="shared" si="2"/>
        <v>Normal</v>
      </c>
      <c r="R634" s="1" t="str">
        <f t="shared" si="3"/>
        <v>High</v>
      </c>
      <c r="S634" s="4">
        <f t="shared" si="4"/>
        <v>152.1748819</v>
      </c>
      <c r="T634" s="1" t="str">
        <f t="shared" si="5"/>
        <v>Normal Cost</v>
      </c>
      <c r="U634" s="4">
        <f t="shared" si="6"/>
        <v>0.04714027025</v>
      </c>
    </row>
    <row r="635">
      <c r="A635" s="4" t="s">
        <v>1448</v>
      </c>
      <c r="B635" s="4" t="s">
        <v>166</v>
      </c>
      <c r="C635" s="4">
        <v>829.9321</v>
      </c>
      <c r="D635" s="4" t="s">
        <v>21</v>
      </c>
      <c r="E635" s="4" t="s">
        <v>155</v>
      </c>
      <c r="F635" s="4">
        <v>95.97</v>
      </c>
      <c r="G635" s="4">
        <v>44.27</v>
      </c>
      <c r="H635" s="4">
        <v>1.2624630979E10</v>
      </c>
      <c r="I635" s="4">
        <v>1.4756357058E10</v>
      </c>
      <c r="J635" s="5">
        <v>45572.35486111111</v>
      </c>
      <c r="K635" s="4" t="s">
        <v>1449</v>
      </c>
      <c r="L635" s="4">
        <v>7.56</v>
      </c>
      <c r="M635" s="4">
        <v>6274.29</v>
      </c>
      <c r="N635" s="4">
        <v>6274.0</v>
      </c>
      <c r="O635" s="4">
        <v>520742.0</v>
      </c>
      <c r="P635" s="4">
        <f t="shared" si="1"/>
        <v>119.05</v>
      </c>
      <c r="Q635" s="4" t="str">
        <f t="shared" si="2"/>
        <v>High</v>
      </c>
      <c r="R635" s="1" t="str">
        <f t="shared" si="3"/>
        <v>Normal</v>
      </c>
      <c r="S635" s="4">
        <f t="shared" si="4"/>
        <v>25.50053227</v>
      </c>
      <c r="T635" s="1" t="str">
        <f t="shared" si="5"/>
        <v>High Cost</v>
      </c>
      <c r="U635" s="4">
        <f t="shared" si="6"/>
        <v>0.01346540129</v>
      </c>
    </row>
    <row r="636">
      <c r="A636" s="4" t="s">
        <v>1450</v>
      </c>
      <c r="B636" s="4" t="s">
        <v>128</v>
      </c>
      <c r="C636" s="4">
        <v>987.5483</v>
      </c>
      <c r="D636" s="4" t="s">
        <v>17</v>
      </c>
      <c r="E636" s="4" t="s">
        <v>27</v>
      </c>
      <c r="F636" s="4">
        <v>64.58</v>
      </c>
      <c r="G636" s="4">
        <v>63.3</v>
      </c>
      <c r="H636" s="4">
        <v>2.6239273306E10</v>
      </c>
      <c r="I636" s="4">
        <v>3.4223805256E10</v>
      </c>
      <c r="J636" s="5">
        <v>45358.186111111114</v>
      </c>
      <c r="K636" s="5">
        <v>45480.82708333333</v>
      </c>
      <c r="L636" s="4">
        <v>3.21</v>
      </c>
      <c r="M636" s="4">
        <v>3170.03</v>
      </c>
      <c r="N636" s="4">
        <v>3170.0</v>
      </c>
      <c r="O636" s="4">
        <v>263110.0</v>
      </c>
      <c r="P636" s="4">
        <f t="shared" si="1"/>
        <v>111.3833333</v>
      </c>
      <c r="Q636" s="4" t="str">
        <f t="shared" si="2"/>
        <v>Normal</v>
      </c>
      <c r="R636" s="1" t="str">
        <f t="shared" si="3"/>
        <v>Normal</v>
      </c>
      <c r="S636" s="4">
        <f t="shared" si="4"/>
        <v>56.31063</v>
      </c>
      <c r="T636" s="1" t="str">
        <f t="shared" si="5"/>
        <v>High Cost</v>
      </c>
      <c r="U636" s="4">
        <f t="shared" si="6"/>
        <v>0.0243016229</v>
      </c>
    </row>
    <row r="637">
      <c r="A637" s="4" t="s">
        <v>1451</v>
      </c>
      <c r="B637" s="4" t="s">
        <v>41</v>
      </c>
      <c r="C637" s="4">
        <v>110.8</v>
      </c>
      <c r="D637" s="4" t="s">
        <v>42</v>
      </c>
      <c r="E637" s="4" t="s">
        <v>32</v>
      </c>
      <c r="F637" s="4">
        <v>17.24</v>
      </c>
      <c r="G637" s="4">
        <v>65.59</v>
      </c>
      <c r="H637" s="4">
        <v>4.984717928E9</v>
      </c>
      <c r="I637" s="4">
        <v>7.461405073E9</v>
      </c>
      <c r="J637" s="5">
        <v>45420.53888888889</v>
      </c>
      <c r="K637" s="5">
        <v>45573.15555555555</v>
      </c>
      <c r="L637" s="4">
        <v>6.1</v>
      </c>
      <c r="M637" s="4">
        <v>675.88</v>
      </c>
      <c r="N637" s="4">
        <v>676.0</v>
      </c>
      <c r="O637" s="4">
        <v>56108.0</v>
      </c>
      <c r="P637" s="4">
        <f t="shared" si="1"/>
        <v>110.8</v>
      </c>
      <c r="Q637" s="4" t="str">
        <f t="shared" si="2"/>
        <v>Underutilized</v>
      </c>
      <c r="R637" s="1" t="str">
        <f t="shared" si="3"/>
        <v>Normal</v>
      </c>
      <c r="S637" s="4">
        <f t="shared" si="4"/>
        <v>11.59135532</v>
      </c>
      <c r="T637" s="1" t="str">
        <f t="shared" si="5"/>
        <v>Normal Cost</v>
      </c>
      <c r="U637" s="4">
        <f t="shared" si="6"/>
        <v>0.07381300349</v>
      </c>
    </row>
    <row r="638">
      <c r="A638" s="4" t="s">
        <v>1452</v>
      </c>
      <c r="B638" s="4" t="s">
        <v>60</v>
      </c>
      <c r="C638" s="4">
        <v>96.1333</v>
      </c>
      <c r="D638" s="4" t="s">
        <v>42</v>
      </c>
      <c r="E638" s="4" t="s">
        <v>22</v>
      </c>
      <c r="F638" s="4">
        <v>19.84</v>
      </c>
      <c r="G638" s="4">
        <v>38.28</v>
      </c>
      <c r="H638" s="4">
        <v>2.6883540687E10</v>
      </c>
      <c r="I638" s="4">
        <v>2.9144872044E10</v>
      </c>
      <c r="J638" s="4" t="s">
        <v>1453</v>
      </c>
      <c r="K638" s="4" t="s">
        <v>1454</v>
      </c>
      <c r="L638" s="4">
        <v>3.84</v>
      </c>
      <c r="M638" s="4">
        <v>369.15</v>
      </c>
      <c r="N638" s="4">
        <v>369.0</v>
      </c>
      <c r="O638" s="4">
        <v>30627.0</v>
      </c>
      <c r="P638" s="4">
        <f t="shared" si="1"/>
        <v>96.13333333</v>
      </c>
      <c r="Q638" s="4" t="str">
        <f t="shared" si="2"/>
        <v>Underutilized</v>
      </c>
      <c r="R638" s="1" t="str">
        <f t="shared" si="3"/>
        <v>Underutilized</v>
      </c>
      <c r="S638" s="4">
        <f t="shared" si="4"/>
        <v>52.1805256</v>
      </c>
      <c r="T638" s="1" t="str">
        <f t="shared" si="5"/>
        <v>Normal Cost</v>
      </c>
      <c r="U638" s="4">
        <f t="shared" si="6"/>
        <v>0.09488359944</v>
      </c>
    </row>
    <row r="639">
      <c r="A639" s="4" t="s">
        <v>1455</v>
      </c>
      <c r="B639" s="4" t="s">
        <v>53</v>
      </c>
      <c r="C639" s="4">
        <v>970.2519</v>
      </c>
      <c r="D639" s="4" t="s">
        <v>21</v>
      </c>
      <c r="E639" s="4" t="s">
        <v>74</v>
      </c>
      <c r="F639" s="4">
        <v>0.88</v>
      </c>
      <c r="G639" s="4">
        <v>78.54</v>
      </c>
      <c r="H639" s="4">
        <v>2.4663740242E10</v>
      </c>
      <c r="I639" s="4">
        <v>3.3163141551E10</v>
      </c>
      <c r="J639" s="4" t="s">
        <v>1456</v>
      </c>
      <c r="K639" s="4" t="s">
        <v>1457</v>
      </c>
      <c r="L639" s="4">
        <v>5.05</v>
      </c>
      <c r="M639" s="4">
        <v>4899.77</v>
      </c>
      <c r="N639" s="4">
        <v>4900.0</v>
      </c>
      <c r="O639" s="4">
        <v>406700.0</v>
      </c>
      <c r="P639" s="4">
        <f t="shared" si="1"/>
        <v>55.98333333</v>
      </c>
      <c r="Q639" s="4" t="str">
        <f t="shared" si="2"/>
        <v>Underutilized</v>
      </c>
      <c r="R639" s="1" t="str">
        <f t="shared" si="3"/>
        <v>High</v>
      </c>
      <c r="S639" s="4">
        <f t="shared" si="4"/>
        <v>53.85548043</v>
      </c>
      <c r="T639" s="1" t="str">
        <f t="shared" si="5"/>
        <v>High Cost</v>
      </c>
      <c r="U639" s="4">
        <f t="shared" si="6"/>
        <v>0.009763953774</v>
      </c>
    </row>
    <row r="640">
      <c r="A640" s="4" t="s">
        <v>1458</v>
      </c>
      <c r="B640" s="4" t="s">
        <v>26</v>
      </c>
      <c r="C640" s="4">
        <v>205.2521</v>
      </c>
      <c r="D640" s="4" t="s">
        <v>17</v>
      </c>
      <c r="E640" s="4" t="s">
        <v>22</v>
      </c>
      <c r="F640" s="4">
        <v>54.75</v>
      </c>
      <c r="G640" s="4">
        <v>93.39</v>
      </c>
      <c r="H640" s="4">
        <v>8.7248623585E10</v>
      </c>
      <c r="I640" s="4">
        <v>9.1585705285E10</v>
      </c>
      <c r="J640" s="4" t="s">
        <v>1459</v>
      </c>
      <c r="K640" s="4" t="s">
        <v>1460</v>
      </c>
      <c r="L640" s="4">
        <v>6.77</v>
      </c>
      <c r="M640" s="4">
        <v>1389.56</v>
      </c>
      <c r="N640" s="4">
        <v>1390.0</v>
      </c>
      <c r="O640" s="4">
        <v>115370.0</v>
      </c>
      <c r="P640" s="4">
        <f t="shared" si="1"/>
        <v>82.7</v>
      </c>
      <c r="Q640" s="4" t="str">
        <f t="shared" si="2"/>
        <v>Normal</v>
      </c>
      <c r="R640" s="1" t="str">
        <f t="shared" si="3"/>
        <v>High</v>
      </c>
      <c r="S640" s="4">
        <f t="shared" si="4"/>
        <v>166.5524476</v>
      </c>
      <c r="T640" s="1" t="str">
        <f t="shared" si="5"/>
        <v>Normal Cost</v>
      </c>
      <c r="U640" s="4">
        <f t="shared" si="6"/>
        <v>0.06420213227</v>
      </c>
    </row>
    <row r="641">
      <c r="A641" s="4" t="s">
        <v>1461</v>
      </c>
      <c r="B641" s="4" t="s">
        <v>273</v>
      </c>
      <c r="C641" s="4">
        <v>670.2735</v>
      </c>
      <c r="D641" s="4" t="s">
        <v>17</v>
      </c>
      <c r="E641" s="4" t="s">
        <v>155</v>
      </c>
      <c r="F641" s="4">
        <v>46.23</v>
      </c>
      <c r="G641" s="4">
        <v>64.83</v>
      </c>
      <c r="H641" s="4">
        <v>1.959784952E10</v>
      </c>
      <c r="I641" s="4">
        <v>2.9080373672E10</v>
      </c>
      <c r="J641" s="5">
        <v>45389.302083333336</v>
      </c>
      <c r="K641" s="5">
        <v>45480.85625</v>
      </c>
      <c r="L641" s="4">
        <v>8.42</v>
      </c>
      <c r="M641" s="4">
        <v>5643.7</v>
      </c>
      <c r="N641" s="4">
        <v>5644.0</v>
      </c>
      <c r="O641" s="4">
        <v>468452.0</v>
      </c>
      <c r="P641" s="4">
        <f t="shared" si="1"/>
        <v>85.3</v>
      </c>
      <c r="Q641" s="4" t="str">
        <f t="shared" si="2"/>
        <v>Normal</v>
      </c>
      <c r="R641" s="1" t="str">
        <f t="shared" si="3"/>
        <v>Normal</v>
      </c>
      <c r="S641" s="4">
        <f t="shared" si="4"/>
        <v>45.33512815</v>
      </c>
      <c r="T641" s="1" t="str">
        <f t="shared" si="5"/>
        <v>High Cost</v>
      </c>
      <c r="U641" s="4">
        <f t="shared" si="6"/>
        <v>0.01185393594</v>
      </c>
    </row>
    <row r="642">
      <c r="A642" s="4" t="s">
        <v>1462</v>
      </c>
      <c r="B642" s="4" t="s">
        <v>26</v>
      </c>
      <c r="C642" s="4">
        <v>851.117</v>
      </c>
      <c r="D642" s="4" t="s">
        <v>21</v>
      </c>
      <c r="E642" s="4" t="s">
        <v>54</v>
      </c>
      <c r="F642" s="4">
        <v>27.67</v>
      </c>
      <c r="G642" s="4">
        <v>10.1</v>
      </c>
      <c r="H642" s="4">
        <v>9.3663664453E10</v>
      </c>
      <c r="I642" s="6">
        <v>1.0151E11</v>
      </c>
      <c r="J642" s="5">
        <v>45451.25</v>
      </c>
      <c r="K642" s="5">
        <v>45634.197916666664</v>
      </c>
      <c r="L642" s="4">
        <v>2.21</v>
      </c>
      <c r="M642" s="4">
        <v>1880.97</v>
      </c>
      <c r="N642" s="4">
        <v>1881.0</v>
      </c>
      <c r="O642" s="4">
        <v>156123.0</v>
      </c>
      <c r="P642" s="4">
        <f t="shared" si="1"/>
        <v>142.75</v>
      </c>
      <c r="Q642" s="4" t="str">
        <f t="shared" si="2"/>
        <v>Underutilized</v>
      </c>
      <c r="R642" s="1" t="str">
        <f t="shared" si="3"/>
        <v>Underutilized</v>
      </c>
      <c r="S642" s="6">
        <f t="shared" si="4"/>
        <v>181.7696397</v>
      </c>
      <c r="T642" s="1" t="str">
        <f t="shared" si="5"/>
        <v>Normal Cost</v>
      </c>
      <c r="U642" s="4">
        <f t="shared" si="6"/>
        <v>0.01209623182</v>
      </c>
    </row>
    <row r="643">
      <c r="A643" s="4" t="s">
        <v>1463</v>
      </c>
      <c r="B643" s="4" t="s">
        <v>16</v>
      </c>
      <c r="C643" s="4">
        <v>424.6237</v>
      </c>
      <c r="D643" s="4" t="s">
        <v>17</v>
      </c>
      <c r="E643" s="4" t="s">
        <v>155</v>
      </c>
      <c r="F643" s="4">
        <v>8.65</v>
      </c>
      <c r="G643" s="4">
        <v>10.66</v>
      </c>
      <c r="H643" s="4">
        <v>1.754509079E10</v>
      </c>
      <c r="I643" s="4">
        <v>2.0838682033E10</v>
      </c>
      <c r="J643" s="4" t="s">
        <v>1464</v>
      </c>
      <c r="K643" s="4" t="s">
        <v>1465</v>
      </c>
      <c r="L643" s="4">
        <v>7.05</v>
      </c>
      <c r="M643" s="4">
        <v>2993.6</v>
      </c>
      <c r="N643" s="4">
        <v>2994.0</v>
      </c>
      <c r="O643" s="4">
        <v>248502.0</v>
      </c>
      <c r="P643" s="4">
        <f t="shared" si="1"/>
        <v>26.8</v>
      </c>
      <c r="Q643" s="4" t="str">
        <f t="shared" si="2"/>
        <v>Underutilized</v>
      </c>
      <c r="R643" s="1" t="str">
        <f t="shared" si="3"/>
        <v>Underutilized</v>
      </c>
      <c r="S643" s="4">
        <f t="shared" si="4"/>
        <v>35.74767413</v>
      </c>
      <c r="T643" s="1" t="str">
        <f t="shared" si="5"/>
        <v>High Cost</v>
      </c>
      <c r="U643" s="4">
        <f t="shared" si="6"/>
        <v>0.003885280601</v>
      </c>
    </row>
    <row r="644">
      <c r="A644" s="4" t="s">
        <v>1466</v>
      </c>
      <c r="B644" s="4" t="s">
        <v>31</v>
      </c>
      <c r="C644" s="4">
        <v>839.2951</v>
      </c>
      <c r="D644" s="4" t="s">
        <v>17</v>
      </c>
      <c r="E644" s="4" t="s">
        <v>58</v>
      </c>
      <c r="F644" s="4">
        <v>13.28</v>
      </c>
      <c r="G644" s="4">
        <v>86.26</v>
      </c>
      <c r="H644" s="4">
        <v>9.9716836901E10</v>
      </c>
      <c r="I644" s="6">
        <v>1.0007E11</v>
      </c>
      <c r="J644" s="5">
        <v>45572.14791666667</v>
      </c>
      <c r="K644" s="4" t="s">
        <v>1467</v>
      </c>
      <c r="L644" s="4">
        <v>6.07</v>
      </c>
      <c r="M644" s="4">
        <v>5094.52</v>
      </c>
      <c r="N644" s="4">
        <v>5095.0</v>
      </c>
      <c r="O644" s="4">
        <v>422885.0</v>
      </c>
      <c r="P644" s="4">
        <f t="shared" si="1"/>
        <v>98.65</v>
      </c>
      <c r="Q644" s="4" t="str">
        <f t="shared" si="2"/>
        <v>Underutilized</v>
      </c>
      <c r="R644" s="1" t="str">
        <f t="shared" si="3"/>
        <v>High</v>
      </c>
      <c r="S644" s="6">
        <f t="shared" si="4"/>
        <v>186.0659913</v>
      </c>
      <c r="T644" s="1" t="str">
        <f t="shared" si="5"/>
        <v>High Cost</v>
      </c>
      <c r="U644" s="4">
        <f t="shared" si="6"/>
        <v>0.0117691571</v>
      </c>
    </row>
    <row r="645">
      <c r="A645" s="4" t="s">
        <v>1468</v>
      </c>
      <c r="B645" s="4" t="s">
        <v>128</v>
      </c>
      <c r="C645" s="4">
        <v>390.8588</v>
      </c>
      <c r="D645" s="4" t="s">
        <v>21</v>
      </c>
      <c r="E645" s="4" t="s">
        <v>32</v>
      </c>
      <c r="F645" s="4">
        <v>98.64</v>
      </c>
      <c r="G645" s="4">
        <v>64.86</v>
      </c>
      <c r="H645" s="4">
        <v>8.7072187476E10</v>
      </c>
      <c r="I645" s="4">
        <v>8.7524967649E10</v>
      </c>
      <c r="J645" s="4" t="s">
        <v>1469</v>
      </c>
      <c r="K645" s="4" t="s">
        <v>1470</v>
      </c>
      <c r="L645" s="4">
        <v>4.56</v>
      </c>
      <c r="M645" s="4">
        <v>1782.32</v>
      </c>
      <c r="N645" s="4">
        <v>1782.0</v>
      </c>
      <c r="O645" s="4">
        <v>147906.0</v>
      </c>
      <c r="P645" s="4">
        <f t="shared" si="1"/>
        <v>59.91666667</v>
      </c>
      <c r="Q645" s="4" t="str">
        <f t="shared" si="2"/>
        <v>High</v>
      </c>
      <c r="R645" s="1" t="str">
        <f t="shared" si="3"/>
        <v>Normal</v>
      </c>
      <c r="S645" s="4">
        <f t="shared" si="4"/>
        <v>162.606272</v>
      </c>
      <c r="T645" s="1" t="str">
        <f t="shared" si="5"/>
        <v>Normal Cost</v>
      </c>
      <c r="U645" s="4">
        <f t="shared" si="6"/>
        <v>0.05527159142</v>
      </c>
    </row>
    <row r="646">
      <c r="A646" s="4" t="s">
        <v>1471</v>
      </c>
      <c r="B646" s="4" t="s">
        <v>53</v>
      </c>
      <c r="C646" s="4">
        <v>972.7981</v>
      </c>
      <c r="D646" s="4" t="s">
        <v>17</v>
      </c>
      <c r="E646" s="4" t="s">
        <v>105</v>
      </c>
      <c r="F646" s="4">
        <v>97.98</v>
      </c>
      <c r="G646" s="4">
        <v>92.04</v>
      </c>
      <c r="H646" s="4">
        <v>9.8221012165E10</v>
      </c>
      <c r="I646" s="6">
        <v>1.06189E11</v>
      </c>
      <c r="J646" s="4" t="s">
        <v>1472</v>
      </c>
      <c r="K646" s="4" t="s">
        <v>1473</v>
      </c>
      <c r="L646" s="4">
        <v>4.61</v>
      </c>
      <c r="M646" s="4">
        <v>4484.6</v>
      </c>
      <c r="N646" s="4">
        <v>4485.0</v>
      </c>
      <c r="O646" s="4">
        <v>372255.0</v>
      </c>
      <c r="P646" s="4">
        <f t="shared" si="1"/>
        <v>25.1</v>
      </c>
      <c r="Q646" s="4" t="str">
        <f t="shared" si="2"/>
        <v>High</v>
      </c>
      <c r="R646" s="1" t="str">
        <f t="shared" si="3"/>
        <v>High</v>
      </c>
      <c r="S646" s="6">
        <f t="shared" si="4"/>
        <v>190.3716588</v>
      </c>
      <c r="T646" s="1" t="str">
        <f t="shared" si="5"/>
        <v>High Cost</v>
      </c>
      <c r="U646" s="4">
        <f t="shared" si="6"/>
        <v>0.02552282709</v>
      </c>
    </row>
    <row r="647">
      <c r="A647" s="4" t="s">
        <v>1474</v>
      </c>
      <c r="B647" s="4" t="s">
        <v>99</v>
      </c>
      <c r="C647" s="4">
        <v>94.5509</v>
      </c>
      <c r="D647" s="4" t="s">
        <v>21</v>
      </c>
      <c r="E647" s="4" t="s">
        <v>27</v>
      </c>
      <c r="F647" s="4">
        <v>13.6</v>
      </c>
      <c r="G647" s="4">
        <v>72.79</v>
      </c>
      <c r="H647" s="4">
        <v>9.4448273573E10</v>
      </c>
      <c r="I647" s="4">
        <v>9.686144E10</v>
      </c>
      <c r="J647" s="4" t="s">
        <v>1475</v>
      </c>
      <c r="K647" s="4" t="s">
        <v>1476</v>
      </c>
      <c r="L647" s="4">
        <v>9.47</v>
      </c>
      <c r="M647" s="4">
        <v>895.4</v>
      </c>
      <c r="N647" s="4">
        <v>895.0</v>
      </c>
      <c r="O647" s="4">
        <v>74285.0</v>
      </c>
      <c r="P647" s="4">
        <f t="shared" si="1"/>
        <v>54.4</v>
      </c>
      <c r="Q647" s="4" t="str">
        <f t="shared" si="2"/>
        <v>Underutilized</v>
      </c>
      <c r="R647" s="1" t="str">
        <f t="shared" si="3"/>
        <v>Normal</v>
      </c>
      <c r="S647" s="4">
        <f t="shared" si="4"/>
        <v>178.171055</v>
      </c>
      <c r="T647" s="1" t="str">
        <f t="shared" si="5"/>
        <v>Normal Cost</v>
      </c>
      <c r="U647" s="4">
        <f t="shared" si="6"/>
        <v>0.0581476745</v>
      </c>
    </row>
    <row r="648">
      <c r="A648" s="4" t="s">
        <v>1477</v>
      </c>
      <c r="B648" s="4" t="s">
        <v>79</v>
      </c>
      <c r="C648" s="4">
        <v>421.893</v>
      </c>
      <c r="D648" s="4" t="s">
        <v>17</v>
      </c>
      <c r="E648" s="4" t="s">
        <v>105</v>
      </c>
      <c r="F648" s="4">
        <v>74.52</v>
      </c>
      <c r="G648" s="4">
        <v>16.13</v>
      </c>
      <c r="H648" s="4">
        <v>7.4428790693E10</v>
      </c>
      <c r="I648" s="4">
        <v>8.0406552383E10</v>
      </c>
      <c r="J648" s="4" t="s">
        <v>1478</v>
      </c>
      <c r="K648" s="5">
        <v>45389.12152777778</v>
      </c>
      <c r="L648" s="4">
        <v>4.91</v>
      </c>
      <c r="M648" s="4">
        <v>2071.49</v>
      </c>
      <c r="N648" s="4">
        <v>2071.0</v>
      </c>
      <c r="O648" s="4">
        <v>171893.0</v>
      </c>
      <c r="P648" s="4">
        <f t="shared" si="1"/>
        <v>77.46666667</v>
      </c>
      <c r="Q648" s="4" t="str">
        <f t="shared" si="2"/>
        <v>High</v>
      </c>
      <c r="R648" s="1" t="str">
        <f t="shared" si="3"/>
        <v>Underutilized</v>
      </c>
      <c r="S648" s="4">
        <f t="shared" si="4"/>
        <v>144.2016504</v>
      </c>
      <c r="T648" s="1" t="str">
        <f t="shared" si="5"/>
        <v>Normal Cost</v>
      </c>
      <c r="U648" s="4">
        <f t="shared" si="6"/>
        <v>0.02636814763</v>
      </c>
    </row>
    <row r="649">
      <c r="A649" s="4" t="s">
        <v>1479</v>
      </c>
      <c r="B649" s="4" t="s">
        <v>112</v>
      </c>
      <c r="C649" s="4">
        <v>45.2833</v>
      </c>
      <c r="D649" s="4" t="s">
        <v>42</v>
      </c>
      <c r="E649" s="4" t="s">
        <v>74</v>
      </c>
      <c r="F649" s="4">
        <v>34.31</v>
      </c>
      <c r="G649" s="4">
        <v>45.39</v>
      </c>
      <c r="H649" s="4">
        <v>9.188789805E10</v>
      </c>
      <c r="I649" s="4">
        <v>9.7319003375E10</v>
      </c>
      <c r="J649" s="5">
        <v>45634.14722222222</v>
      </c>
      <c r="K649" s="4" t="s">
        <v>1480</v>
      </c>
      <c r="L649" s="4">
        <v>8.17</v>
      </c>
      <c r="M649" s="4">
        <v>369.96</v>
      </c>
      <c r="N649" s="4">
        <v>370.0</v>
      </c>
      <c r="O649" s="4">
        <v>30710.0</v>
      </c>
      <c r="P649" s="4">
        <f t="shared" si="1"/>
        <v>45.28333333</v>
      </c>
      <c r="Q649" s="4" t="str">
        <f t="shared" si="2"/>
        <v>Normal</v>
      </c>
      <c r="R649" s="1" t="str">
        <f t="shared" si="3"/>
        <v>Normal</v>
      </c>
      <c r="S649" s="4">
        <f t="shared" si="4"/>
        <v>176.2126586</v>
      </c>
      <c r="T649" s="1" t="str">
        <f t="shared" si="5"/>
        <v>Normal Cost</v>
      </c>
      <c r="U649" s="4">
        <f t="shared" si="6"/>
        <v>0.1297622924</v>
      </c>
    </row>
    <row r="650">
      <c r="A650" s="4" t="s">
        <v>1481</v>
      </c>
      <c r="B650" s="4" t="s">
        <v>66</v>
      </c>
      <c r="C650" s="4">
        <v>194.5629</v>
      </c>
      <c r="D650" s="4" t="s">
        <v>17</v>
      </c>
      <c r="E650" s="4" t="s">
        <v>70</v>
      </c>
      <c r="F650" s="4">
        <v>65.68</v>
      </c>
      <c r="G650" s="4">
        <v>58.07</v>
      </c>
      <c r="H650" s="4">
        <v>4.1353387123E10</v>
      </c>
      <c r="I650" s="4">
        <v>4.2888320883E10</v>
      </c>
      <c r="J650" s="4" t="s">
        <v>1482</v>
      </c>
      <c r="K650" s="5">
        <v>45300.85625</v>
      </c>
      <c r="L650" s="4">
        <v>3.59</v>
      </c>
      <c r="M650" s="4">
        <v>698.48</v>
      </c>
      <c r="N650" s="4">
        <v>698.0</v>
      </c>
      <c r="O650" s="4">
        <v>57934.0</v>
      </c>
      <c r="P650" s="4">
        <f t="shared" si="1"/>
        <v>139.8833333</v>
      </c>
      <c r="Q650" s="4" t="str">
        <f t="shared" si="2"/>
        <v>Normal</v>
      </c>
      <c r="R650" s="1" t="str">
        <f t="shared" si="3"/>
        <v>Normal</v>
      </c>
      <c r="S650" s="4">
        <f t="shared" si="4"/>
        <v>78.45620439</v>
      </c>
      <c r="T650" s="1" t="str">
        <f t="shared" si="5"/>
        <v>Normal Cost</v>
      </c>
      <c r="U650" s="4">
        <f t="shared" si="6"/>
        <v>0.1068025684</v>
      </c>
    </row>
    <row r="651">
      <c r="A651" s="4" t="s">
        <v>1483</v>
      </c>
      <c r="B651" s="4" t="s">
        <v>183</v>
      </c>
      <c r="C651" s="4">
        <v>296.3158</v>
      </c>
      <c r="D651" s="4" t="s">
        <v>21</v>
      </c>
      <c r="E651" s="4" t="s">
        <v>123</v>
      </c>
      <c r="F651" s="4">
        <v>43.62</v>
      </c>
      <c r="G651" s="4">
        <v>75.96</v>
      </c>
      <c r="H651" s="4">
        <v>2.6330187674E10</v>
      </c>
      <c r="I651" s="4">
        <v>3.120252426E10</v>
      </c>
      <c r="J651" s="4" t="s">
        <v>1484</v>
      </c>
      <c r="K651" s="4" t="s">
        <v>1485</v>
      </c>
      <c r="L651" s="4">
        <v>8.5</v>
      </c>
      <c r="M651" s="4">
        <v>2518.68</v>
      </c>
      <c r="N651" s="4">
        <v>2519.0</v>
      </c>
      <c r="O651" s="4">
        <v>209077.0</v>
      </c>
      <c r="P651" s="4">
        <f t="shared" si="1"/>
        <v>35.48333333</v>
      </c>
      <c r="Q651" s="4" t="str">
        <f t="shared" si="2"/>
        <v>Normal</v>
      </c>
      <c r="R651" s="1" t="str">
        <f t="shared" si="3"/>
        <v>High</v>
      </c>
      <c r="S651" s="4">
        <f t="shared" si="4"/>
        <v>53.5815134</v>
      </c>
      <c r="T651" s="1" t="str">
        <f t="shared" si="5"/>
        <v>High Cost</v>
      </c>
      <c r="U651" s="4">
        <f t="shared" si="6"/>
        <v>0.02859711972</v>
      </c>
    </row>
    <row r="652">
      <c r="A652" s="4" t="s">
        <v>1486</v>
      </c>
      <c r="B652" s="4" t="s">
        <v>20</v>
      </c>
      <c r="C652" s="4">
        <v>664.4434</v>
      </c>
      <c r="D652" s="4" t="s">
        <v>17</v>
      </c>
      <c r="E652" s="4" t="s">
        <v>54</v>
      </c>
      <c r="F652" s="4">
        <v>84.34</v>
      </c>
      <c r="G652" s="4">
        <v>39.99</v>
      </c>
      <c r="H652" s="4">
        <v>1.9127660859E10</v>
      </c>
      <c r="I652" s="4">
        <v>2.7734835528E10</v>
      </c>
      <c r="J652" s="4" t="s">
        <v>1487</v>
      </c>
      <c r="K652" s="4" t="s">
        <v>1488</v>
      </c>
      <c r="L652" s="4">
        <v>2.46</v>
      </c>
      <c r="M652" s="4">
        <v>1634.53</v>
      </c>
      <c r="N652" s="4">
        <v>1635.0</v>
      </c>
      <c r="O652" s="4">
        <v>135705.0</v>
      </c>
      <c r="P652" s="4">
        <f t="shared" si="1"/>
        <v>48.36666667</v>
      </c>
      <c r="Q652" s="4" t="str">
        <f t="shared" si="2"/>
        <v>High</v>
      </c>
      <c r="R652" s="1" t="str">
        <f t="shared" si="3"/>
        <v>Underutilized</v>
      </c>
      <c r="S652" s="4">
        <f t="shared" si="4"/>
        <v>43.64410079</v>
      </c>
      <c r="T652" s="1" t="str">
        <f t="shared" si="5"/>
        <v>Normal Cost</v>
      </c>
      <c r="U652" s="4">
        <f t="shared" si="6"/>
        <v>0.04580892377</v>
      </c>
    </row>
    <row r="653">
      <c r="A653" s="4" t="s">
        <v>1489</v>
      </c>
      <c r="B653" s="4" t="s">
        <v>20</v>
      </c>
      <c r="C653" s="4">
        <v>978.5674</v>
      </c>
      <c r="D653" s="4" t="s">
        <v>21</v>
      </c>
      <c r="E653" s="4" t="s">
        <v>27</v>
      </c>
      <c r="F653" s="4">
        <v>24.37</v>
      </c>
      <c r="G653" s="4">
        <v>98.76</v>
      </c>
      <c r="H653" s="4">
        <v>4.9432835031E10</v>
      </c>
      <c r="I653" s="4">
        <v>5.5790794157E10</v>
      </c>
      <c r="J653" s="4" t="s">
        <v>1490</v>
      </c>
      <c r="K653" s="4" t="s">
        <v>1491</v>
      </c>
      <c r="L653" s="4">
        <v>2.78</v>
      </c>
      <c r="M653" s="4">
        <v>2720.42</v>
      </c>
      <c r="N653" s="4">
        <v>2720.0</v>
      </c>
      <c r="O653" s="4">
        <v>225760.0</v>
      </c>
      <c r="P653" s="4">
        <f t="shared" si="1"/>
        <v>37.93333333</v>
      </c>
      <c r="Q653" s="4" t="str">
        <f t="shared" si="2"/>
        <v>Underutilized</v>
      </c>
      <c r="R653" s="1" t="str">
        <f t="shared" si="3"/>
        <v>High</v>
      </c>
      <c r="S653" s="4">
        <f t="shared" si="4"/>
        <v>97.99714125</v>
      </c>
      <c r="T653" s="1" t="str">
        <f t="shared" si="5"/>
        <v>High Cost</v>
      </c>
      <c r="U653" s="4">
        <f t="shared" si="6"/>
        <v>0.02727010985</v>
      </c>
    </row>
    <row r="654">
      <c r="A654" s="4" t="s">
        <v>1492</v>
      </c>
      <c r="B654" s="4" t="s">
        <v>139</v>
      </c>
      <c r="C654" s="4">
        <v>99.95</v>
      </c>
      <c r="D654" s="4" t="s">
        <v>42</v>
      </c>
      <c r="E654" s="4" t="s">
        <v>58</v>
      </c>
      <c r="F654" s="4">
        <v>83.18</v>
      </c>
      <c r="G654" s="4">
        <v>59.63</v>
      </c>
      <c r="H654" s="4">
        <v>9.1222256614E10</v>
      </c>
      <c r="I654" s="4">
        <v>9.7205628513E10</v>
      </c>
      <c r="J654" s="4" t="s">
        <v>1493</v>
      </c>
      <c r="K654" s="4" t="s">
        <v>1494</v>
      </c>
      <c r="L654" s="4">
        <v>4.58</v>
      </c>
      <c r="M654" s="4">
        <v>457.77</v>
      </c>
      <c r="N654" s="4">
        <v>458.0</v>
      </c>
      <c r="O654" s="4">
        <v>38014.0</v>
      </c>
      <c r="P654" s="4">
        <f t="shared" si="1"/>
        <v>99.95</v>
      </c>
      <c r="Q654" s="4" t="str">
        <f t="shared" si="2"/>
        <v>High</v>
      </c>
      <c r="R654" s="1" t="str">
        <f t="shared" si="3"/>
        <v>Normal</v>
      </c>
      <c r="S654" s="4">
        <f t="shared" si="4"/>
        <v>175.4871431</v>
      </c>
      <c r="T654" s="1" t="str">
        <f t="shared" si="5"/>
        <v>Normal Cost</v>
      </c>
      <c r="U654" s="4">
        <f t="shared" si="6"/>
        <v>0.187838691</v>
      </c>
    </row>
    <row r="655">
      <c r="A655" s="4" t="s">
        <v>1495</v>
      </c>
      <c r="B655" s="4" t="s">
        <v>83</v>
      </c>
      <c r="C655" s="4">
        <v>553.1158</v>
      </c>
      <c r="D655" s="4" t="s">
        <v>17</v>
      </c>
      <c r="E655" s="4" t="s">
        <v>70</v>
      </c>
      <c r="F655" s="4">
        <v>44.1</v>
      </c>
      <c r="G655" s="4">
        <v>34.63</v>
      </c>
      <c r="H655" s="4">
        <v>5.5231442932E10</v>
      </c>
      <c r="I655" s="4">
        <v>6.1525169383E10</v>
      </c>
      <c r="J655" s="4" t="s">
        <v>1496</v>
      </c>
      <c r="K655" s="4" t="s">
        <v>1497</v>
      </c>
      <c r="L655" s="4">
        <v>3.18</v>
      </c>
      <c r="M655" s="4">
        <v>1758.91</v>
      </c>
      <c r="N655" s="4">
        <v>1759.0</v>
      </c>
      <c r="O655" s="4">
        <v>145997.0</v>
      </c>
      <c r="P655" s="4">
        <f t="shared" si="1"/>
        <v>82.55</v>
      </c>
      <c r="Q655" s="4" t="str">
        <f t="shared" si="2"/>
        <v>Normal</v>
      </c>
      <c r="R655" s="1" t="str">
        <f t="shared" si="3"/>
        <v>Underutilized</v>
      </c>
      <c r="S655" s="4">
        <f t="shared" si="4"/>
        <v>108.7380688</v>
      </c>
      <c r="T655" s="1" t="str">
        <f t="shared" si="5"/>
        <v>Normal Cost</v>
      </c>
      <c r="U655" s="4">
        <f t="shared" si="6"/>
        <v>0.0269628828</v>
      </c>
    </row>
    <row r="656">
      <c r="A656" s="4" t="s">
        <v>1498</v>
      </c>
      <c r="B656" s="4" t="s">
        <v>99</v>
      </c>
      <c r="C656" s="4">
        <v>977.6097</v>
      </c>
      <c r="D656" s="4" t="s">
        <v>21</v>
      </c>
      <c r="E656" s="4" t="s">
        <v>27</v>
      </c>
      <c r="F656" s="4">
        <v>32.34</v>
      </c>
      <c r="G656" s="4">
        <v>42.97</v>
      </c>
      <c r="H656" s="4">
        <v>6.5787375716E10</v>
      </c>
      <c r="I656" s="4">
        <v>7.4610547787E10</v>
      </c>
      <c r="J656" s="4" t="s">
        <v>1499</v>
      </c>
      <c r="K656" s="4" t="s">
        <v>1500</v>
      </c>
      <c r="L656" s="4">
        <v>7.47</v>
      </c>
      <c r="M656" s="4">
        <v>7302.74</v>
      </c>
      <c r="N656" s="4">
        <v>7303.0</v>
      </c>
      <c r="O656" s="4">
        <v>606149.0</v>
      </c>
      <c r="P656" s="4">
        <f t="shared" si="1"/>
        <v>37.3</v>
      </c>
      <c r="Q656" s="4" t="str">
        <f t="shared" si="2"/>
        <v>Normal</v>
      </c>
      <c r="R656" s="1" t="str">
        <f t="shared" si="3"/>
        <v>Normal</v>
      </c>
      <c r="S656" s="4">
        <f t="shared" si="4"/>
        <v>130.7557556</v>
      </c>
      <c r="T656" s="1" t="str">
        <f t="shared" si="5"/>
        <v>High Cost</v>
      </c>
      <c r="U656" s="4">
        <f t="shared" si="6"/>
        <v>0.006212168955</v>
      </c>
    </row>
    <row r="657">
      <c r="A657" s="4" t="s">
        <v>1501</v>
      </c>
      <c r="B657" s="4" t="s">
        <v>112</v>
      </c>
      <c r="C657" s="4">
        <v>92.6833</v>
      </c>
      <c r="D657" s="4" t="s">
        <v>42</v>
      </c>
      <c r="E657" s="4" t="s">
        <v>74</v>
      </c>
      <c r="F657" s="4">
        <v>42.96</v>
      </c>
      <c r="G657" s="4">
        <v>39.11</v>
      </c>
      <c r="H657" s="4">
        <v>9.3946177259E10</v>
      </c>
      <c r="I657" s="6">
        <v>1.03707E11</v>
      </c>
      <c r="J657" s="4" t="s">
        <v>1502</v>
      </c>
      <c r="K657" s="4" t="s">
        <v>1503</v>
      </c>
      <c r="L657" s="4">
        <v>5.16</v>
      </c>
      <c r="M657" s="4">
        <v>478.25</v>
      </c>
      <c r="N657" s="4">
        <v>478.0</v>
      </c>
      <c r="O657" s="4">
        <v>39674.0</v>
      </c>
      <c r="P657" s="4">
        <f t="shared" si="1"/>
        <v>92.68333333</v>
      </c>
      <c r="Q657" s="4" t="str">
        <f t="shared" si="2"/>
        <v>Normal</v>
      </c>
      <c r="R657" s="1" t="str">
        <f t="shared" si="3"/>
        <v>Underutilized</v>
      </c>
      <c r="S657" s="6">
        <f t="shared" si="4"/>
        <v>184.0788659</v>
      </c>
      <c r="T657" s="1" t="str">
        <f t="shared" si="5"/>
        <v>Normal Cost</v>
      </c>
      <c r="U657" s="4">
        <f t="shared" si="6"/>
        <v>0.1034304582</v>
      </c>
    </row>
    <row r="658">
      <c r="A658" s="4" t="s">
        <v>1504</v>
      </c>
      <c r="B658" s="4" t="s">
        <v>139</v>
      </c>
      <c r="C658" s="4">
        <v>135.65</v>
      </c>
      <c r="D658" s="4" t="s">
        <v>42</v>
      </c>
      <c r="E658" s="4" t="s">
        <v>18</v>
      </c>
      <c r="F658" s="4">
        <v>44.81</v>
      </c>
      <c r="G658" s="4">
        <v>78.87</v>
      </c>
      <c r="H658" s="4">
        <v>4.8852615149E10</v>
      </c>
      <c r="I658" s="4">
        <v>5.1565864749E10</v>
      </c>
      <c r="J658" s="4" t="s">
        <v>1505</v>
      </c>
      <c r="K658" s="4" t="s">
        <v>1506</v>
      </c>
      <c r="L658" s="4">
        <v>7.99</v>
      </c>
      <c r="M658" s="4">
        <v>1083.84</v>
      </c>
      <c r="N658" s="4">
        <v>1084.0</v>
      </c>
      <c r="O658" s="4">
        <v>89972.0</v>
      </c>
      <c r="P658" s="4">
        <f t="shared" si="1"/>
        <v>135.65</v>
      </c>
      <c r="Q658" s="4" t="str">
        <f t="shared" si="2"/>
        <v>Normal</v>
      </c>
      <c r="R658" s="1" t="str">
        <f t="shared" si="3"/>
        <v>High</v>
      </c>
      <c r="S658" s="4">
        <f t="shared" si="4"/>
        <v>93.52199724</v>
      </c>
      <c r="T658" s="1" t="str">
        <f t="shared" si="5"/>
        <v>Normal Cost</v>
      </c>
      <c r="U658" s="4">
        <f t="shared" si="6"/>
        <v>0.06873249455</v>
      </c>
    </row>
    <row r="659">
      <c r="A659" s="4" t="s">
        <v>1507</v>
      </c>
      <c r="B659" s="4" t="s">
        <v>41</v>
      </c>
      <c r="C659" s="4">
        <v>113.9667</v>
      </c>
      <c r="D659" s="4" t="s">
        <v>42</v>
      </c>
      <c r="E659" s="4" t="s">
        <v>18</v>
      </c>
      <c r="F659" s="4">
        <v>83.34</v>
      </c>
      <c r="G659" s="4">
        <v>51.43</v>
      </c>
      <c r="H659" s="4">
        <v>3.2128373004E10</v>
      </c>
      <c r="I659" s="4">
        <v>3.8191273413E10</v>
      </c>
      <c r="J659" s="4" t="s">
        <v>1508</v>
      </c>
      <c r="K659" s="4" t="s">
        <v>1509</v>
      </c>
      <c r="L659" s="4">
        <v>6.16</v>
      </c>
      <c r="M659" s="4">
        <v>702.03</v>
      </c>
      <c r="N659" s="4">
        <v>702.0</v>
      </c>
      <c r="O659" s="4">
        <v>58266.0</v>
      </c>
      <c r="P659" s="4">
        <f t="shared" si="1"/>
        <v>113.9666667</v>
      </c>
      <c r="Q659" s="4" t="str">
        <f t="shared" si="2"/>
        <v>High</v>
      </c>
      <c r="R659" s="1" t="str">
        <f t="shared" si="3"/>
        <v>Normal</v>
      </c>
      <c r="S659" s="4">
        <f t="shared" si="4"/>
        <v>65.49027415</v>
      </c>
      <c r="T659" s="1" t="str">
        <f t="shared" si="5"/>
        <v>Normal Cost</v>
      </c>
      <c r="U659" s="4">
        <f t="shared" si="6"/>
        <v>0.1156506367</v>
      </c>
    </row>
    <row r="660">
      <c r="A660" s="4" t="s">
        <v>1510</v>
      </c>
      <c r="B660" s="4" t="s">
        <v>60</v>
      </c>
      <c r="C660" s="4">
        <v>125.2833</v>
      </c>
      <c r="D660" s="4" t="s">
        <v>42</v>
      </c>
      <c r="E660" s="4" t="s">
        <v>74</v>
      </c>
      <c r="F660" s="4">
        <v>28.85</v>
      </c>
      <c r="G660" s="4">
        <v>92.55</v>
      </c>
      <c r="H660" s="4">
        <v>2.0719596409E10</v>
      </c>
      <c r="I660" s="4">
        <v>2.9680737705E10</v>
      </c>
      <c r="J660" s="5">
        <v>45451.645833333336</v>
      </c>
      <c r="K660" s="5">
        <v>45604.86597222222</v>
      </c>
      <c r="L660" s="4">
        <v>2.45</v>
      </c>
      <c r="M660" s="4">
        <v>306.94</v>
      </c>
      <c r="N660" s="4">
        <v>307.0</v>
      </c>
      <c r="O660" s="4">
        <v>25481.0</v>
      </c>
      <c r="P660" s="4">
        <f t="shared" si="1"/>
        <v>125.2833333</v>
      </c>
      <c r="Q660" s="4" t="str">
        <f t="shared" si="2"/>
        <v>Underutilized</v>
      </c>
      <c r="R660" s="1" t="str">
        <f t="shared" si="3"/>
        <v>High</v>
      </c>
      <c r="S660" s="4">
        <f t="shared" si="4"/>
        <v>46.93896893</v>
      </c>
      <c r="T660" s="1" t="str">
        <f t="shared" si="5"/>
        <v>Normal Cost</v>
      </c>
      <c r="U660" s="4">
        <f t="shared" si="6"/>
        <v>0.2382167105</v>
      </c>
    </row>
    <row r="661">
      <c r="A661" s="4" t="s">
        <v>1511</v>
      </c>
      <c r="B661" s="4" t="s">
        <v>128</v>
      </c>
      <c r="C661" s="4">
        <v>360.9702</v>
      </c>
      <c r="D661" s="4" t="s">
        <v>17</v>
      </c>
      <c r="E661" s="4" t="s">
        <v>18</v>
      </c>
      <c r="F661" s="4">
        <v>48.3</v>
      </c>
      <c r="G661" s="4">
        <v>90.99</v>
      </c>
      <c r="H661" s="4">
        <v>2.775461869E10</v>
      </c>
      <c r="I661" s="4">
        <v>3.5507304239E10</v>
      </c>
      <c r="J661" s="4" t="s">
        <v>1512</v>
      </c>
      <c r="K661" s="4" t="s">
        <v>1513</v>
      </c>
      <c r="L661" s="4">
        <v>5.16</v>
      </c>
      <c r="M661" s="4">
        <v>1862.61</v>
      </c>
      <c r="N661" s="4">
        <v>1863.0</v>
      </c>
      <c r="O661" s="4">
        <v>154629.0</v>
      </c>
      <c r="P661" s="4">
        <f t="shared" si="1"/>
        <v>127.3</v>
      </c>
      <c r="Q661" s="4" t="str">
        <f t="shared" si="2"/>
        <v>Normal</v>
      </c>
      <c r="R661" s="1" t="str">
        <f t="shared" si="3"/>
        <v>High</v>
      </c>
      <c r="S661" s="4">
        <f t="shared" si="4"/>
        <v>58.91725694</v>
      </c>
      <c r="T661" s="1" t="str">
        <f t="shared" si="5"/>
        <v>Normal Cost</v>
      </c>
      <c r="U661" s="4">
        <f t="shared" si="6"/>
        <v>0.04504006364</v>
      </c>
    </row>
    <row r="662">
      <c r="A662" s="4" t="s">
        <v>1514</v>
      </c>
      <c r="B662" s="4" t="s">
        <v>31</v>
      </c>
      <c r="C662" s="4">
        <v>480.5511</v>
      </c>
      <c r="D662" s="4" t="s">
        <v>21</v>
      </c>
      <c r="E662" s="4" t="s">
        <v>54</v>
      </c>
      <c r="F662" s="4">
        <v>24.66</v>
      </c>
      <c r="G662" s="4">
        <v>3.98</v>
      </c>
      <c r="H662" s="4">
        <v>3.0514861798E10</v>
      </c>
      <c r="I662" s="4">
        <v>3.5153310829E10</v>
      </c>
      <c r="J662" s="4" t="s">
        <v>1515</v>
      </c>
      <c r="K662" s="4" t="s">
        <v>1516</v>
      </c>
      <c r="L662" s="4">
        <v>6.0</v>
      </c>
      <c r="M662" s="4">
        <v>2883.31</v>
      </c>
      <c r="N662" s="4">
        <v>2883.0</v>
      </c>
      <c r="O662" s="4">
        <v>239289.0</v>
      </c>
      <c r="P662" s="4">
        <f t="shared" si="1"/>
        <v>38.33333333</v>
      </c>
      <c r="Q662" s="4" t="str">
        <f t="shared" si="2"/>
        <v>Underutilized</v>
      </c>
      <c r="R662" s="1" t="str">
        <f t="shared" si="3"/>
        <v>Underutilized</v>
      </c>
      <c r="S662" s="4">
        <f t="shared" si="4"/>
        <v>61.1582516</v>
      </c>
      <c r="T662" s="1" t="str">
        <f t="shared" si="5"/>
        <v>High Cost</v>
      </c>
      <c r="U662" s="4">
        <f t="shared" si="6"/>
        <v>0.005984395438</v>
      </c>
    </row>
    <row r="663">
      <c r="A663" s="4" t="s">
        <v>1517</v>
      </c>
      <c r="B663" s="4" t="s">
        <v>79</v>
      </c>
      <c r="C663" s="4">
        <v>220.6895</v>
      </c>
      <c r="D663" s="4" t="s">
        <v>21</v>
      </c>
      <c r="E663" s="4" t="s">
        <v>37</v>
      </c>
      <c r="F663" s="4">
        <v>60.44</v>
      </c>
      <c r="G663" s="4">
        <v>77.79</v>
      </c>
      <c r="H663" s="4">
        <v>6.2721425289E10</v>
      </c>
      <c r="I663" s="4">
        <v>6.7805433734E10</v>
      </c>
      <c r="J663" s="4" t="s">
        <v>1518</v>
      </c>
      <c r="K663" s="5">
        <v>45300.14861111111</v>
      </c>
      <c r="L663" s="4">
        <v>7.51</v>
      </c>
      <c r="M663" s="4">
        <v>1657.38</v>
      </c>
      <c r="N663" s="4">
        <v>1657.0</v>
      </c>
      <c r="O663" s="4">
        <v>137531.0</v>
      </c>
      <c r="P663" s="4">
        <f t="shared" si="1"/>
        <v>129.9666667</v>
      </c>
      <c r="Q663" s="4" t="str">
        <f t="shared" si="2"/>
        <v>Normal</v>
      </c>
      <c r="R663" s="1" t="str">
        <f t="shared" si="3"/>
        <v>High</v>
      </c>
      <c r="S663" s="4">
        <f t="shared" si="4"/>
        <v>121.5626104</v>
      </c>
      <c r="T663" s="1" t="str">
        <f t="shared" si="5"/>
        <v>Normal Cost</v>
      </c>
      <c r="U663" s="4">
        <f t="shared" si="6"/>
        <v>0.05025412452</v>
      </c>
    </row>
    <row r="664">
      <c r="A664" s="4" t="s">
        <v>1519</v>
      </c>
      <c r="B664" s="4" t="s">
        <v>57</v>
      </c>
      <c r="C664" s="4">
        <v>499.9709</v>
      </c>
      <c r="D664" s="4" t="s">
        <v>17</v>
      </c>
      <c r="E664" s="4" t="s">
        <v>58</v>
      </c>
      <c r="F664" s="4">
        <v>45.68</v>
      </c>
      <c r="G664" s="4">
        <v>22.22</v>
      </c>
      <c r="H664" s="4">
        <v>1.3379480317E10</v>
      </c>
      <c r="I664" s="4">
        <v>1.7283883409E10</v>
      </c>
      <c r="J664" s="4" t="s">
        <v>1520</v>
      </c>
      <c r="K664" s="4" t="s">
        <v>1521</v>
      </c>
      <c r="L664" s="4">
        <v>1.87</v>
      </c>
      <c r="M664" s="4">
        <v>934.95</v>
      </c>
      <c r="N664" s="4">
        <v>935.0</v>
      </c>
      <c r="O664" s="4">
        <v>77605.0</v>
      </c>
      <c r="P664" s="4">
        <f t="shared" si="1"/>
        <v>31.7</v>
      </c>
      <c r="Q664" s="4" t="str">
        <f t="shared" si="2"/>
        <v>Normal</v>
      </c>
      <c r="R664" s="1" t="str">
        <f t="shared" si="3"/>
        <v>Underutilized</v>
      </c>
      <c r="S664" s="4">
        <f t="shared" si="4"/>
        <v>28.55748285</v>
      </c>
      <c r="T664" s="1" t="str">
        <f t="shared" si="5"/>
        <v>Normal Cost</v>
      </c>
      <c r="U664" s="4">
        <f t="shared" si="6"/>
        <v>0.04374718124</v>
      </c>
    </row>
    <row r="665">
      <c r="A665" s="4" t="s">
        <v>1522</v>
      </c>
      <c r="B665" s="4" t="s">
        <v>66</v>
      </c>
      <c r="C665" s="4">
        <v>402.6602</v>
      </c>
      <c r="D665" s="4" t="s">
        <v>17</v>
      </c>
      <c r="E665" s="4" t="s">
        <v>18</v>
      </c>
      <c r="F665" s="4">
        <v>34.9</v>
      </c>
      <c r="G665" s="4">
        <v>34.24</v>
      </c>
      <c r="H665" s="4">
        <v>4.051874744E9</v>
      </c>
      <c r="I665" s="4">
        <v>6.569214624E9</v>
      </c>
      <c r="J665" s="5">
        <v>45330.20347222222</v>
      </c>
      <c r="K665" s="5">
        <v>45481.08263888889</v>
      </c>
      <c r="L665" s="4">
        <v>9.57</v>
      </c>
      <c r="M665" s="4">
        <v>3853.46</v>
      </c>
      <c r="N665" s="4">
        <v>3853.0</v>
      </c>
      <c r="O665" s="4">
        <v>319799.0</v>
      </c>
      <c r="P665" s="4">
        <f t="shared" si="1"/>
        <v>117.1</v>
      </c>
      <c r="Q665" s="4" t="str">
        <f t="shared" si="2"/>
        <v>Normal</v>
      </c>
      <c r="R665" s="1" t="str">
        <f t="shared" si="3"/>
        <v>Underutilized</v>
      </c>
      <c r="S665" s="4">
        <f t="shared" si="4"/>
        <v>9.891660295</v>
      </c>
      <c r="T665" s="1" t="str">
        <f t="shared" si="5"/>
        <v>High Cost</v>
      </c>
      <c r="U665" s="4">
        <f t="shared" si="6"/>
        <v>0.01080991498</v>
      </c>
    </row>
    <row r="666">
      <c r="A666" s="4" t="s">
        <v>1523</v>
      </c>
      <c r="B666" s="4" t="s">
        <v>57</v>
      </c>
      <c r="C666" s="4">
        <v>230.4643</v>
      </c>
      <c r="D666" s="4" t="s">
        <v>21</v>
      </c>
      <c r="E666" s="4" t="s">
        <v>22</v>
      </c>
      <c r="F666" s="4">
        <v>52.02</v>
      </c>
      <c r="G666" s="4">
        <v>75.19</v>
      </c>
      <c r="H666" s="4">
        <v>4.9637105643E10</v>
      </c>
      <c r="I666" s="4">
        <v>5.1071043166E10</v>
      </c>
      <c r="J666" s="5">
        <v>45542.55</v>
      </c>
      <c r="K666" s="4" t="s">
        <v>1524</v>
      </c>
      <c r="L666" s="4">
        <v>6.85</v>
      </c>
      <c r="M666" s="4">
        <v>1578.68</v>
      </c>
      <c r="N666" s="4">
        <v>1579.0</v>
      </c>
      <c r="O666" s="4">
        <v>131057.0</v>
      </c>
      <c r="P666" s="4">
        <f t="shared" si="1"/>
        <v>115.25</v>
      </c>
      <c r="Q666" s="4" t="str">
        <f t="shared" si="2"/>
        <v>Normal</v>
      </c>
      <c r="R666" s="1" t="str">
        <f t="shared" si="3"/>
        <v>High</v>
      </c>
      <c r="S666" s="4">
        <f t="shared" si="4"/>
        <v>93.79177243</v>
      </c>
      <c r="T666" s="1" t="str">
        <f t="shared" si="5"/>
        <v>Normal Cost</v>
      </c>
      <c r="U666" s="4">
        <f t="shared" si="6"/>
        <v>0.048532318</v>
      </c>
    </row>
    <row r="667">
      <c r="A667" s="4" t="s">
        <v>1525</v>
      </c>
      <c r="B667" s="4" t="s">
        <v>66</v>
      </c>
      <c r="C667" s="4">
        <v>607.4707</v>
      </c>
      <c r="D667" s="4" t="s">
        <v>21</v>
      </c>
      <c r="E667" s="4" t="s">
        <v>27</v>
      </c>
      <c r="F667" s="4">
        <v>18.05</v>
      </c>
      <c r="G667" s="4">
        <v>9.28</v>
      </c>
      <c r="H667" s="4">
        <v>6.9669692064E10</v>
      </c>
      <c r="I667" s="4">
        <v>7.6918930113E10</v>
      </c>
      <c r="J667" s="5">
        <v>45359.11736111111</v>
      </c>
      <c r="K667" s="5">
        <v>45420.89375</v>
      </c>
      <c r="L667" s="4">
        <v>2.75</v>
      </c>
      <c r="M667" s="4">
        <v>1670.54</v>
      </c>
      <c r="N667" s="4">
        <v>1671.0</v>
      </c>
      <c r="O667" s="4">
        <v>138693.0</v>
      </c>
      <c r="P667" s="4">
        <f t="shared" si="1"/>
        <v>66.63333333</v>
      </c>
      <c r="Q667" s="4" t="str">
        <f t="shared" si="2"/>
        <v>Underutilized</v>
      </c>
      <c r="R667" s="1" t="str">
        <f t="shared" si="3"/>
        <v>Underutilized</v>
      </c>
      <c r="S667" s="4">
        <f t="shared" si="4"/>
        <v>136.521293</v>
      </c>
      <c r="T667" s="1" t="str">
        <f t="shared" si="5"/>
        <v>Normal Cost</v>
      </c>
      <c r="U667" s="4">
        <f t="shared" si="6"/>
        <v>0.009852696243</v>
      </c>
    </row>
    <row r="668">
      <c r="A668" s="4" t="s">
        <v>1526</v>
      </c>
      <c r="B668" s="4" t="s">
        <v>139</v>
      </c>
      <c r="C668" s="4">
        <v>46.6333</v>
      </c>
      <c r="D668" s="4" t="s">
        <v>42</v>
      </c>
      <c r="E668" s="4" t="s">
        <v>70</v>
      </c>
      <c r="F668" s="4">
        <v>50.19</v>
      </c>
      <c r="G668" s="4">
        <v>66.6</v>
      </c>
      <c r="H668" s="4">
        <v>1.1043575144E10</v>
      </c>
      <c r="I668" s="4">
        <v>1.3633323065E10</v>
      </c>
      <c r="J668" s="4" t="s">
        <v>1527</v>
      </c>
      <c r="K668" s="4" t="s">
        <v>1528</v>
      </c>
      <c r="L668" s="4">
        <v>6.58</v>
      </c>
      <c r="M668" s="4">
        <v>306.85</v>
      </c>
      <c r="N668" s="4">
        <v>307.0</v>
      </c>
      <c r="O668" s="4">
        <v>25481.0</v>
      </c>
      <c r="P668" s="4">
        <f t="shared" si="1"/>
        <v>46.63333333</v>
      </c>
      <c r="Q668" s="4" t="str">
        <f t="shared" si="2"/>
        <v>Normal</v>
      </c>
      <c r="R668" s="1" t="str">
        <f t="shared" si="3"/>
        <v>Normal</v>
      </c>
      <c r="S668" s="4">
        <f t="shared" si="4"/>
        <v>22.98215237</v>
      </c>
      <c r="T668" s="1" t="str">
        <f t="shared" si="5"/>
        <v>Normal Cost</v>
      </c>
      <c r="U668" s="4">
        <f t="shared" si="6"/>
        <v>0.2291707547</v>
      </c>
    </row>
    <row r="669">
      <c r="A669" s="4" t="s">
        <v>1529</v>
      </c>
      <c r="B669" s="4" t="s">
        <v>41</v>
      </c>
      <c r="C669" s="4">
        <v>38.2167</v>
      </c>
      <c r="D669" s="4" t="s">
        <v>42</v>
      </c>
      <c r="E669" s="4" t="s">
        <v>18</v>
      </c>
      <c r="F669" s="4">
        <v>41.18</v>
      </c>
      <c r="G669" s="4">
        <v>81.14</v>
      </c>
      <c r="H669" s="4">
        <v>2.1583247587E10</v>
      </c>
      <c r="I669" s="4">
        <v>2.5875971843E10</v>
      </c>
      <c r="J669" s="5">
        <v>45329.05972222222</v>
      </c>
      <c r="K669" s="5">
        <v>45358.652083333334</v>
      </c>
      <c r="L669" s="4">
        <v>4.71</v>
      </c>
      <c r="M669" s="4">
        <v>180.0</v>
      </c>
      <c r="N669" s="4">
        <v>180.0</v>
      </c>
      <c r="O669" s="4">
        <v>14940.0</v>
      </c>
      <c r="P669" s="4">
        <f t="shared" si="1"/>
        <v>38.21666667</v>
      </c>
      <c r="Q669" s="4" t="str">
        <f t="shared" si="2"/>
        <v>Normal</v>
      </c>
      <c r="R669" s="1" t="str">
        <f t="shared" si="3"/>
        <v>High</v>
      </c>
      <c r="S669" s="4">
        <f t="shared" si="4"/>
        <v>44.19984243</v>
      </c>
      <c r="T669" s="1" t="str">
        <f t="shared" si="5"/>
        <v>Normal Cost</v>
      </c>
      <c r="U669" s="4">
        <f t="shared" si="6"/>
        <v>0.4093708166</v>
      </c>
    </row>
    <row r="670">
      <c r="A670" s="4" t="s">
        <v>1530</v>
      </c>
      <c r="B670" s="4" t="s">
        <v>66</v>
      </c>
      <c r="C670" s="4">
        <v>506.0399</v>
      </c>
      <c r="D670" s="4" t="s">
        <v>17</v>
      </c>
      <c r="E670" s="4" t="s">
        <v>37</v>
      </c>
      <c r="F670" s="4">
        <v>2.5</v>
      </c>
      <c r="G670" s="4">
        <v>40.41</v>
      </c>
      <c r="H670" s="4">
        <v>6.4079190131E10</v>
      </c>
      <c r="I670" s="4">
        <v>6.6145003338E10</v>
      </c>
      <c r="J670" s="5">
        <v>45419.763194444444</v>
      </c>
      <c r="K670" s="5">
        <v>45603.1375</v>
      </c>
      <c r="L670" s="4">
        <v>4.0</v>
      </c>
      <c r="M670" s="4">
        <v>2024.16</v>
      </c>
      <c r="N670" s="4">
        <v>2024.0</v>
      </c>
      <c r="O670" s="4">
        <v>167992.0</v>
      </c>
      <c r="P670" s="4">
        <f t="shared" si="1"/>
        <v>128.9833333</v>
      </c>
      <c r="Q670" s="4" t="str">
        <f t="shared" si="2"/>
        <v>Underutilized</v>
      </c>
      <c r="R670" s="1" t="str">
        <f t="shared" si="3"/>
        <v>Normal</v>
      </c>
      <c r="S670" s="4">
        <f t="shared" si="4"/>
        <v>121.2807311</v>
      </c>
      <c r="T670" s="1" t="str">
        <f t="shared" si="5"/>
        <v>Normal Cost</v>
      </c>
      <c r="U670" s="4">
        <f t="shared" si="6"/>
        <v>0.0127714415</v>
      </c>
    </row>
    <row r="671">
      <c r="A671" s="4" t="s">
        <v>1531</v>
      </c>
      <c r="B671" s="4" t="s">
        <v>128</v>
      </c>
      <c r="C671" s="4">
        <v>532.48</v>
      </c>
      <c r="D671" s="4" t="s">
        <v>17</v>
      </c>
      <c r="E671" s="4" t="s">
        <v>155</v>
      </c>
      <c r="F671" s="4">
        <v>16.08</v>
      </c>
      <c r="G671" s="4">
        <v>67.34</v>
      </c>
      <c r="H671" s="4">
        <v>1.5502968944E10</v>
      </c>
      <c r="I671" s="4">
        <v>2.3111173365E10</v>
      </c>
      <c r="J671" s="4" t="s">
        <v>1532</v>
      </c>
      <c r="K671" s="4" t="s">
        <v>1533</v>
      </c>
      <c r="L671" s="4">
        <v>2.98</v>
      </c>
      <c r="M671" s="4">
        <v>1586.79</v>
      </c>
      <c r="N671" s="4">
        <v>1587.0</v>
      </c>
      <c r="O671" s="4">
        <v>131721.0</v>
      </c>
      <c r="P671" s="4">
        <f t="shared" si="1"/>
        <v>122.4666667</v>
      </c>
      <c r="Q671" s="4" t="str">
        <f t="shared" si="2"/>
        <v>Underutilized</v>
      </c>
      <c r="R671" s="1" t="str">
        <f t="shared" si="3"/>
        <v>Normal</v>
      </c>
      <c r="S671" s="4">
        <f t="shared" si="4"/>
        <v>35.96222243</v>
      </c>
      <c r="T671" s="1" t="str">
        <f t="shared" si="5"/>
        <v>Normal Cost</v>
      </c>
      <c r="U671" s="4">
        <f t="shared" si="6"/>
        <v>0.03166541402</v>
      </c>
    </row>
    <row r="672">
      <c r="A672" s="4" t="s">
        <v>1534</v>
      </c>
      <c r="B672" s="4" t="s">
        <v>273</v>
      </c>
      <c r="C672" s="4">
        <v>663.0369</v>
      </c>
      <c r="D672" s="4" t="s">
        <v>17</v>
      </c>
      <c r="E672" s="4" t="s">
        <v>105</v>
      </c>
      <c r="F672" s="4">
        <v>22.24</v>
      </c>
      <c r="G672" s="4">
        <v>40.82</v>
      </c>
      <c r="H672" s="4">
        <v>9.2734171158E10</v>
      </c>
      <c r="I672" s="4">
        <v>9.8804510325E10</v>
      </c>
      <c r="J672" s="4" t="s">
        <v>1535</v>
      </c>
      <c r="K672" s="4" t="s">
        <v>1536</v>
      </c>
      <c r="L672" s="4">
        <v>6.84</v>
      </c>
      <c r="M672" s="4">
        <v>4535.17</v>
      </c>
      <c r="N672" s="4">
        <v>4535.0</v>
      </c>
      <c r="O672" s="4">
        <v>376405.0</v>
      </c>
      <c r="P672" s="4">
        <f t="shared" si="1"/>
        <v>40.3</v>
      </c>
      <c r="Q672" s="4" t="str">
        <f t="shared" si="2"/>
        <v>Underutilized</v>
      </c>
      <c r="R672" s="1" t="str">
        <f t="shared" si="3"/>
        <v>Normal</v>
      </c>
      <c r="S672" s="4">
        <f t="shared" si="4"/>
        <v>178.384298</v>
      </c>
      <c r="T672" s="1" t="str">
        <f t="shared" si="5"/>
        <v>High Cost</v>
      </c>
      <c r="U672" s="4">
        <f t="shared" si="6"/>
        <v>0.008376615614</v>
      </c>
    </row>
    <row r="673">
      <c r="A673" s="4" t="s">
        <v>1537</v>
      </c>
      <c r="B673" s="4" t="s">
        <v>166</v>
      </c>
      <c r="C673" s="4">
        <v>137.6362</v>
      </c>
      <c r="D673" s="4" t="s">
        <v>21</v>
      </c>
      <c r="E673" s="4" t="s">
        <v>32</v>
      </c>
      <c r="F673" s="4">
        <v>55.5</v>
      </c>
      <c r="G673" s="4">
        <v>63.99</v>
      </c>
      <c r="H673" s="4">
        <v>8.7647637512E10</v>
      </c>
      <c r="I673" s="4">
        <v>9.0309475809E10</v>
      </c>
      <c r="J673" s="4" t="s">
        <v>1538</v>
      </c>
      <c r="K673" s="4" t="s">
        <v>1539</v>
      </c>
      <c r="L673" s="4">
        <v>9.58</v>
      </c>
      <c r="M673" s="4">
        <v>1318.55</v>
      </c>
      <c r="N673" s="4">
        <v>1319.0</v>
      </c>
      <c r="O673" s="4">
        <v>109477.0</v>
      </c>
      <c r="P673" s="4">
        <f t="shared" si="1"/>
        <v>55.18333333</v>
      </c>
      <c r="Q673" s="4" t="str">
        <f t="shared" si="2"/>
        <v>Normal</v>
      </c>
      <c r="R673" s="1" t="str">
        <f t="shared" si="3"/>
        <v>Normal</v>
      </c>
      <c r="S673" s="4">
        <f t="shared" si="4"/>
        <v>165.7354769</v>
      </c>
      <c r="T673" s="1" t="str">
        <f t="shared" si="5"/>
        <v>Normal Cost</v>
      </c>
      <c r="U673" s="4">
        <f t="shared" si="6"/>
        <v>0.05457310668</v>
      </c>
    </row>
    <row r="674">
      <c r="A674" s="4" t="s">
        <v>1540</v>
      </c>
      <c r="B674" s="4" t="s">
        <v>20</v>
      </c>
      <c r="C674" s="4">
        <v>345.3023</v>
      </c>
      <c r="D674" s="4" t="s">
        <v>17</v>
      </c>
      <c r="E674" s="4" t="s">
        <v>54</v>
      </c>
      <c r="F674" s="4">
        <v>37.54</v>
      </c>
      <c r="G674" s="4">
        <v>1.19</v>
      </c>
      <c r="H674" s="4">
        <v>1.2677499842E10</v>
      </c>
      <c r="I674" s="4">
        <v>2.092645753E10</v>
      </c>
      <c r="J674" s="4" t="s">
        <v>1541</v>
      </c>
      <c r="K674" s="4" t="s">
        <v>1542</v>
      </c>
      <c r="L674" s="4">
        <v>4.51</v>
      </c>
      <c r="M674" s="4">
        <v>1557.31</v>
      </c>
      <c r="N674" s="4">
        <v>1557.0</v>
      </c>
      <c r="O674" s="4">
        <v>129231.0</v>
      </c>
      <c r="P674" s="4">
        <f t="shared" si="1"/>
        <v>89.95</v>
      </c>
      <c r="Q674" s="4" t="str">
        <f t="shared" si="2"/>
        <v>Normal</v>
      </c>
      <c r="R674" s="1" t="str">
        <f t="shared" si="3"/>
        <v>Underutilized</v>
      </c>
      <c r="S674" s="4">
        <f t="shared" si="4"/>
        <v>31.2961241</v>
      </c>
      <c r="T674" s="1" t="str">
        <f t="shared" si="5"/>
        <v>Normal Cost</v>
      </c>
      <c r="U674" s="4">
        <f t="shared" si="6"/>
        <v>0.01498479467</v>
      </c>
    </row>
    <row r="675">
      <c r="A675" s="4" t="s">
        <v>1543</v>
      </c>
      <c r="B675" s="4" t="s">
        <v>169</v>
      </c>
      <c r="C675" s="4">
        <v>825.0126</v>
      </c>
      <c r="D675" s="4" t="s">
        <v>17</v>
      </c>
      <c r="E675" s="4" t="s">
        <v>74</v>
      </c>
      <c r="F675" s="4">
        <v>44.96</v>
      </c>
      <c r="G675" s="4">
        <v>44.96</v>
      </c>
      <c r="H675" s="4">
        <v>8.940332711E9</v>
      </c>
      <c r="I675" s="4">
        <v>1.697047848E10</v>
      </c>
      <c r="J675" s="4" t="s">
        <v>1544</v>
      </c>
      <c r="K675" s="4" t="s">
        <v>1545</v>
      </c>
      <c r="L675" s="4">
        <v>9.82</v>
      </c>
      <c r="M675" s="4">
        <v>8101.62</v>
      </c>
      <c r="N675" s="4">
        <v>8102.0</v>
      </c>
      <c r="O675" s="4">
        <v>672466.0</v>
      </c>
      <c r="P675" s="4">
        <f t="shared" si="1"/>
        <v>118.25</v>
      </c>
      <c r="Q675" s="4" t="str">
        <f t="shared" si="2"/>
        <v>Normal</v>
      </c>
      <c r="R675" s="1" t="str">
        <f t="shared" si="3"/>
        <v>Normal</v>
      </c>
      <c r="S675" s="4">
        <f t="shared" si="4"/>
        <v>24.13132339</v>
      </c>
      <c r="T675" s="1" t="str">
        <f t="shared" si="5"/>
        <v>High Cost</v>
      </c>
      <c r="U675" s="4">
        <f t="shared" si="6"/>
        <v>0.006685839879</v>
      </c>
    </row>
    <row r="676">
      <c r="A676" s="4" t="s">
        <v>1546</v>
      </c>
      <c r="B676" s="4" t="s">
        <v>128</v>
      </c>
      <c r="C676" s="4">
        <v>515.2714</v>
      </c>
      <c r="D676" s="4" t="s">
        <v>17</v>
      </c>
      <c r="E676" s="4" t="s">
        <v>22</v>
      </c>
      <c r="F676" s="4">
        <v>59.39</v>
      </c>
      <c r="G676" s="4">
        <v>3.49</v>
      </c>
      <c r="H676" s="4">
        <v>9.0804234874E10</v>
      </c>
      <c r="I676" s="4">
        <v>9.5479814717E10</v>
      </c>
      <c r="J676" s="4" t="s">
        <v>1547</v>
      </c>
      <c r="K676" s="4" t="s">
        <v>1548</v>
      </c>
      <c r="L676" s="4">
        <v>1.4</v>
      </c>
      <c r="M676" s="4">
        <v>721.38</v>
      </c>
      <c r="N676" s="4">
        <v>721.0</v>
      </c>
      <c r="O676" s="4">
        <v>59843.0</v>
      </c>
      <c r="P676" s="4">
        <f t="shared" si="1"/>
        <v>142.35</v>
      </c>
      <c r="Q676" s="4" t="str">
        <f t="shared" si="2"/>
        <v>Normal</v>
      </c>
      <c r="R676" s="1" t="str">
        <f t="shared" si="3"/>
        <v>Underutilized</v>
      </c>
      <c r="S676" s="4">
        <f t="shared" si="4"/>
        <v>173.4905407</v>
      </c>
      <c r="T676" s="1" t="str">
        <f t="shared" si="5"/>
        <v>Normal Cost</v>
      </c>
      <c r="U676" s="4">
        <f t="shared" si="6"/>
        <v>0.05253747305</v>
      </c>
    </row>
    <row r="677">
      <c r="A677" s="4" t="s">
        <v>1549</v>
      </c>
      <c r="B677" s="4" t="s">
        <v>122</v>
      </c>
      <c r="C677" s="4">
        <v>645.6266</v>
      </c>
      <c r="D677" s="4" t="s">
        <v>17</v>
      </c>
      <c r="E677" s="4" t="s">
        <v>70</v>
      </c>
      <c r="F677" s="4">
        <v>83.99</v>
      </c>
      <c r="G677" s="4">
        <v>46.32</v>
      </c>
      <c r="H677" s="4">
        <v>8.03520492E10</v>
      </c>
      <c r="I677" s="4">
        <v>8.1047715753E10</v>
      </c>
      <c r="J677" s="4" t="s">
        <v>1550</v>
      </c>
      <c r="K677" s="4" t="s">
        <v>1551</v>
      </c>
      <c r="L677" s="4">
        <v>1.47</v>
      </c>
      <c r="M677" s="4">
        <v>949.07</v>
      </c>
      <c r="N677" s="4">
        <v>949.0</v>
      </c>
      <c r="O677" s="4">
        <v>78767.0</v>
      </c>
      <c r="P677" s="4">
        <f t="shared" si="1"/>
        <v>54.68333333</v>
      </c>
      <c r="Q677" s="4" t="str">
        <f t="shared" si="2"/>
        <v>High</v>
      </c>
      <c r="R677" s="1" t="str">
        <f t="shared" si="3"/>
        <v>Normal</v>
      </c>
      <c r="S677" s="4">
        <f t="shared" si="4"/>
        <v>150.3152446</v>
      </c>
      <c r="T677" s="1" t="str">
        <f t="shared" si="5"/>
        <v>Normal Cost</v>
      </c>
      <c r="U677" s="4">
        <f t="shared" si="6"/>
        <v>0.08271865121</v>
      </c>
    </row>
    <row r="678">
      <c r="A678" s="4" t="s">
        <v>1552</v>
      </c>
      <c r="B678" s="4" t="s">
        <v>169</v>
      </c>
      <c r="C678" s="4">
        <v>153.5011</v>
      </c>
      <c r="D678" s="4" t="s">
        <v>17</v>
      </c>
      <c r="E678" s="4" t="s">
        <v>74</v>
      </c>
      <c r="F678" s="4">
        <v>26.65</v>
      </c>
      <c r="G678" s="4">
        <v>8.78</v>
      </c>
      <c r="H678" s="4">
        <v>4.7511595763E10</v>
      </c>
      <c r="I678" s="4">
        <v>5.4074999234E10</v>
      </c>
      <c r="J678" s="5">
        <v>45358.23402777778</v>
      </c>
      <c r="K678" s="5">
        <v>45419.95</v>
      </c>
      <c r="L678" s="4">
        <v>3.08</v>
      </c>
      <c r="M678" s="4">
        <v>472.78</v>
      </c>
      <c r="N678" s="4">
        <v>473.0</v>
      </c>
      <c r="O678" s="4">
        <v>39259.0</v>
      </c>
      <c r="P678" s="4">
        <f t="shared" si="1"/>
        <v>65.18333333</v>
      </c>
      <c r="Q678" s="4" t="str">
        <f t="shared" si="2"/>
        <v>Underutilized</v>
      </c>
      <c r="R678" s="1" t="str">
        <f t="shared" si="3"/>
        <v>Underutilized</v>
      </c>
      <c r="S678" s="4">
        <f t="shared" si="4"/>
        <v>94.6098892</v>
      </c>
      <c r="T678" s="1" t="str">
        <f t="shared" si="5"/>
        <v>Normal Cost</v>
      </c>
      <c r="U678" s="4">
        <f t="shared" si="6"/>
        <v>0.04512341119</v>
      </c>
    </row>
    <row r="679">
      <c r="A679" s="4" t="s">
        <v>1553</v>
      </c>
      <c r="B679" s="4" t="s">
        <v>46</v>
      </c>
      <c r="C679" s="4">
        <v>776.2761</v>
      </c>
      <c r="D679" s="4" t="s">
        <v>17</v>
      </c>
      <c r="E679" s="4" t="s">
        <v>27</v>
      </c>
      <c r="F679" s="4">
        <v>59.36</v>
      </c>
      <c r="G679" s="4">
        <v>91.81</v>
      </c>
      <c r="H679" s="4">
        <v>7.5364762439E10</v>
      </c>
      <c r="I679" s="4">
        <v>8.3411061952E10</v>
      </c>
      <c r="J679" s="5">
        <v>45633.31805555556</v>
      </c>
      <c r="K679" s="4" t="s">
        <v>1554</v>
      </c>
      <c r="L679" s="4">
        <v>2.36</v>
      </c>
      <c r="M679" s="4">
        <v>1832.01</v>
      </c>
      <c r="N679" s="4">
        <v>1832.0</v>
      </c>
      <c r="O679" s="4">
        <v>152056.0</v>
      </c>
      <c r="P679" s="4">
        <f t="shared" si="1"/>
        <v>44.91666667</v>
      </c>
      <c r="Q679" s="4" t="str">
        <f t="shared" si="2"/>
        <v>Normal</v>
      </c>
      <c r="R679" s="1" t="str">
        <f t="shared" si="3"/>
        <v>High</v>
      </c>
      <c r="S679" s="4">
        <f t="shared" si="4"/>
        <v>147.8715096</v>
      </c>
      <c r="T679" s="1" t="str">
        <f t="shared" si="5"/>
        <v>Normal Cost</v>
      </c>
      <c r="U679" s="4">
        <f t="shared" si="6"/>
        <v>0.04970865997</v>
      </c>
    </row>
    <row r="680">
      <c r="A680" s="4" t="s">
        <v>1555</v>
      </c>
      <c r="B680" s="4" t="s">
        <v>79</v>
      </c>
      <c r="C680" s="4">
        <v>722.3221</v>
      </c>
      <c r="D680" s="4" t="s">
        <v>21</v>
      </c>
      <c r="E680" s="4" t="s">
        <v>37</v>
      </c>
      <c r="F680" s="4">
        <v>94.84</v>
      </c>
      <c r="G680" s="4">
        <v>65.76</v>
      </c>
      <c r="H680" s="4">
        <v>8.1479153306E10</v>
      </c>
      <c r="I680" s="4">
        <v>8.6249992427E10</v>
      </c>
      <c r="J680" s="4" t="s">
        <v>1556</v>
      </c>
      <c r="K680" s="4" t="s">
        <v>1557</v>
      </c>
      <c r="L680" s="4">
        <v>8.63</v>
      </c>
      <c r="M680" s="4">
        <v>6233.64</v>
      </c>
      <c r="N680" s="4">
        <v>6234.0</v>
      </c>
      <c r="O680" s="4">
        <v>517422.0</v>
      </c>
      <c r="P680" s="4">
        <f t="shared" si="1"/>
        <v>64.01666667</v>
      </c>
      <c r="Q680" s="4" t="str">
        <f t="shared" si="2"/>
        <v>High</v>
      </c>
      <c r="R680" s="1" t="str">
        <f t="shared" si="3"/>
        <v>Normal</v>
      </c>
      <c r="S680" s="4">
        <f t="shared" si="4"/>
        <v>156.2099398</v>
      </c>
      <c r="T680" s="1" t="str">
        <f t="shared" si="5"/>
        <v>High Cost</v>
      </c>
      <c r="U680" s="4">
        <f t="shared" si="6"/>
        <v>0.01551924735</v>
      </c>
    </row>
    <row r="681">
      <c r="A681" s="4" t="s">
        <v>1558</v>
      </c>
      <c r="B681" s="4" t="s">
        <v>128</v>
      </c>
      <c r="C681" s="4">
        <v>335.0037</v>
      </c>
      <c r="D681" s="4" t="s">
        <v>17</v>
      </c>
      <c r="E681" s="4" t="s">
        <v>37</v>
      </c>
      <c r="F681" s="4">
        <v>69.96</v>
      </c>
      <c r="G681" s="4">
        <v>68.23</v>
      </c>
      <c r="H681" s="4">
        <v>4.3868885858E10</v>
      </c>
      <c r="I681" s="4">
        <v>5.2444783637E10</v>
      </c>
      <c r="J681" s="5">
        <v>45358.96319444444</v>
      </c>
      <c r="K681" s="5">
        <v>45450.05972222222</v>
      </c>
      <c r="L681" s="4">
        <v>6.48</v>
      </c>
      <c r="M681" s="4">
        <v>2170.82</v>
      </c>
      <c r="N681" s="4">
        <v>2171.0</v>
      </c>
      <c r="O681" s="4">
        <v>180193.0</v>
      </c>
      <c r="P681" s="4">
        <f t="shared" si="1"/>
        <v>50.31666667</v>
      </c>
      <c r="Q681" s="4" t="str">
        <f t="shared" si="2"/>
        <v>Normal</v>
      </c>
      <c r="R681" s="1" t="str">
        <f t="shared" si="3"/>
        <v>Normal</v>
      </c>
      <c r="S681" s="4">
        <f t="shared" si="4"/>
        <v>89.69909464</v>
      </c>
      <c r="T681" s="1" t="str">
        <f t="shared" si="5"/>
        <v>High Cost</v>
      </c>
      <c r="U681" s="4">
        <f t="shared" si="6"/>
        <v>0.03834499675</v>
      </c>
    </row>
    <row r="682">
      <c r="A682" s="4" t="s">
        <v>1559</v>
      </c>
      <c r="B682" s="4" t="s">
        <v>147</v>
      </c>
      <c r="C682" s="4">
        <v>68.5667</v>
      </c>
      <c r="D682" s="4" t="s">
        <v>42</v>
      </c>
      <c r="E682" s="4" t="s">
        <v>18</v>
      </c>
      <c r="F682" s="4">
        <v>35.79</v>
      </c>
      <c r="G682" s="4">
        <v>67.52</v>
      </c>
      <c r="H682" s="4">
        <v>4.7407570072E10</v>
      </c>
      <c r="I682" s="4">
        <v>5.5754811438E10</v>
      </c>
      <c r="J682" s="4" t="s">
        <v>1560</v>
      </c>
      <c r="K682" s="4" t="s">
        <v>1561</v>
      </c>
      <c r="L682" s="4">
        <v>7.38</v>
      </c>
      <c r="M682" s="4">
        <v>506.02</v>
      </c>
      <c r="N682" s="4">
        <v>506.0</v>
      </c>
      <c r="O682" s="4">
        <v>41998.0</v>
      </c>
      <c r="P682" s="4">
        <f t="shared" si="1"/>
        <v>68.56666667</v>
      </c>
      <c r="Q682" s="4" t="str">
        <f t="shared" si="2"/>
        <v>Normal</v>
      </c>
      <c r="R682" s="1" t="str">
        <f t="shared" si="3"/>
        <v>Normal</v>
      </c>
      <c r="S682" s="4">
        <f t="shared" si="4"/>
        <v>96.07745475</v>
      </c>
      <c r="T682" s="1" t="str">
        <f t="shared" si="5"/>
        <v>Normal Cost</v>
      </c>
      <c r="U682" s="4">
        <f t="shared" si="6"/>
        <v>0.1229939521</v>
      </c>
    </row>
    <row r="683">
      <c r="A683" s="4" t="s">
        <v>1562</v>
      </c>
      <c r="B683" s="4" t="s">
        <v>139</v>
      </c>
      <c r="C683" s="4">
        <v>143.45</v>
      </c>
      <c r="D683" s="4" t="s">
        <v>42</v>
      </c>
      <c r="E683" s="4" t="s">
        <v>18</v>
      </c>
      <c r="F683" s="4">
        <v>61.69</v>
      </c>
      <c r="G683" s="4">
        <v>53.28</v>
      </c>
      <c r="H683" s="4">
        <v>4.3537352308E10</v>
      </c>
      <c r="I683" s="4">
        <v>4.7365560959E10</v>
      </c>
      <c r="J683" s="4" t="s">
        <v>1563</v>
      </c>
      <c r="K683" s="4" t="s">
        <v>1564</v>
      </c>
      <c r="L683" s="4">
        <v>4.37</v>
      </c>
      <c r="M683" s="4">
        <v>626.88</v>
      </c>
      <c r="N683" s="4">
        <v>627.0</v>
      </c>
      <c r="O683" s="4">
        <v>52041.0</v>
      </c>
      <c r="P683" s="4">
        <f t="shared" si="1"/>
        <v>143.45</v>
      </c>
      <c r="Q683" s="4" t="str">
        <f t="shared" si="2"/>
        <v>Normal</v>
      </c>
      <c r="R683" s="1" t="str">
        <f t="shared" si="3"/>
        <v>Normal</v>
      </c>
      <c r="S683" s="4">
        <f t="shared" si="4"/>
        <v>84.65993522</v>
      </c>
      <c r="T683" s="1" t="str">
        <f t="shared" si="5"/>
        <v>Normal Cost</v>
      </c>
      <c r="U683" s="4">
        <f t="shared" si="6"/>
        <v>0.1104609827</v>
      </c>
    </row>
    <row r="684">
      <c r="A684" s="4" t="s">
        <v>1565</v>
      </c>
      <c r="B684" s="4" t="s">
        <v>57</v>
      </c>
      <c r="C684" s="4">
        <v>64.4925</v>
      </c>
      <c r="D684" s="4" t="s">
        <v>21</v>
      </c>
      <c r="E684" s="4" t="s">
        <v>105</v>
      </c>
      <c r="F684" s="4">
        <v>60.79</v>
      </c>
      <c r="G684" s="4">
        <v>7.4</v>
      </c>
      <c r="H684" s="4">
        <v>9.3989384817E10</v>
      </c>
      <c r="I684" s="4">
        <v>9.4119404545E10</v>
      </c>
      <c r="J684" s="4" t="s">
        <v>1566</v>
      </c>
      <c r="K684" s="4" t="s">
        <v>1567</v>
      </c>
      <c r="L684" s="4">
        <v>4.35</v>
      </c>
      <c r="M684" s="4">
        <v>280.54</v>
      </c>
      <c r="N684" s="4">
        <v>281.0</v>
      </c>
      <c r="O684" s="4">
        <v>23323.0</v>
      </c>
      <c r="P684" s="4">
        <f t="shared" si="1"/>
        <v>84.31666667</v>
      </c>
      <c r="Q684" s="4" t="str">
        <f t="shared" si="2"/>
        <v>Normal</v>
      </c>
      <c r="R684" s="1" t="str">
        <f t="shared" si="3"/>
        <v>Underutilized</v>
      </c>
      <c r="S684" s="4">
        <f t="shared" si="4"/>
        <v>175.189962</v>
      </c>
      <c r="T684" s="1" t="str">
        <f t="shared" si="5"/>
        <v>Normal Cost</v>
      </c>
      <c r="U684" s="4">
        <f t="shared" si="6"/>
        <v>0.1461861682</v>
      </c>
    </row>
    <row r="685">
      <c r="A685" s="4" t="s">
        <v>1568</v>
      </c>
      <c r="B685" s="4" t="s">
        <v>46</v>
      </c>
      <c r="C685" s="4">
        <v>488.8016</v>
      </c>
      <c r="D685" s="4" t="s">
        <v>21</v>
      </c>
      <c r="E685" s="4" t="s">
        <v>27</v>
      </c>
      <c r="F685" s="4">
        <v>93.75</v>
      </c>
      <c r="G685" s="4">
        <v>81.69</v>
      </c>
      <c r="H685" s="4">
        <v>4.8017673402E10</v>
      </c>
      <c r="I685" s="4">
        <v>5.3416146845E10</v>
      </c>
      <c r="J685" s="4" t="s">
        <v>1569</v>
      </c>
      <c r="K685" s="4" t="s">
        <v>1570</v>
      </c>
      <c r="L685" s="4">
        <v>7.74</v>
      </c>
      <c r="M685" s="4">
        <v>3783.32</v>
      </c>
      <c r="N685" s="4">
        <v>3783.0</v>
      </c>
      <c r="O685" s="4">
        <v>313989.0</v>
      </c>
      <c r="P685" s="4">
        <f t="shared" si="1"/>
        <v>66.8</v>
      </c>
      <c r="Q685" s="4" t="str">
        <f t="shared" si="2"/>
        <v>High</v>
      </c>
      <c r="R685" s="1" t="str">
        <f t="shared" si="3"/>
        <v>High</v>
      </c>
      <c r="S685" s="4">
        <f t="shared" si="4"/>
        <v>94.46760663</v>
      </c>
      <c r="T685" s="1" t="str">
        <f t="shared" si="5"/>
        <v>High Cost</v>
      </c>
      <c r="U685" s="4">
        <f t="shared" si="6"/>
        <v>0.02793728443</v>
      </c>
    </row>
    <row r="686">
      <c r="A686" s="4" t="s">
        <v>1571</v>
      </c>
      <c r="B686" s="4" t="s">
        <v>26</v>
      </c>
      <c r="C686" s="4">
        <v>165.4426</v>
      </c>
      <c r="D686" s="4" t="s">
        <v>17</v>
      </c>
      <c r="E686" s="4" t="s">
        <v>70</v>
      </c>
      <c r="F686" s="4">
        <v>10.47</v>
      </c>
      <c r="G686" s="4">
        <v>51.64</v>
      </c>
      <c r="H686" s="4">
        <v>4.16603926E10</v>
      </c>
      <c r="I686" s="4">
        <v>4.9886997678E10</v>
      </c>
      <c r="J686" s="4" t="s">
        <v>1572</v>
      </c>
      <c r="K686" s="4" t="s">
        <v>1573</v>
      </c>
      <c r="L686" s="4">
        <v>9.18</v>
      </c>
      <c r="M686" s="4">
        <v>1518.76</v>
      </c>
      <c r="N686" s="4">
        <v>1519.0</v>
      </c>
      <c r="O686" s="4">
        <v>126077.0</v>
      </c>
      <c r="P686" s="4">
        <f t="shared" si="1"/>
        <v>93.26666667</v>
      </c>
      <c r="Q686" s="4" t="str">
        <f t="shared" si="2"/>
        <v>Underutilized</v>
      </c>
      <c r="R686" s="1" t="str">
        <f t="shared" si="3"/>
        <v>Normal</v>
      </c>
      <c r="S686" s="4">
        <f t="shared" si="4"/>
        <v>85.26015121</v>
      </c>
      <c r="T686" s="1" t="str">
        <f t="shared" si="5"/>
        <v>Normal Cost</v>
      </c>
      <c r="U686" s="4">
        <f t="shared" si="6"/>
        <v>0.02463177265</v>
      </c>
    </row>
    <row r="687">
      <c r="A687" s="4" t="s">
        <v>1574</v>
      </c>
      <c r="B687" s="4" t="s">
        <v>62</v>
      </c>
      <c r="C687" s="4">
        <v>55.9333</v>
      </c>
      <c r="D687" s="4" t="s">
        <v>42</v>
      </c>
      <c r="E687" s="4" t="s">
        <v>70</v>
      </c>
      <c r="F687" s="4">
        <v>1.43</v>
      </c>
      <c r="G687" s="4">
        <v>54.69</v>
      </c>
      <c r="H687" s="4">
        <v>5.6540203796E10</v>
      </c>
      <c r="I687" s="4">
        <v>6.5733481253E10</v>
      </c>
      <c r="J687" s="4" t="s">
        <v>1575</v>
      </c>
      <c r="K687" s="4" t="s">
        <v>1576</v>
      </c>
      <c r="L687" s="4">
        <v>8.44</v>
      </c>
      <c r="M687" s="4">
        <v>472.08</v>
      </c>
      <c r="N687" s="4">
        <v>472.0</v>
      </c>
      <c r="O687" s="4">
        <v>39176.0</v>
      </c>
      <c r="P687" s="4">
        <f t="shared" si="1"/>
        <v>55.93333333</v>
      </c>
      <c r="Q687" s="4" t="str">
        <f t="shared" si="2"/>
        <v>Underutilized</v>
      </c>
      <c r="R687" s="1" t="str">
        <f t="shared" si="3"/>
        <v>Normal</v>
      </c>
      <c r="S687" s="4">
        <f t="shared" si="4"/>
        <v>113.8762432</v>
      </c>
      <c r="T687" s="1" t="str">
        <f t="shared" si="5"/>
        <v>Normal Cost</v>
      </c>
      <c r="U687" s="4">
        <f t="shared" si="6"/>
        <v>0.07162548499</v>
      </c>
    </row>
    <row r="688">
      <c r="A688" s="4" t="s">
        <v>1577</v>
      </c>
      <c r="B688" s="4" t="s">
        <v>41</v>
      </c>
      <c r="C688" s="4">
        <v>70.2667</v>
      </c>
      <c r="D688" s="4" t="s">
        <v>42</v>
      </c>
      <c r="E688" s="4" t="s">
        <v>54</v>
      </c>
      <c r="F688" s="4">
        <v>81.57</v>
      </c>
      <c r="G688" s="4">
        <v>85.12</v>
      </c>
      <c r="H688" s="4">
        <v>8.8789753885E10</v>
      </c>
      <c r="I688" s="4">
        <v>9.6741542761E10</v>
      </c>
      <c r="J688" s="5">
        <v>45358.96944444445</v>
      </c>
      <c r="K688" s="5">
        <v>45450.89722222222</v>
      </c>
      <c r="L688" s="4">
        <v>4.31</v>
      </c>
      <c r="M688" s="4">
        <v>302.85</v>
      </c>
      <c r="N688" s="4">
        <v>303.0</v>
      </c>
      <c r="O688" s="4">
        <v>25149.0</v>
      </c>
      <c r="P688" s="4">
        <f t="shared" si="1"/>
        <v>70.26666667</v>
      </c>
      <c r="Q688" s="4" t="str">
        <f t="shared" si="2"/>
        <v>High</v>
      </c>
      <c r="R688" s="1" t="str">
        <f t="shared" si="3"/>
        <v>High</v>
      </c>
      <c r="S688" s="4">
        <f t="shared" si="4"/>
        <v>172.7894849</v>
      </c>
      <c r="T688" s="1" t="str">
        <f t="shared" si="5"/>
        <v>Normal Cost</v>
      </c>
      <c r="U688" s="4">
        <f t="shared" si="6"/>
        <v>0.3314048272</v>
      </c>
    </row>
    <row r="689">
      <c r="A689" s="4" t="s">
        <v>1578</v>
      </c>
      <c r="B689" s="4" t="s">
        <v>46</v>
      </c>
      <c r="C689" s="4">
        <v>707.5356</v>
      </c>
      <c r="D689" s="4" t="s">
        <v>17</v>
      </c>
      <c r="E689" s="4" t="s">
        <v>18</v>
      </c>
      <c r="F689" s="4">
        <v>42.57</v>
      </c>
      <c r="G689" s="4">
        <v>57.09</v>
      </c>
      <c r="H689" s="4">
        <v>3.2886761948E10</v>
      </c>
      <c r="I689" s="4">
        <v>3.5853807212E10</v>
      </c>
      <c r="J689" s="4" t="s">
        <v>1579</v>
      </c>
      <c r="K689" s="4" t="s">
        <v>1580</v>
      </c>
      <c r="L689" s="4">
        <v>1.38</v>
      </c>
      <c r="M689" s="4">
        <v>976.4</v>
      </c>
      <c r="N689" s="4">
        <v>976.0</v>
      </c>
      <c r="O689" s="4">
        <v>81008.0</v>
      </c>
      <c r="P689" s="4">
        <f t="shared" si="1"/>
        <v>90.18333333</v>
      </c>
      <c r="Q689" s="4" t="str">
        <f t="shared" si="2"/>
        <v>Normal</v>
      </c>
      <c r="R689" s="1" t="str">
        <f t="shared" si="3"/>
        <v>Normal</v>
      </c>
      <c r="S689" s="4">
        <f t="shared" si="4"/>
        <v>64.01964385</v>
      </c>
      <c r="T689" s="1" t="str">
        <f t="shared" si="5"/>
        <v>Normal Cost</v>
      </c>
      <c r="U689" s="4">
        <f t="shared" si="6"/>
        <v>0.06151244322</v>
      </c>
    </row>
    <row r="690">
      <c r="A690" s="4" t="s">
        <v>1581</v>
      </c>
      <c r="B690" s="4" t="s">
        <v>83</v>
      </c>
      <c r="C690" s="4">
        <v>837.1211</v>
      </c>
      <c r="D690" s="4" t="s">
        <v>21</v>
      </c>
      <c r="E690" s="4" t="s">
        <v>22</v>
      </c>
      <c r="F690" s="4">
        <v>58.63</v>
      </c>
      <c r="G690" s="4">
        <v>4.35</v>
      </c>
      <c r="H690" s="4">
        <v>4.2359675619E10</v>
      </c>
      <c r="I690" s="4">
        <v>4.8886874049E10</v>
      </c>
      <c r="J690" s="4" t="s">
        <v>1582</v>
      </c>
      <c r="K690" s="5">
        <v>45359.504166666666</v>
      </c>
      <c r="L690" s="4">
        <v>9.61</v>
      </c>
      <c r="M690" s="4">
        <v>8044.73</v>
      </c>
      <c r="N690" s="4">
        <v>8045.0</v>
      </c>
      <c r="O690" s="4">
        <v>667735.0</v>
      </c>
      <c r="P690" s="4">
        <f t="shared" si="1"/>
        <v>115.8166667</v>
      </c>
      <c r="Q690" s="4" t="str">
        <f t="shared" si="2"/>
        <v>Normal</v>
      </c>
      <c r="R690" s="1" t="str">
        <f t="shared" si="3"/>
        <v>Underutilized</v>
      </c>
      <c r="S690" s="4">
        <f t="shared" si="4"/>
        <v>84.97997156</v>
      </c>
      <c r="T690" s="1" t="str">
        <f t="shared" si="5"/>
        <v>High Cost</v>
      </c>
      <c r="U690" s="4">
        <f t="shared" si="6"/>
        <v>0.004715942702</v>
      </c>
    </row>
    <row r="691">
      <c r="A691" s="4" t="s">
        <v>1583</v>
      </c>
      <c r="B691" s="4" t="s">
        <v>147</v>
      </c>
      <c r="C691" s="4">
        <v>100.2167</v>
      </c>
      <c r="D691" s="4" t="s">
        <v>42</v>
      </c>
      <c r="E691" s="4" t="s">
        <v>27</v>
      </c>
      <c r="F691" s="4">
        <v>51.68</v>
      </c>
      <c r="G691" s="4">
        <v>40.39</v>
      </c>
      <c r="H691" s="4">
        <v>8.7228922486E10</v>
      </c>
      <c r="I691" s="4">
        <v>8.8742671577E10</v>
      </c>
      <c r="J691" s="5">
        <v>45358.125</v>
      </c>
      <c r="K691" s="5">
        <v>45480.30069444444</v>
      </c>
      <c r="L691" s="4">
        <v>7.25</v>
      </c>
      <c r="M691" s="4">
        <v>726.57</v>
      </c>
      <c r="N691" s="4">
        <v>727.0</v>
      </c>
      <c r="O691" s="4">
        <v>60341.0</v>
      </c>
      <c r="P691" s="4">
        <f t="shared" si="1"/>
        <v>100.2166667</v>
      </c>
      <c r="Q691" s="4" t="str">
        <f t="shared" si="2"/>
        <v>Normal</v>
      </c>
      <c r="R691" s="1" t="str">
        <f t="shared" si="3"/>
        <v>Normal</v>
      </c>
      <c r="S691" s="4">
        <f t="shared" si="4"/>
        <v>163.886318</v>
      </c>
      <c r="T691" s="1" t="str">
        <f t="shared" si="5"/>
        <v>Normal Cost</v>
      </c>
      <c r="U691" s="4">
        <f t="shared" si="6"/>
        <v>0.07629141048</v>
      </c>
    </row>
    <row r="692">
      <c r="A692" s="4" t="s">
        <v>1584</v>
      </c>
      <c r="B692" s="4" t="s">
        <v>139</v>
      </c>
      <c r="C692" s="4">
        <v>133.9833</v>
      </c>
      <c r="D692" s="4" t="s">
        <v>42</v>
      </c>
      <c r="E692" s="4" t="s">
        <v>54</v>
      </c>
      <c r="F692" s="4">
        <v>48.01</v>
      </c>
      <c r="G692" s="4">
        <v>77.78</v>
      </c>
      <c r="H692" s="4">
        <v>8.6808016202E10</v>
      </c>
      <c r="I692" s="4">
        <v>9.6487241274E10</v>
      </c>
      <c r="J692" s="5">
        <v>45543.16805555556</v>
      </c>
      <c r="K692" s="4" t="s">
        <v>1585</v>
      </c>
      <c r="L692" s="4">
        <v>4.8</v>
      </c>
      <c r="M692" s="4">
        <v>643.12</v>
      </c>
      <c r="N692" s="4">
        <v>643.0</v>
      </c>
      <c r="O692" s="4">
        <v>53369.0</v>
      </c>
      <c r="P692" s="4">
        <f t="shared" si="1"/>
        <v>133.9833333</v>
      </c>
      <c r="Q692" s="4" t="str">
        <f t="shared" si="2"/>
        <v>Normal</v>
      </c>
      <c r="R692" s="1" t="str">
        <f t="shared" si="3"/>
        <v>High</v>
      </c>
      <c r="S692" s="4">
        <f t="shared" si="4"/>
        <v>170.7070111</v>
      </c>
      <c r="T692" s="1" t="str">
        <f t="shared" si="5"/>
        <v>Normal Cost</v>
      </c>
      <c r="U692" s="4">
        <f t="shared" si="6"/>
        <v>0.1178493133</v>
      </c>
    </row>
    <row r="693">
      <c r="A693" s="4" t="s">
        <v>1586</v>
      </c>
      <c r="B693" s="4" t="s">
        <v>60</v>
      </c>
      <c r="C693" s="4">
        <v>90.0333</v>
      </c>
      <c r="D693" s="4" t="s">
        <v>42</v>
      </c>
      <c r="E693" s="4" t="s">
        <v>32</v>
      </c>
      <c r="F693" s="4">
        <v>27.91</v>
      </c>
      <c r="G693" s="4">
        <v>20.82</v>
      </c>
      <c r="H693" s="4">
        <v>3.5168275881E10</v>
      </c>
      <c r="I693" s="4">
        <v>3.5549490094E10</v>
      </c>
      <c r="J693" s="5">
        <v>45390.697222222225</v>
      </c>
      <c r="K693" s="5">
        <v>45512.44861111111</v>
      </c>
      <c r="L693" s="4">
        <v>2.56</v>
      </c>
      <c r="M693" s="4">
        <v>230.49</v>
      </c>
      <c r="N693" s="4">
        <v>230.0</v>
      </c>
      <c r="O693" s="4">
        <v>19090.0</v>
      </c>
      <c r="P693" s="4">
        <f t="shared" si="1"/>
        <v>90.03333333</v>
      </c>
      <c r="Q693" s="4" t="str">
        <f t="shared" si="2"/>
        <v>Underutilized</v>
      </c>
      <c r="R693" s="1" t="str">
        <f t="shared" si="3"/>
        <v>Underutilized</v>
      </c>
      <c r="S693" s="4">
        <f t="shared" si="4"/>
        <v>65.86105188</v>
      </c>
      <c r="T693" s="1" t="str">
        <f t="shared" si="5"/>
        <v>Normal Cost</v>
      </c>
      <c r="U693" s="4">
        <f t="shared" si="6"/>
        <v>0.1276322682</v>
      </c>
    </row>
    <row r="694">
      <c r="A694" s="4" t="s">
        <v>1587</v>
      </c>
      <c r="B694" s="4" t="s">
        <v>350</v>
      </c>
      <c r="C694" s="4">
        <v>967.6514</v>
      </c>
      <c r="D694" s="4" t="s">
        <v>17</v>
      </c>
      <c r="E694" s="4" t="s">
        <v>74</v>
      </c>
      <c r="F694" s="4">
        <v>71.99</v>
      </c>
      <c r="G694" s="4">
        <v>90.71</v>
      </c>
      <c r="H694" s="4">
        <v>8.8850957657E10</v>
      </c>
      <c r="I694" s="4">
        <v>9.7055839525E10</v>
      </c>
      <c r="J694" s="4" t="s">
        <v>1588</v>
      </c>
      <c r="K694" s="5">
        <v>45359.3375</v>
      </c>
      <c r="L694" s="4">
        <v>5.38</v>
      </c>
      <c r="M694" s="4">
        <v>5205.96</v>
      </c>
      <c r="N694" s="4">
        <v>5206.0</v>
      </c>
      <c r="O694" s="4">
        <v>432098.0</v>
      </c>
      <c r="P694" s="4">
        <f t="shared" si="1"/>
        <v>119.7166667</v>
      </c>
      <c r="Q694" s="4" t="str">
        <f t="shared" si="2"/>
        <v>High</v>
      </c>
      <c r="R694" s="1" t="str">
        <f t="shared" si="3"/>
        <v>High</v>
      </c>
      <c r="S694" s="4">
        <f t="shared" si="4"/>
        <v>173.139197</v>
      </c>
      <c r="T694" s="1" t="str">
        <f t="shared" si="5"/>
        <v>High Cost</v>
      </c>
      <c r="U694" s="4">
        <f t="shared" si="6"/>
        <v>0.01882674764</v>
      </c>
    </row>
    <row r="695">
      <c r="A695" s="4" t="s">
        <v>1589</v>
      </c>
      <c r="B695" s="4" t="s">
        <v>46</v>
      </c>
      <c r="C695" s="4">
        <v>258.9203</v>
      </c>
      <c r="D695" s="4" t="s">
        <v>21</v>
      </c>
      <c r="E695" s="4" t="s">
        <v>70</v>
      </c>
      <c r="F695" s="4">
        <v>26.6</v>
      </c>
      <c r="G695" s="4">
        <v>9.73</v>
      </c>
      <c r="H695" s="4">
        <v>6.2749645572E10</v>
      </c>
      <c r="I695" s="4">
        <v>6.9290341947E10</v>
      </c>
      <c r="J695" s="5">
        <v>45481.038194444445</v>
      </c>
      <c r="K695" s="5">
        <v>45543.65416666667</v>
      </c>
      <c r="L695" s="4">
        <v>7.84</v>
      </c>
      <c r="M695" s="4">
        <v>2029.94</v>
      </c>
      <c r="N695" s="4">
        <v>2030.0</v>
      </c>
      <c r="O695" s="4">
        <v>168490.0</v>
      </c>
      <c r="P695" s="4">
        <f t="shared" si="1"/>
        <v>62.78333333</v>
      </c>
      <c r="Q695" s="4" t="str">
        <f t="shared" si="2"/>
        <v>Underutilized</v>
      </c>
      <c r="R695" s="1" t="str">
        <f t="shared" si="3"/>
        <v>Underutilized</v>
      </c>
      <c r="S695" s="4">
        <f t="shared" si="4"/>
        <v>122.9718211</v>
      </c>
      <c r="T695" s="1" t="str">
        <f t="shared" si="5"/>
        <v>Normal Cost</v>
      </c>
      <c r="U695" s="4">
        <f t="shared" si="6"/>
        <v>0.01078105526</v>
      </c>
    </row>
    <row r="696">
      <c r="A696" s="4" t="s">
        <v>1590</v>
      </c>
      <c r="B696" s="4" t="s">
        <v>53</v>
      </c>
      <c r="C696" s="4">
        <v>486.0461</v>
      </c>
      <c r="D696" s="4" t="s">
        <v>17</v>
      </c>
      <c r="E696" s="4" t="s">
        <v>155</v>
      </c>
      <c r="F696" s="4">
        <v>53.95</v>
      </c>
      <c r="G696" s="4">
        <v>27.86</v>
      </c>
      <c r="H696" s="4">
        <v>1.5964690505E10</v>
      </c>
      <c r="I696" s="4">
        <v>2.4126435025E10</v>
      </c>
      <c r="J696" s="4" t="s">
        <v>1591</v>
      </c>
      <c r="K696" s="4" t="s">
        <v>1592</v>
      </c>
      <c r="L696" s="4">
        <v>9.81</v>
      </c>
      <c r="M696" s="4">
        <v>4768.11</v>
      </c>
      <c r="N696" s="4">
        <v>4768.0</v>
      </c>
      <c r="O696" s="4">
        <v>395744.0</v>
      </c>
      <c r="P696" s="4">
        <f t="shared" si="1"/>
        <v>106.6</v>
      </c>
      <c r="Q696" s="4" t="str">
        <f t="shared" si="2"/>
        <v>Normal</v>
      </c>
      <c r="R696" s="1" t="str">
        <f t="shared" si="3"/>
        <v>Underutilized</v>
      </c>
      <c r="S696" s="4">
        <f t="shared" si="4"/>
        <v>37.33777025</v>
      </c>
      <c r="T696" s="1" t="str">
        <f t="shared" si="5"/>
        <v>High Cost</v>
      </c>
      <c r="U696" s="4">
        <f t="shared" si="6"/>
        <v>0.01033622746</v>
      </c>
    </row>
    <row r="697">
      <c r="A697" s="4" t="s">
        <v>1593</v>
      </c>
      <c r="B697" s="4" t="s">
        <v>62</v>
      </c>
      <c r="C697" s="4">
        <v>101.0333</v>
      </c>
      <c r="D697" s="4" t="s">
        <v>42</v>
      </c>
      <c r="E697" s="4" t="s">
        <v>54</v>
      </c>
      <c r="F697" s="4">
        <v>65.04</v>
      </c>
      <c r="G697" s="4">
        <v>3.91</v>
      </c>
      <c r="H697" s="4">
        <v>6.6129027399E10</v>
      </c>
      <c r="I697" s="4">
        <v>7.0445684715E10</v>
      </c>
      <c r="J697" s="4" t="s">
        <v>1594</v>
      </c>
      <c r="K697" s="4" t="s">
        <v>1595</v>
      </c>
      <c r="L697" s="4">
        <v>8.86</v>
      </c>
      <c r="M697" s="4">
        <v>895.16</v>
      </c>
      <c r="N697" s="4">
        <v>895.0</v>
      </c>
      <c r="O697" s="4">
        <v>74285.0</v>
      </c>
      <c r="P697" s="4">
        <f t="shared" si="1"/>
        <v>101.0333333</v>
      </c>
      <c r="Q697" s="4" t="str">
        <f t="shared" si="2"/>
        <v>Normal</v>
      </c>
      <c r="R697" s="1" t="str">
        <f t="shared" si="3"/>
        <v>Underutilized</v>
      </c>
      <c r="S697" s="4">
        <f t="shared" si="4"/>
        <v>127.1951125</v>
      </c>
      <c r="T697" s="1" t="str">
        <f t="shared" si="5"/>
        <v>Normal Cost</v>
      </c>
      <c r="U697" s="4">
        <f t="shared" si="6"/>
        <v>0.04640910009</v>
      </c>
    </row>
    <row r="698">
      <c r="A698" s="4" t="s">
        <v>1596</v>
      </c>
      <c r="B698" s="4" t="s">
        <v>122</v>
      </c>
      <c r="C698" s="4">
        <v>739.8663</v>
      </c>
      <c r="D698" s="4" t="s">
        <v>17</v>
      </c>
      <c r="E698" s="4" t="s">
        <v>70</v>
      </c>
      <c r="F698" s="4">
        <v>96.28</v>
      </c>
      <c r="G698" s="4">
        <v>35.39</v>
      </c>
      <c r="H698" s="4">
        <v>7.5172925598E10</v>
      </c>
      <c r="I698" s="4">
        <v>8.0420687118E10</v>
      </c>
      <c r="J698" s="5">
        <v>45511.67847222222</v>
      </c>
      <c r="K698" s="5">
        <v>45633.79236111111</v>
      </c>
      <c r="L698" s="4">
        <v>4.92</v>
      </c>
      <c r="M698" s="4">
        <v>3640.14</v>
      </c>
      <c r="N698" s="4">
        <v>3640.0</v>
      </c>
      <c r="O698" s="4">
        <v>302120.0</v>
      </c>
      <c r="P698" s="4">
        <f t="shared" si="1"/>
        <v>98.73333333</v>
      </c>
      <c r="Q698" s="4" t="str">
        <f t="shared" si="2"/>
        <v>High</v>
      </c>
      <c r="R698" s="1" t="str">
        <f t="shared" si="3"/>
        <v>Underutilized</v>
      </c>
      <c r="S698" s="4">
        <f t="shared" si="4"/>
        <v>144.907844</v>
      </c>
      <c r="T698" s="1" t="str">
        <f t="shared" si="5"/>
        <v>High Cost</v>
      </c>
      <c r="U698" s="4">
        <f t="shared" si="6"/>
        <v>0.02179101019</v>
      </c>
    </row>
    <row r="699">
      <c r="A699" s="4" t="s">
        <v>1597</v>
      </c>
      <c r="B699" s="4" t="s">
        <v>60</v>
      </c>
      <c r="C699" s="4">
        <v>67.9333</v>
      </c>
      <c r="D699" s="4" t="s">
        <v>42</v>
      </c>
      <c r="E699" s="4" t="s">
        <v>105</v>
      </c>
      <c r="F699" s="4">
        <v>36.04</v>
      </c>
      <c r="G699" s="4">
        <v>12.92</v>
      </c>
      <c r="H699" s="4">
        <v>8.7765223697E10</v>
      </c>
      <c r="I699" s="4">
        <v>9.4004249669E10</v>
      </c>
      <c r="J699" s="5">
        <v>45358.78958333333</v>
      </c>
      <c r="K699" s="5">
        <v>45450.62013888889</v>
      </c>
      <c r="L699" s="4">
        <v>8.64</v>
      </c>
      <c r="M699" s="4">
        <v>586.94</v>
      </c>
      <c r="N699" s="4">
        <v>587.0</v>
      </c>
      <c r="O699" s="4">
        <v>48721.0</v>
      </c>
      <c r="P699" s="4">
        <f t="shared" si="1"/>
        <v>67.93333333</v>
      </c>
      <c r="Q699" s="4" t="str">
        <f t="shared" si="2"/>
        <v>Normal</v>
      </c>
      <c r="R699" s="1" t="str">
        <f t="shared" si="3"/>
        <v>Underutilized</v>
      </c>
      <c r="S699" s="4">
        <f t="shared" si="4"/>
        <v>169.2860139</v>
      </c>
      <c r="T699" s="1" t="str">
        <f t="shared" si="5"/>
        <v>Normal Cost</v>
      </c>
      <c r="U699" s="4">
        <f t="shared" si="6"/>
        <v>0.05024527411</v>
      </c>
    </row>
    <row r="700">
      <c r="A700" s="4" t="s">
        <v>1598</v>
      </c>
      <c r="B700" s="4" t="s">
        <v>16</v>
      </c>
      <c r="C700" s="4">
        <v>14.7407</v>
      </c>
      <c r="D700" s="4" t="s">
        <v>17</v>
      </c>
      <c r="E700" s="4" t="s">
        <v>123</v>
      </c>
      <c r="F700" s="4">
        <v>27.66</v>
      </c>
      <c r="G700" s="4">
        <v>9.87</v>
      </c>
      <c r="H700" s="4">
        <v>9.9045026637E10</v>
      </c>
      <c r="I700" s="6">
        <v>1.02258E11</v>
      </c>
      <c r="J700" s="5">
        <v>45512.07638888889</v>
      </c>
      <c r="K700" s="5">
        <v>45543.55763888889</v>
      </c>
      <c r="L700" s="4">
        <v>6.47</v>
      </c>
      <c r="M700" s="4">
        <v>95.37</v>
      </c>
      <c r="N700" s="4">
        <v>95.0</v>
      </c>
      <c r="O700" s="4">
        <v>7885.0</v>
      </c>
      <c r="P700" s="4">
        <f t="shared" si="1"/>
        <v>35.55</v>
      </c>
      <c r="Q700" s="4" t="str">
        <f t="shared" si="2"/>
        <v>Underutilized</v>
      </c>
      <c r="R700" s="1" t="str">
        <f t="shared" si="3"/>
        <v>Underutilized</v>
      </c>
      <c r="S700" s="6">
        <f t="shared" si="4"/>
        <v>187.478053</v>
      </c>
      <c r="T700" s="1" t="str">
        <f t="shared" si="5"/>
        <v>Normal Cost</v>
      </c>
      <c r="U700" s="4">
        <f t="shared" si="6"/>
        <v>0.237983513</v>
      </c>
    </row>
    <row r="701">
      <c r="A701" s="4" t="s">
        <v>1599</v>
      </c>
      <c r="B701" s="4" t="s">
        <v>31</v>
      </c>
      <c r="C701" s="4">
        <v>678.9377</v>
      </c>
      <c r="D701" s="4" t="s">
        <v>17</v>
      </c>
      <c r="E701" s="4" t="s">
        <v>155</v>
      </c>
      <c r="F701" s="4">
        <v>49.9</v>
      </c>
      <c r="G701" s="4">
        <v>77.79</v>
      </c>
      <c r="H701" s="4">
        <v>3.6243105504E10</v>
      </c>
      <c r="I701" s="4">
        <v>3.7904911914E10</v>
      </c>
      <c r="J701" s="4" t="s">
        <v>1600</v>
      </c>
      <c r="K701" s="5">
        <v>45390.92847222222</v>
      </c>
      <c r="L701" s="4">
        <v>7.93</v>
      </c>
      <c r="M701" s="4">
        <v>5383.98</v>
      </c>
      <c r="N701" s="4">
        <v>5384.0</v>
      </c>
      <c r="O701" s="4">
        <v>446872.0</v>
      </c>
      <c r="P701" s="4">
        <f t="shared" si="1"/>
        <v>115.65</v>
      </c>
      <c r="Q701" s="4" t="str">
        <f t="shared" si="2"/>
        <v>Normal</v>
      </c>
      <c r="R701" s="1" t="str">
        <f t="shared" si="3"/>
        <v>High</v>
      </c>
      <c r="S701" s="4">
        <f t="shared" si="4"/>
        <v>69.05572248</v>
      </c>
      <c r="T701" s="1" t="str">
        <f t="shared" si="5"/>
        <v>High Cost</v>
      </c>
      <c r="U701" s="4">
        <f t="shared" si="6"/>
        <v>0.01428708892</v>
      </c>
    </row>
    <row r="702">
      <c r="A702" s="4" t="s">
        <v>1601</v>
      </c>
      <c r="B702" s="4" t="s">
        <v>31</v>
      </c>
      <c r="C702" s="4">
        <v>16.014</v>
      </c>
      <c r="D702" s="4" t="s">
        <v>17</v>
      </c>
      <c r="E702" s="4" t="s">
        <v>27</v>
      </c>
      <c r="F702" s="4">
        <v>86.77</v>
      </c>
      <c r="G702" s="4">
        <v>30.59</v>
      </c>
      <c r="H702" s="4">
        <v>7.5582087702E10</v>
      </c>
      <c r="I702" s="4">
        <v>8.3456067239E10</v>
      </c>
      <c r="J702" s="4" t="s">
        <v>1602</v>
      </c>
      <c r="K702" s="4" t="s">
        <v>1603</v>
      </c>
      <c r="L702" s="4">
        <v>1.41</v>
      </c>
      <c r="M702" s="4">
        <v>22.58</v>
      </c>
      <c r="N702" s="4">
        <v>23.0</v>
      </c>
      <c r="O702" s="4">
        <v>1909.0</v>
      </c>
      <c r="P702" s="4">
        <f t="shared" si="1"/>
        <v>114.05</v>
      </c>
      <c r="Q702" s="4" t="str">
        <f t="shared" si="2"/>
        <v>High</v>
      </c>
      <c r="R702" s="1" t="str">
        <f t="shared" si="3"/>
        <v>Underutilized</v>
      </c>
      <c r="S702" s="4">
        <f t="shared" si="4"/>
        <v>148.1158239</v>
      </c>
      <c r="T702" s="1" t="str">
        <f t="shared" si="5"/>
        <v>Normal Cost</v>
      </c>
      <c r="U702" s="4">
        <f t="shared" si="6"/>
        <v>3.07386066</v>
      </c>
    </row>
    <row r="703">
      <c r="A703" s="4" t="s">
        <v>1604</v>
      </c>
      <c r="B703" s="4" t="s">
        <v>79</v>
      </c>
      <c r="C703" s="4">
        <v>640.3689</v>
      </c>
      <c r="D703" s="4" t="s">
        <v>17</v>
      </c>
      <c r="E703" s="4" t="s">
        <v>54</v>
      </c>
      <c r="F703" s="4">
        <v>33.89</v>
      </c>
      <c r="G703" s="4">
        <v>46.71</v>
      </c>
      <c r="H703" s="4">
        <v>8.9864872774E10</v>
      </c>
      <c r="I703" s="4">
        <v>9.1252171321E10</v>
      </c>
      <c r="J703" s="4" t="s">
        <v>1605</v>
      </c>
      <c r="K703" s="4" t="s">
        <v>1606</v>
      </c>
      <c r="L703" s="4">
        <v>3.46</v>
      </c>
      <c r="M703" s="4">
        <v>2215.68</v>
      </c>
      <c r="N703" s="4">
        <v>2216.0</v>
      </c>
      <c r="O703" s="4">
        <v>183928.0</v>
      </c>
      <c r="P703" s="4">
        <f t="shared" si="1"/>
        <v>42.73333333</v>
      </c>
      <c r="Q703" s="4" t="str">
        <f t="shared" si="2"/>
        <v>Normal</v>
      </c>
      <c r="R703" s="1" t="str">
        <f t="shared" si="3"/>
        <v>Normal</v>
      </c>
      <c r="S703" s="4">
        <f t="shared" si="4"/>
        <v>168.6783918</v>
      </c>
      <c r="T703" s="1" t="str">
        <f t="shared" si="5"/>
        <v>High Cost</v>
      </c>
      <c r="U703" s="4">
        <f t="shared" si="6"/>
        <v>0.02191074768</v>
      </c>
    </row>
    <row r="704">
      <c r="A704" s="4" t="s">
        <v>1607</v>
      </c>
      <c r="B704" s="4" t="s">
        <v>147</v>
      </c>
      <c r="C704" s="4">
        <v>67.6167</v>
      </c>
      <c r="D704" s="4" t="s">
        <v>42</v>
      </c>
      <c r="E704" s="4" t="s">
        <v>70</v>
      </c>
      <c r="F704" s="4">
        <v>73.97</v>
      </c>
      <c r="G704" s="4">
        <v>13.99</v>
      </c>
      <c r="H704" s="4">
        <v>6.9401060148E10</v>
      </c>
      <c r="I704" s="4">
        <v>7.8819950569E10</v>
      </c>
      <c r="J704" s="4" t="s">
        <v>1608</v>
      </c>
      <c r="K704" s="4" t="s">
        <v>1609</v>
      </c>
      <c r="L704" s="4">
        <v>2.24</v>
      </c>
      <c r="M704" s="4">
        <v>151.46</v>
      </c>
      <c r="N704" s="4">
        <v>151.0</v>
      </c>
      <c r="O704" s="4">
        <v>12533.0</v>
      </c>
      <c r="P704" s="4">
        <f t="shared" si="1"/>
        <v>67.61666667</v>
      </c>
      <c r="Q704" s="4" t="str">
        <f t="shared" si="2"/>
        <v>High</v>
      </c>
      <c r="R704" s="1" t="str">
        <f t="shared" si="3"/>
        <v>Underutilized</v>
      </c>
      <c r="S704" s="4">
        <f t="shared" si="4"/>
        <v>138.0415733</v>
      </c>
      <c r="T704" s="1" t="str">
        <f t="shared" si="5"/>
        <v>Normal Cost</v>
      </c>
      <c r="U704" s="4">
        <f t="shared" si="6"/>
        <v>0.3509135881</v>
      </c>
    </row>
    <row r="705">
      <c r="A705" s="4" t="s">
        <v>1610</v>
      </c>
      <c r="B705" s="4" t="s">
        <v>20</v>
      </c>
      <c r="C705" s="4">
        <v>537.9744</v>
      </c>
      <c r="D705" s="4" t="s">
        <v>17</v>
      </c>
      <c r="E705" s="4" t="s">
        <v>32</v>
      </c>
      <c r="F705" s="4">
        <v>80.8</v>
      </c>
      <c r="G705" s="4">
        <v>20.89</v>
      </c>
      <c r="H705" s="4">
        <v>3.993477298E9</v>
      </c>
      <c r="I705" s="4">
        <v>1.1595695364E10</v>
      </c>
      <c r="J705" s="5">
        <v>45603.87152777778</v>
      </c>
      <c r="K705" s="4" t="s">
        <v>1611</v>
      </c>
      <c r="L705" s="4">
        <v>3.68</v>
      </c>
      <c r="M705" s="4">
        <v>1979.75</v>
      </c>
      <c r="N705" s="4">
        <v>1980.0</v>
      </c>
      <c r="O705" s="4">
        <v>164340.0</v>
      </c>
      <c r="P705" s="4">
        <f t="shared" si="1"/>
        <v>122.1833333</v>
      </c>
      <c r="Q705" s="4" t="str">
        <f t="shared" si="2"/>
        <v>High</v>
      </c>
      <c r="R705" s="1" t="str">
        <f t="shared" si="3"/>
        <v>Underutilized</v>
      </c>
      <c r="S705" s="4">
        <f t="shared" si="4"/>
        <v>14.51854842</v>
      </c>
      <c r="T705" s="1" t="str">
        <f t="shared" si="5"/>
        <v>Normal Cost</v>
      </c>
      <c r="U705" s="4">
        <f t="shared" si="6"/>
        <v>0.03093890714</v>
      </c>
    </row>
    <row r="706">
      <c r="A706" s="4" t="s">
        <v>1612</v>
      </c>
      <c r="B706" s="4" t="s">
        <v>350</v>
      </c>
      <c r="C706" s="4">
        <v>429.39</v>
      </c>
      <c r="D706" s="4" t="s">
        <v>21</v>
      </c>
      <c r="E706" s="4" t="s">
        <v>27</v>
      </c>
      <c r="F706" s="4">
        <v>88.89</v>
      </c>
      <c r="G706" s="4">
        <v>58.96</v>
      </c>
      <c r="H706" s="4">
        <v>4.9294000807E10</v>
      </c>
      <c r="I706" s="4">
        <v>5.1881763823E10</v>
      </c>
      <c r="J706" s="4" t="s">
        <v>1613</v>
      </c>
      <c r="K706" s="4" t="s">
        <v>1614</v>
      </c>
      <c r="L706" s="4">
        <v>8.76</v>
      </c>
      <c r="M706" s="4">
        <v>3761.46</v>
      </c>
      <c r="N706" s="4">
        <v>3761.0</v>
      </c>
      <c r="O706" s="4">
        <v>312163.0</v>
      </c>
      <c r="P706" s="4">
        <f t="shared" si="1"/>
        <v>27.01666667</v>
      </c>
      <c r="Q706" s="4" t="str">
        <f t="shared" si="2"/>
        <v>High</v>
      </c>
      <c r="R706" s="1" t="str">
        <f t="shared" si="3"/>
        <v>Normal</v>
      </c>
      <c r="S706" s="4">
        <f t="shared" si="4"/>
        <v>94.2272736</v>
      </c>
      <c r="T706" s="1" t="str">
        <f t="shared" si="5"/>
        <v>High Cost</v>
      </c>
      <c r="U706" s="4">
        <f t="shared" si="6"/>
        <v>0.02368153817</v>
      </c>
    </row>
    <row r="707">
      <c r="A707" s="4" t="s">
        <v>1615</v>
      </c>
      <c r="B707" s="4" t="s">
        <v>147</v>
      </c>
      <c r="C707" s="4">
        <v>113.7167</v>
      </c>
      <c r="D707" s="4" t="s">
        <v>42</v>
      </c>
      <c r="E707" s="4" t="s">
        <v>58</v>
      </c>
      <c r="F707" s="4">
        <v>22.19</v>
      </c>
      <c r="G707" s="4">
        <v>50.81</v>
      </c>
      <c r="H707" s="4">
        <v>7.2922188358E10</v>
      </c>
      <c r="I707" s="4">
        <v>7.3740836405E10</v>
      </c>
      <c r="J707" s="5">
        <v>45359.24166666667</v>
      </c>
      <c r="K707" s="5">
        <v>45481.97986111111</v>
      </c>
      <c r="L707" s="4">
        <v>8.26</v>
      </c>
      <c r="M707" s="4">
        <v>939.3</v>
      </c>
      <c r="N707" s="4">
        <v>939.0</v>
      </c>
      <c r="O707" s="4">
        <v>77937.0</v>
      </c>
      <c r="P707" s="4">
        <f t="shared" si="1"/>
        <v>113.7166667</v>
      </c>
      <c r="Q707" s="4" t="str">
        <f t="shared" si="2"/>
        <v>Underutilized</v>
      </c>
      <c r="R707" s="1" t="str">
        <f t="shared" si="3"/>
        <v>Normal</v>
      </c>
      <c r="S707" s="4">
        <f t="shared" si="4"/>
        <v>136.5905858</v>
      </c>
      <c r="T707" s="1" t="str">
        <f t="shared" si="5"/>
        <v>Normal Cost</v>
      </c>
      <c r="U707" s="4">
        <f t="shared" si="6"/>
        <v>0.0468326982</v>
      </c>
    </row>
    <row r="708">
      <c r="A708" s="4" t="s">
        <v>1616</v>
      </c>
      <c r="B708" s="4" t="s">
        <v>273</v>
      </c>
      <c r="C708" s="4">
        <v>68.3914</v>
      </c>
      <c r="D708" s="4" t="s">
        <v>17</v>
      </c>
      <c r="E708" s="4" t="s">
        <v>37</v>
      </c>
      <c r="F708" s="4">
        <v>56.02</v>
      </c>
      <c r="G708" s="4">
        <v>62.7</v>
      </c>
      <c r="H708" s="4">
        <v>1.182748459E9</v>
      </c>
      <c r="I708" s="4">
        <v>5.830753913E9</v>
      </c>
      <c r="J708" s="4" t="s">
        <v>1617</v>
      </c>
      <c r="K708" s="4" t="s">
        <v>1618</v>
      </c>
      <c r="L708" s="4">
        <v>5.23</v>
      </c>
      <c r="M708" s="4">
        <v>357.69</v>
      </c>
      <c r="N708" s="4">
        <v>358.0</v>
      </c>
      <c r="O708" s="4">
        <v>29714.0</v>
      </c>
      <c r="P708" s="4">
        <f t="shared" si="1"/>
        <v>90.71666667</v>
      </c>
      <c r="Q708" s="4" t="str">
        <f t="shared" si="2"/>
        <v>Normal</v>
      </c>
      <c r="R708" s="1" t="str">
        <f t="shared" si="3"/>
        <v>Normal</v>
      </c>
      <c r="S708" s="4">
        <f t="shared" si="4"/>
        <v>6.531833086</v>
      </c>
      <c r="T708" s="1" t="str">
        <f t="shared" si="5"/>
        <v>Normal Cost</v>
      </c>
      <c r="U708" s="4">
        <f t="shared" si="6"/>
        <v>0.1997711516</v>
      </c>
    </row>
    <row r="709">
      <c r="A709" s="4" t="s">
        <v>1619</v>
      </c>
      <c r="B709" s="4" t="s">
        <v>350</v>
      </c>
      <c r="C709" s="4">
        <v>863.095</v>
      </c>
      <c r="D709" s="4" t="s">
        <v>17</v>
      </c>
      <c r="E709" s="4" t="s">
        <v>37</v>
      </c>
      <c r="F709" s="4">
        <v>44.24</v>
      </c>
      <c r="G709" s="4">
        <v>88.33</v>
      </c>
      <c r="H709" s="4">
        <v>8.3139711355E10</v>
      </c>
      <c r="I709" s="4">
        <v>9.0368691633E10</v>
      </c>
      <c r="J709" s="4" t="s">
        <v>1620</v>
      </c>
      <c r="K709" s="4" t="s">
        <v>1621</v>
      </c>
      <c r="L709" s="4">
        <v>6.45</v>
      </c>
      <c r="M709" s="4">
        <v>5566.96</v>
      </c>
      <c r="N709" s="4">
        <v>5567.0</v>
      </c>
      <c r="O709" s="4">
        <v>462061.0</v>
      </c>
      <c r="P709" s="4">
        <f t="shared" si="1"/>
        <v>73.56666667</v>
      </c>
      <c r="Q709" s="4" t="str">
        <f t="shared" si="2"/>
        <v>Normal</v>
      </c>
      <c r="R709" s="1" t="str">
        <f t="shared" si="3"/>
        <v>High</v>
      </c>
      <c r="S709" s="4">
        <f t="shared" si="4"/>
        <v>161.5922926</v>
      </c>
      <c r="T709" s="1" t="str">
        <f t="shared" si="5"/>
        <v>High Cost</v>
      </c>
      <c r="U709" s="4">
        <f t="shared" si="6"/>
        <v>0.01434550849</v>
      </c>
    </row>
    <row r="710">
      <c r="A710" s="4" t="s">
        <v>1622</v>
      </c>
      <c r="B710" s="4" t="s">
        <v>128</v>
      </c>
      <c r="C710" s="4">
        <v>942.5422</v>
      </c>
      <c r="D710" s="4" t="s">
        <v>21</v>
      </c>
      <c r="E710" s="4" t="s">
        <v>70</v>
      </c>
      <c r="F710" s="4">
        <v>88.72</v>
      </c>
      <c r="G710" s="4">
        <v>54.12</v>
      </c>
      <c r="H710" s="4">
        <v>7.2585159345E10</v>
      </c>
      <c r="I710" s="4">
        <v>8.0787050908E10</v>
      </c>
      <c r="J710" s="5">
        <v>45542.07083333333</v>
      </c>
      <c r="K710" s="5">
        <v>45572.11875</v>
      </c>
      <c r="L710" s="4">
        <v>6.33</v>
      </c>
      <c r="M710" s="4">
        <v>5966.29</v>
      </c>
      <c r="N710" s="4">
        <v>5966.0</v>
      </c>
      <c r="O710" s="4">
        <v>495178.0</v>
      </c>
      <c r="P710" s="4">
        <f t="shared" si="1"/>
        <v>25.15</v>
      </c>
      <c r="Q710" s="4" t="str">
        <f t="shared" si="2"/>
        <v>High</v>
      </c>
      <c r="R710" s="1" t="str">
        <f t="shared" si="3"/>
        <v>Normal</v>
      </c>
      <c r="S710" s="4">
        <f t="shared" si="4"/>
        <v>142.8390017</v>
      </c>
      <c r="T710" s="1" t="str">
        <f t="shared" si="5"/>
        <v>High Cost</v>
      </c>
      <c r="U710" s="4">
        <f t="shared" si="6"/>
        <v>0.01442309634</v>
      </c>
    </row>
    <row r="711">
      <c r="A711" s="4" t="s">
        <v>1623</v>
      </c>
      <c r="B711" s="4" t="s">
        <v>128</v>
      </c>
      <c r="C711" s="4">
        <v>593.7</v>
      </c>
      <c r="D711" s="4" t="s">
        <v>21</v>
      </c>
      <c r="E711" s="4" t="s">
        <v>27</v>
      </c>
      <c r="F711" s="4">
        <v>25.5</v>
      </c>
      <c r="G711" s="4">
        <v>89.97</v>
      </c>
      <c r="H711" s="4">
        <v>3.2996592113E10</v>
      </c>
      <c r="I711" s="4">
        <v>4.0478716789E10</v>
      </c>
      <c r="J711" s="5">
        <v>45359.325694444444</v>
      </c>
      <c r="K711" s="5">
        <v>45390.62847222222</v>
      </c>
      <c r="L711" s="4">
        <v>5.58</v>
      </c>
      <c r="M711" s="4">
        <v>3312.85</v>
      </c>
      <c r="N711" s="4">
        <v>3313.0</v>
      </c>
      <c r="O711" s="4">
        <v>274979.0</v>
      </c>
      <c r="P711" s="4">
        <f t="shared" si="1"/>
        <v>31.26666667</v>
      </c>
      <c r="Q711" s="4" t="str">
        <f t="shared" si="2"/>
        <v>Underutilized</v>
      </c>
      <c r="R711" s="1" t="str">
        <f t="shared" si="3"/>
        <v>High</v>
      </c>
      <c r="S711" s="4">
        <f t="shared" si="4"/>
        <v>68.42921386</v>
      </c>
      <c r="T711" s="1" t="str">
        <f t="shared" si="5"/>
        <v>High Cost</v>
      </c>
      <c r="U711" s="4">
        <f t="shared" si="6"/>
        <v>0.0209961488</v>
      </c>
    </row>
    <row r="712">
      <c r="A712" s="4" t="s">
        <v>1624</v>
      </c>
      <c r="B712" s="4" t="s">
        <v>41</v>
      </c>
      <c r="C712" s="4">
        <v>120.0333</v>
      </c>
      <c r="D712" s="4" t="s">
        <v>42</v>
      </c>
      <c r="E712" s="4" t="s">
        <v>37</v>
      </c>
      <c r="F712" s="4">
        <v>63.32</v>
      </c>
      <c r="G712" s="4">
        <v>15.88</v>
      </c>
      <c r="H712" s="4">
        <v>3.8518452231E10</v>
      </c>
      <c r="I712" s="4">
        <v>4.5323568182E10</v>
      </c>
      <c r="J712" s="5">
        <v>45573.84930555556</v>
      </c>
      <c r="K712" s="4" t="s">
        <v>1625</v>
      </c>
      <c r="L712" s="4">
        <v>2.8</v>
      </c>
      <c r="M712" s="4">
        <v>336.09</v>
      </c>
      <c r="N712" s="4">
        <v>336.0</v>
      </c>
      <c r="O712" s="4">
        <v>27888.0</v>
      </c>
      <c r="P712" s="4">
        <f t="shared" si="1"/>
        <v>120.0333333</v>
      </c>
      <c r="Q712" s="4" t="str">
        <f t="shared" si="2"/>
        <v>Normal</v>
      </c>
      <c r="R712" s="1" t="str">
        <f t="shared" si="3"/>
        <v>Underutilized</v>
      </c>
      <c r="S712" s="4">
        <f t="shared" si="4"/>
        <v>78.08396631</v>
      </c>
      <c r="T712" s="1" t="str">
        <f t="shared" si="5"/>
        <v>Normal Cost</v>
      </c>
      <c r="U712" s="4">
        <f t="shared" si="6"/>
        <v>0.1419965577</v>
      </c>
    </row>
    <row r="713">
      <c r="A713" s="4" t="s">
        <v>1626</v>
      </c>
      <c r="B713" s="4" t="s">
        <v>112</v>
      </c>
      <c r="C713" s="4">
        <v>131.4333</v>
      </c>
      <c r="D713" s="4" t="s">
        <v>42</v>
      </c>
      <c r="E713" s="4" t="s">
        <v>32</v>
      </c>
      <c r="F713" s="4">
        <v>81.15</v>
      </c>
      <c r="G713" s="4">
        <v>33.15</v>
      </c>
      <c r="H713" s="4">
        <v>7.9097760525E10</v>
      </c>
      <c r="I713" s="4">
        <v>8.5922163334E10</v>
      </c>
      <c r="J713" s="4" t="s">
        <v>1627</v>
      </c>
      <c r="K713" s="4" t="s">
        <v>1628</v>
      </c>
      <c r="L713" s="4">
        <v>3.04</v>
      </c>
      <c r="M713" s="4">
        <v>399.56</v>
      </c>
      <c r="N713" s="4">
        <v>400.0</v>
      </c>
      <c r="O713" s="4">
        <v>33200.0</v>
      </c>
      <c r="P713" s="4">
        <f t="shared" si="1"/>
        <v>131.4333333</v>
      </c>
      <c r="Q713" s="4" t="str">
        <f t="shared" si="2"/>
        <v>High</v>
      </c>
      <c r="R713" s="1" t="str">
        <f t="shared" si="3"/>
        <v>Underutilized</v>
      </c>
      <c r="S713" s="4">
        <f t="shared" si="4"/>
        <v>153.6867804</v>
      </c>
      <c r="T713" s="1" t="str">
        <f t="shared" si="5"/>
        <v>Normal Cost</v>
      </c>
      <c r="U713" s="4">
        <f t="shared" si="6"/>
        <v>0.1721385542</v>
      </c>
    </row>
    <row r="714">
      <c r="A714" s="4" t="s">
        <v>1629</v>
      </c>
      <c r="B714" s="4" t="s">
        <v>62</v>
      </c>
      <c r="C714" s="4">
        <v>69.4</v>
      </c>
      <c r="D714" s="4" t="s">
        <v>42</v>
      </c>
      <c r="E714" s="4" t="s">
        <v>37</v>
      </c>
      <c r="F714" s="4">
        <v>47.99</v>
      </c>
      <c r="G714" s="4">
        <v>94.08</v>
      </c>
      <c r="H714" s="4">
        <v>3.3005849885E10</v>
      </c>
      <c r="I714" s="4">
        <v>3.6574371942E10</v>
      </c>
      <c r="J714" s="4" t="s">
        <v>1630</v>
      </c>
      <c r="K714" s="4" t="s">
        <v>1631</v>
      </c>
      <c r="L714" s="4">
        <v>6.81</v>
      </c>
      <c r="M714" s="4">
        <v>472.61</v>
      </c>
      <c r="N714" s="4">
        <v>473.0</v>
      </c>
      <c r="O714" s="4">
        <v>39259.0</v>
      </c>
      <c r="P714" s="4">
        <f t="shared" si="1"/>
        <v>69.4</v>
      </c>
      <c r="Q714" s="4" t="str">
        <f t="shared" si="2"/>
        <v>Normal</v>
      </c>
      <c r="R714" s="1" t="str">
        <f t="shared" si="3"/>
        <v>High</v>
      </c>
      <c r="S714" s="4">
        <f t="shared" si="4"/>
        <v>64.80163133</v>
      </c>
      <c r="T714" s="1" t="str">
        <f t="shared" si="5"/>
        <v>Normal Cost</v>
      </c>
      <c r="U714" s="4">
        <f t="shared" si="6"/>
        <v>0.1809394024</v>
      </c>
    </row>
    <row r="715">
      <c r="A715" s="4" t="s">
        <v>1632</v>
      </c>
      <c r="B715" s="4" t="s">
        <v>60</v>
      </c>
      <c r="C715" s="4">
        <v>101.5</v>
      </c>
      <c r="D715" s="4" t="s">
        <v>42</v>
      </c>
      <c r="E715" s="4" t="s">
        <v>37</v>
      </c>
      <c r="F715" s="4">
        <v>37.57</v>
      </c>
      <c r="G715" s="4">
        <v>32.15</v>
      </c>
      <c r="H715" s="4">
        <v>8.1529079148E10</v>
      </c>
      <c r="I715" s="4">
        <v>8.1835001901E10</v>
      </c>
      <c r="J715" s="5">
        <v>45542.777083333334</v>
      </c>
      <c r="K715" s="4" t="s">
        <v>1633</v>
      </c>
      <c r="L715" s="4">
        <v>9.82</v>
      </c>
      <c r="M715" s="4">
        <v>996.73</v>
      </c>
      <c r="N715" s="4">
        <v>997.0</v>
      </c>
      <c r="O715" s="4">
        <v>82751.0</v>
      </c>
      <c r="P715" s="4">
        <f t="shared" si="1"/>
        <v>101.5</v>
      </c>
      <c r="Q715" s="4" t="str">
        <f t="shared" si="2"/>
        <v>Normal</v>
      </c>
      <c r="R715" s="1" t="str">
        <f t="shared" si="3"/>
        <v>Underutilized</v>
      </c>
      <c r="S715" s="4">
        <f t="shared" si="4"/>
        <v>152.1446566</v>
      </c>
      <c r="T715" s="1" t="str">
        <f t="shared" si="5"/>
        <v>Normal Cost</v>
      </c>
      <c r="U715" s="4">
        <f t="shared" si="6"/>
        <v>0.04212637914</v>
      </c>
    </row>
    <row r="716">
      <c r="A716" s="4" t="s">
        <v>1634</v>
      </c>
      <c r="B716" s="4" t="s">
        <v>60</v>
      </c>
      <c r="C716" s="4">
        <v>67.75</v>
      </c>
      <c r="D716" s="4" t="s">
        <v>42</v>
      </c>
      <c r="E716" s="4" t="s">
        <v>27</v>
      </c>
      <c r="F716" s="4">
        <v>40.24</v>
      </c>
      <c r="G716" s="4">
        <v>94.45</v>
      </c>
      <c r="H716" s="4">
        <v>9.7156852662E10</v>
      </c>
      <c r="I716" s="4">
        <v>9.8079959949E10</v>
      </c>
      <c r="J716" s="5">
        <v>45329.67083333333</v>
      </c>
      <c r="K716" s="5">
        <v>45419.49375</v>
      </c>
      <c r="L716" s="4">
        <v>4.51</v>
      </c>
      <c r="M716" s="4">
        <v>305.55</v>
      </c>
      <c r="N716" s="4">
        <v>306.0</v>
      </c>
      <c r="O716" s="4">
        <v>25398.0</v>
      </c>
      <c r="P716" s="4">
        <f t="shared" si="1"/>
        <v>67.75</v>
      </c>
      <c r="Q716" s="4" t="str">
        <f t="shared" si="2"/>
        <v>Normal</v>
      </c>
      <c r="R716" s="1" t="str">
        <f t="shared" si="3"/>
        <v>High</v>
      </c>
      <c r="S716" s="4">
        <f t="shared" si="4"/>
        <v>181.828451</v>
      </c>
      <c r="T716" s="1" t="str">
        <f t="shared" si="5"/>
        <v>Normal Cost</v>
      </c>
      <c r="U716" s="4">
        <f t="shared" si="6"/>
        <v>0.2651586739</v>
      </c>
    </row>
    <row r="717">
      <c r="A717" s="4" t="s">
        <v>1635</v>
      </c>
      <c r="B717" s="4" t="s">
        <v>16</v>
      </c>
      <c r="C717" s="4">
        <v>107.2042</v>
      </c>
      <c r="D717" s="4" t="s">
        <v>21</v>
      </c>
      <c r="E717" s="4" t="s">
        <v>74</v>
      </c>
      <c r="F717" s="4">
        <v>23.43</v>
      </c>
      <c r="G717" s="4">
        <v>19.38</v>
      </c>
      <c r="H717" s="4">
        <v>5.9333182051E10</v>
      </c>
      <c r="I717" s="4">
        <v>6.4311680089E10</v>
      </c>
      <c r="J717" s="4" t="s">
        <v>1636</v>
      </c>
      <c r="K717" s="4" t="s">
        <v>1637</v>
      </c>
      <c r="L717" s="4">
        <v>1.9</v>
      </c>
      <c r="M717" s="4">
        <v>203.69</v>
      </c>
      <c r="N717" s="4">
        <v>204.0</v>
      </c>
      <c r="O717" s="4">
        <v>16932.0</v>
      </c>
      <c r="P717" s="4">
        <f t="shared" si="1"/>
        <v>124.7166667</v>
      </c>
      <c r="Q717" s="4" t="str">
        <f t="shared" si="2"/>
        <v>Underutilized</v>
      </c>
      <c r="R717" s="1" t="str">
        <f t="shared" si="3"/>
        <v>Underutilized</v>
      </c>
      <c r="S717" s="4">
        <f t="shared" si="4"/>
        <v>115.1532513</v>
      </c>
      <c r="T717" s="1" t="str">
        <f t="shared" si="5"/>
        <v>Normal Cost</v>
      </c>
      <c r="U717" s="4">
        <f t="shared" si="6"/>
        <v>0.1264174344</v>
      </c>
    </row>
    <row r="718">
      <c r="A718" s="4" t="s">
        <v>1638</v>
      </c>
      <c r="B718" s="4" t="s">
        <v>66</v>
      </c>
      <c r="C718" s="4">
        <v>644.9753</v>
      </c>
      <c r="D718" s="4" t="s">
        <v>21</v>
      </c>
      <c r="E718" s="4" t="s">
        <v>74</v>
      </c>
      <c r="F718" s="4">
        <v>8.12</v>
      </c>
      <c r="G718" s="4">
        <v>42.07</v>
      </c>
      <c r="H718" s="4">
        <v>5.8377579384E10</v>
      </c>
      <c r="I718" s="4">
        <v>6.6988761329E10</v>
      </c>
      <c r="J718" s="5">
        <v>45633.01527777778</v>
      </c>
      <c r="K718" s="4" t="s">
        <v>1639</v>
      </c>
      <c r="L718" s="4">
        <v>6.14</v>
      </c>
      <c r="M718" s="4">
        <v>3960.15</v>
      </c>
      <c r="N718" s="4">
        <v>3960.0</v>
      </c>
      <c r="O718" s="4">
        <v>328680.0</v>
      </c>
      <c r="P718" s="4">
        <f t="shared" si="1"/>
        <v>103.6166667</v>
      </c>
      <c r="Q718" s="4" t="str">
        <f t="shared" si="2"/>
        <v>Underutilized</v>
      </c>
      <c r="R718" s="1" t="str">
        <f t="shared" si="3"/>
        <v>Normal</v>
      </c>
      <c r="S718" s="4">
        <f t="shared" si="4"/>
        <v>116.7565032</v>
      </c>
      <c r="T718" s="1" t="str">
        <f t="shared" si="5"/>
        <v>High Cost</v>
      </c>
      <c r="U718" s="4">
        <f t="shared" si="6"/>
        <v>0.007635085798</v>
      </c>
    </row>
    <row r="719">
      <c r="A719" s="4" t="s">
        <v>1640</v>
      </c>
      <c r="B719" s="4" t="s">
        <v>139</v>
      </c>
      <c r="C719" s="4">
        <v>128.65</v>
      </c>
      <c r="D719" s="4" t="s">
        <v>42</v>
      </c>
      <c r="E719" s="4" t="s">
        <v>58</v>
      </c>
      <c r="F719" s="4">
        <v>35.24</v>
      </c>
      <c r="G719" s="4">
        <v>50.33</v>
      </c>
      <c r="H719" s="4">
        <v>8.3290683034E10</v>
      </c>
      <c r="I719" s="4">
        <v>9.1928101174E10</v>
      </c>
      <c r="J719" s="5">
        <v>45420.03680555556</v>
      </c>
      <c r="K719" s="5">
        <v>45573.39722222222</v>
      </c>
      <c r="L719" s="4">
        <v>5.13</v>
      </c>
      <c r="M719" s="4">
        <v>659.97</v>
      </c>
      <c r="N719" s="4">
        <v>660.0</v>
      </c>
      <c r="O719" s="4">
        <v>54780.0</v>
      </c>
      <c r="P719" s="4">
        <f t="shared" si="1"/>
        <v>128.65</v>
      </c>
      <c r="Q719" s="4" t="str">
        <f t="shared" si="2"/>
        <v>Normal</v>
      </c>
      <c r="R719" s="1" t="str">
        <f t="shared" si="3"/>
        <v>Normal</v>
      </c>
      <c r="S719" s="4">
        <f t="shared" si="4"/>
        <v>163.1852092</v>
      </c>
      <c r="T719" s="1" t="str">
        <f t="shared" si="5"/>
        <v>Normal Cost</v>
      </c>
      <c r="U719" s="4">
        <f t="shared" si="6"/>
        <v>0.07810332238</v>
      </c>
    </row>
    <row r="720">
      <c r="A720" s="4" t="s">
        <v>1641</v>
      </c>
      <c r="B720" s="4" t="s">
        <v>36</v>
      </c>
      <c r="C720" s="4">
        <v>270.5498</v>
      </c>
      <c r="D720" s="4" t="s">
        <v>21</v>
      </c>
      <c r="E720" s="4" t="s">
        <v>27</v>
      </c>
      <c r="F720" s="4">
        <v>24.7</v>
      </c>
      <c r="G720" s="4">
        <v>82.03</v>
      </c>
      <c r="H720" s="4">
        <v>1.9913289223E10</v>
      </c>
      <c r="I720" s="4">
        <v>2.0800449857E10</v>
      </c>
      <c r="J720" s="4" t="s">
        <v>1642</v>
      </c>
      <c r="K720" s="4" t="s">
        <v>1643</v>
      </c>
      <c r="L720" s="4">
        <v>4.76</v>
      </c>
      <c r="M720" s="4">
        <v>1287.82</v>
      </c>
      <c r="N720" s="4">
        <v>1288.0</v>
      </c>
      <c r="O720" s="4">
        <v>106904.0</v>
      </c>
      <c r="P720" s="4">
        <f t="shared" si="1"/>
        <v>109.3</v>
      </c>
      <c r="Q720" s="4" t="str">
        <f t="shared" si="2"/>
        <v>Underutilized</v>
      </c>
      <c r="R720" s="1" t="str">
        <f t="shared" si="3"/>
        <v>High</v>
      </c>
      <c r="S720" s="4">
        <f t="shared" si="4"/>
        <v>37.9176243</v>
      </c>
      <c r="T720" s="1" t="str">
        <f t="shared" si="5"/>
        <v>Normal Cost</v>
      </c>
      <c r="U720" s="4">
        <f t="shared" si="6"/>
        <v>0.04991861857</v>
      </c>
    </row>
    <row r="721">
      <c r="A721" s="4" t="s">
        <v>1644</v>
      </c>
      <c r="B721" s="4" t="s">
        <v>16</v>
      </c>
      <c r="C721" s="4">
        <v>849.6378</v>
      </c>
      <c r="D721" s="4" t="s">
        <v>21</v>
      </c>
      <c r="E721" s="4" t="s">
        <v>105</v>
      </c>
      <c r="F721" s="4">
        <v>59.54</v>
      </c>
      <c r="G721" s="4">
        <v>17.43</v>
      </c>
      <c r="H721" s="4">
        <v>8.1159809793E10</v>
      </c>
      <c r="I721" s="4">
        <v>8.9779274593E10</v>
      </c>
      <c r="J721" s="4" t="s">
        <v>1645</v>
      </c>
      <c r="K721" s="4" t="s">
        <v>1646</v>
      </c>
      <c r="L721" s="4">
        <v>3.77</v>
      </c>
      <c r="M721" s="4">
        <v>3203.13</v>
      </c>
      <c r="N721" s="4">
        <v>3203.0</v>
      </c>
      <c r="O721" s="4">
        <v>265849.0</v>
      </c>
      <c r="P721" s="4">
        <f t="shared" si="1"/>
        <v>102.65</v>
      </c>
      <c r="Q721" s="4" t="str">
        <f t="shared" si="2"/>
        <v>Normal</v>
      </c>
      <c r="R721" s="1" t="str">
        <f t="shared" si="3"/>
        <v>Underutilized</v>
      </c>
      <c r="S721" s="4">
        <f t="shared" si="4"/>
        <v>159.1994282</v>
      </c>
      <c r="T721" s="1" t="str">
        <f t="shared" si="5"/>
        <v>High Cost</v>
      </c>
      <c r="U721" s="4">
        <f t="shared" si="6"/>
        <v>0.01447626284</v>
      </c>
    </row>
    <row r="722">
      <c r="A722" s="4" t="s">
        <v>1647</v>
      </c>
      <c r="B722" s="4" t="s">
        <v>31</v>
      </c>
      <c r="C722" s="4">
        <v>716.3448</v>
      </c>
      <c r="D722" s="4" t="s">
        <v>21</v>
      </c>
      <c r="E722" s="4" t="s">
        <v>74</v>
      </c>
      <c r="F722" s="4">
        <v>85.67</v>
      </c>
      <c r="G722" s="4">
        <v>57.03</v>
      </c>
      <c r="H722" s="4">
        <v>1.3501372933E10</v>
      </c>
      <c r="I722" s="4">
        <v>2.0403329092E10</v>
      </c>
      <c r="J722" s="5">
        <v>45298.65347222222</v>
      </c>
      <c r="K722" s="5">
        <v>45389.686111111114</v>
      </c>
      <c r="L722" s="4">
        <v>6.11</v>
      </c>
      <c r="M722" s="4">
        <v>4376.87</v>
      </c>
      <c r="N722" s="4">
        <v>4377.0</v>
      </c>
      <c r="O722" s="4">
        <v>363291.0</v>
      </c>
      <c r="P722" s="4">
        <f t="shared" si="1"/>
        <v>72.78333333</v>
      </c>
      <c r="Q722" s="4" t="str">
        <f t="shared" si="2"/>
        <v>High</v>
      </c>
      <c r="R722" s="1" t="str">
        <f t="shared" si="3"/>
        <v>Normal</v>
      </c>
      <c r="S722" s="4">
        <f t="shared" si="4"/>
        <v>31.57621438</v>
      </c>
      <c r="T722" s="1" t="str">
        <f t="shared" si="5"/>
        <v>High Cost</v>
      </c>
      <c r="U722" s="4">
        <f t="shared" si="6"/>
        <v>0.019639903</v>
      </c>
    </row>
    <row r="723">
      <c r="A723" s="4" t="s">
        <v>1648</v>
      </c>
      <c r="B723" s="4" t="s">
        <v>169</v>
      </c>
      <c r="C723" s="4">
        <v>244.6044</v>
      </c>
      <c r="D723" s="4" t="s">
        <v>21</v>
      </c>
      <c r="E723" s="4" t="s">
        <v>22</v>
      </c>
      <c r="F723" s="4">
        <v>90.6</v>
      </c>
      <c r="G723" s="4">
        <v>16.05</v>
      </c>
      <c r="H723" s="4">
        <v>8.8097720514E10</v>
      </c>
      <c r="I723" s="4">
        <v>9.4193794566E10</v>
      </c>
      <c r="J723" s="4" t="s">
        <v>1649</v>
      </c>
      <c r="K723" s="4" t="s">
        <v>1650</v>
      </c>
      <c r="L723" s="4">
        <v>9.4</v>
      </c>
      <c r="M723" s="4">
        <v>2299.28</v>
      </c>
      <c r="N723" s="4">
        <v>2299.0</v>
      </c>
      <c r="O723" s="4">
        <v>190817.0</v>
      </c>
      <c r="P723" s="4">
        <f t="shared" si="1"/>
        <v>89.01666667</v>
      </c>
      <c r="Q723" s="4" t="str">
        <f t="shared" si="2"/>
        <v>High</v>
      </c>
      <c r="R723" s="1" t="str">
        <f t="shared" si="3"/>
        <v>Underutilized</v>
      </c>
      <c r="S723" s="4">
        <f t="shared" si="4"/>
        <v>169.7722032</v>
      </c>
      <c r="T723" s="1" t="str">
        <f t="shared" si="5"/>
        <v>High Cost</v>
      </c>
      <c r="U723" s="4">
        <f t="shared" si="6"/>
        <v>0.02794562329</v>
      </c>
    </row>
    <row r="724">
      <c r="A724" s="4" t="s">
        <v>1651</v>
      </c>
      <c r="B724" s="4" t="s">
        <v>83</v>
      </c>
      <c r="C724" s="4">
        <v>766.1013</v>
      </c>
      <c r="D724" s="4" t="s">
        <v>21</v>
      </c>
      <c r="E724" s="4" t="s">
        <v>32</v>
      </c>
      <c r="F724" s="4">
        <v>59.37</v>
      </c>
      <c r="G724" s="4">
        <v>20.17</v>
      </c>
      <c r="H724" s="4">
        <v>5.3390461988E10</v>
      </c>
      <c r="I724" s="4">
        <v>5.4709974307E10</v>
      </c>
      <c r="J724" s="4" t="s">
        <v>1652</v>
      </c>
      <c r="K724" s="4" t="s">
        <v>1653</v>
      </c>
      <c r="L724" s="4">
        <v>7.74</v>
      </c>
      <c r="M724" s="4">
        <v>5929.62</v>
      </c>
      <c r="N724" s="4">
        <v>5930.0</v>
      </c>
      <c r="O724" s="4">
        <v>492190.0</v>
      </c>
      <c r="P724" s="4">
        <f t="shared" si="1"/>
        <v>69.65</v>
      </c>
      <c r="Q724" s="4" t="str">
        <f t="shared" si="2"/>
        <v>Normal</v>
      </c>
      <c r="R724" s="1" t="str">
        <f t="shared" si="3"/>
        <v>Underutilized</v>
      </c>
      <c r="S724" s="4">
        <f t="shared" si="4"/>
        <v>100.6763766</v>
      </c>
      <c r="T724" s="1" t="str">
        <f t="shared" si="5"/>
        <v>High Cost</v>
      </c>
      <c r="U724" s="4">
        <f t="shared" si="6"/>
        <v>0.008080212926</v>
      </c>
    </row>
    <row r="725">
      <c r="A725" s="4" t="s">
        <v>1654</v>
      </c>
      <c r="B725" s="4" t="s">
        <v>169</v>
      </c>
      <c r="C725" s="4">
        <v>605.434</v>
      </c>
      <c r="D725" s="4" t="s">
        <v>21</v>
      </c>
      <c r="E725" s="4" t="s">
        <v>27</v>
      </c>
      <c r="F725" s="4">
        <v>22.52</v>
      </c>
      <c r="G725" s="4">
        <v>11.7</v>
      </c>
      <c r="H725" s="4">
        <v>6.03617051E9</v>
      </c>
      <c r="I725" s="4">
        <v>1.3165027627E10</v>
      </c>
      <c r="J725" s="5">
        <v>45634.649305555555</v>
      </c>
      <c r="K725" s="4" t="s">
        <v>1655</v>
      </c>
      <c r="L725" s="4">
        <v>5.04</v>
      </c>
      <c r="M725" s="4">
        <v>3051.39</v>
      </c>
      <c r="N725" s="4">
        <v>3051.0</v>
      </c>
      <c r="O725" s="4">
        <v>253233.0</v>
      </c>
      <c r="P725" s="4">
        <f t="shared" si="1"/>
        <v>114.25</v>
      </c>
      <c r="Q725" s="4" t="str">
        <f t="shared" si="2"/>
        <v>Underutilized</v>
      </c>
      <c r="R725" s="1" t="str">
        <f t="shared" si="3"/>
        <v>Underutilized</v>
      </c>
      <c r="S725" s="4">
        <f t="shared" si="4"/>
        <v>17.88250928</v>
      </c>
      <c r="T725" s="1" t="str">
        <f t="shared" si="5"/>
        <v>High Cost</v>
      </c>
      <c r="U725" s="4">
        <f t="shared" si="6"/>
        <v>0.006756623347</v>
      </c>
    </row>
    <row r="726">
      <c r="A726" s="4" t="s">
        <v>1656</v>
      </c>
      <c r="B726" s="4" t="s">
        <v>169</v>
      </c>
      <c r="C726" s="4">
        <v>314.7352</v>
      </c>
      <c r="D726" s="4" t="s">
        <v>17</v>
      </c>
      <c r="E726" s="4" t="s">
        <v>37</v>
      </c>
      <c r="F726" s="4">
        <v>39.3</v>
      </c>
      <c r="G726" s="4">
        <v>69.62</v>
      </c>
      <c r="H726" s="4">
        <v>2.1937055382E10</v>
      </c>
      <c r="I726" s="4">
        <v>3.1689047998E10</v>
      </c>
      <c r="J726" s="5">
        <v>45419.07638888889</v>
      </c>
      <c r="K726" s="5">
        <v>45572.46388888889</v>
      </c>
      <c r="L726" s="4">
        <v>3.65</v>
      </c>
      <c r="M726" s="4">
        <v>1148.78</v>
      </c>
      <c r="N726" s="4">
        <v>1149.0</v>
      </c>
      <c r="O726" s="4">
        <v>95367.0</v>
      </c>
      <c r="P726" s="4">
        <f t="shared" si="1"/>
        <v>129.3</v>
      </c>
      <c r="Q726" s="4" t="str">
        <f t="shared" si="2"/>
        <v>Normal</v>
      </c>
      <c r="R726" s="1" t="str">
        <f t="shared" si="3"/>
        <v>Normal</v>
      </c>
      <c r="S726" s="4">
        <f t="shared" si="4"/>
        <v>49.94320067</v>
      </c>
      <c r="T726" s="1" t="str">
        <f t="shared" si="5"/>
        <v>Normal Cost</v>
      </c>
      <c r="U726" s="4">
        <f t="shared" si="6"/>
        <v>0.05710570743</v>
      </c>
    </row>
    <row r="727">
      <c r="A727" s="4" t="s">
        <v>1657</v>
      </c>
      <c r="B727" s="4" t="s">
        <v>79</v>
      </c>
      <c r="C727" s="4">
        <v>487.5577</v>
      </c>
      <c r="D727" s="4" t="s">
        <v>21</v>
      </c>
      <c r="E727" s="4" t="s">
        <v>58</v>
      </c>
      <c r="F727" s="4">
        <v>96.89</v>
      </c>
      <c r="G727" s="4">
        <v>87.84</v>
      </c>
      <c r="H727" s="4">
        <v>5.9664182873E10</v>
      </c>
      <c r="I727" s="4">
        <v>6.9600922086E10</v>
      </c>
      <c r="J727" s="4" t="s">
        <v>1658</v>
      </c>
      <c r="K727" s="4" t="s">
        <v>1659</v>
      </c>
      <c r="L727" s="4">
        <v>4.79</v>
      </c>
      <c r="M727" s="4">
        <v>2335.4</v>
      </c>
      <c r="N727" s="4">
        <v>2335.0</v>
      </c>
      <c r="O727" s="4">
        <v>193805.0</v>
      </c>
      <c r="P727" s="4">
        <f t="shared" si="1"/>
        <v>39.25</v>
      </c>
      <c r="Q727" s="4" t="str">
        <f t="shared" si="2"/>
        <v>High</v>
      </c>
      <c r="R727" s="1" t="str">
        <f t="shared" si="3"/>
        <v>High</v>
      </c>
      <c r="S727" s="4">
        <f t="shared" si="4"/>
        <v>120.3875104</v>
      </c>
      <c r="T727" s="1" t="str">
        <f t="shared" si="5"/>
        <v>High Cost</v>
      </c>
      <c r="U727" s="4">
        <f t="shared" si="6"/>
        <v>0.04765872913</v>
      </c>
    </row>
    <row r="728">
      <c r="A728" s="4" t="s">
        <v>1660</v>
      </c>
      <c r="B728" s="4" t="s">
        <v>36</v>
      </c>
      <c r="C728" s="4">
        <v>594.3292</v>
      </c>
      <c r="D728" s="4" t="s">
        <v>17</v>
      </c>
      <c r="E728" s="4" t="s">
        <v>58</v>
      </c>
      <c r="F728" s="4">
        <v>55.72</v>
      </c>
      <c r="G728" s="4">
        <v>40.37</v>
      </c>
      <c r="H728" s="4">
        <v>9.312126094E10</v>
      </c>
      <c r="I728" s="4">
        <v>9.8127926613E10</v>
      </c>
      <c r="J728" s="4" t="s">
        <v>1661</v>
      </c>
      <c r="K728" s="4" t="s">
        <v>1662</v>
      </c>
      <c r="L728" s="4">
        <v>4.18</v>
      </c>
      <c r="M728" s="4">
        <v>2484.3</v>
      </c>
      <c r="N728" s="4">
        <v>2484.0</v>
      </c>
      <c r="O728" s="4">
        <v>206172.0</v>
      </c>
      <c r="P728" s="4">
        <f t="shared" si="1"/>
        <v>96.15</v>
      </c>
      <c r="Q728" s="4" t="str">
        <f t="shared" si="2"/>
        <v>Normal</v>
      </c>
      <c r="R728" s="1" t="str">
        <f t="shared" si="3"/>
        <v>Normal</v>
      </c>
      <c r="S728" s="4">
        <f t="shared" si="4"/>
        <v>178.1146857</v>
      </c>
      <c r="T728" s="1" t="str">
        <f t="shared" si="5"/>
        <v>High Cost</v>
      </c>
      <c r="U728" s="4">
        <f t="shared" si="6"/>
        <v>0.02330335836</v>
      </c>
    </row>
    <row r="729">
      <c r="A729" s="4" t="s">
        <v>1663</v>
      </c>
      <c r="B729" s="4" t="s">
        <v>57</v>
      </c>
      <c r="C729" s="4">
        <v>383.5646</v>
      </c>
      <c r="D729" s="4" t="s">
        <v>17</v>
      </c>
      <c r="E729" s="4" t="s">
        <v>58</v>
      </c>
      <c r="F729" s="4">
        <v>5.05</v>
      </c>
      <c r="G729" s="4">
        <v>34.96</v>
      </c>
      <c r="H729" s="4">
        <v>8.8559986595E10</v>
      </c>
      <c r="I729" s="4">
        <v>8.925562128E10</v>
      </c>
      <c r="J729" s="4" t="s">
        <v>1664</v>
      </c>
      <c r="K729" s="4" t="s">
        <v>1665</v>
      </c>
      <c r="L729" s="4">
        <v>8.82</v>
      </c>
      <c r="M729" s="4">
        <v>3383.04</v>
      </c>
      <c r="N729" s="4">
        <v>3383.0</v>
      </c>
      <c r="O729" s="4">
        <v>280789.0</v>
      </c>
      <c r="P729" s="4">
        <f t="shared" si="1"/>
        <v>71.28333333</v>
      </c>
      <c r="Q729" s="4" t="str">
        <f t="shared" si="2"/>
        <v>Underutilized</v>
      </c>
      <c r="R729" s="1" t="str">
        <f t="shared" si="3"/>
        <v>Underutilized</v>
      </c>
      <c r="S729" s="4">
        <f t="shared" si="4"/>
        <v>165.6036897</v>
      </c>
      <c r="T729" s="1" t="str">
        <f t="shared" si="5"/>
        <v>High Cost</v>
      </c>
      <c r="U729" s="4">
        <f t="shared" si="6"/>
        <v>0.007124566846</v>
      </c>
    </row>
    <row r="730">
      <c r="A730" s="4" t="s">
        <v>1666</v>
      </c>
      <c r="B730" s="4" t="s">
        <v>139</v>
      </c>
      <c r="C730" s="4">
        <v>105.5833</v>
      </c>
      <c r="D730" s="4" t="s">
        <v>42</v>
      </c>
      <c r="E730" s="4" t="s">
        <v>37</v>
      </c>
      <c r="F730" s="4">
        <v>29.94</v>
      </c>
      <c r="G730" s="4">
        <v>23.61</v>
      </c>
      <c r="H730" s="4">
        <v>8.5636532562E10</v>
      </c>
      <c r="I730" s="4">
        <v>8.6136300829E10</v>
      </c>
      <c r="J730" s="4" t="s">
        <v>1667</v>
      </c>
      <c r="K730" s="4" t="s">
        <v>1668</v>
      </c>
      <c r="L730" s="4">
        <v>4.73</v>
      </c>
      <c r="M730" s="4">
        <v>499.41</v>
      </c>
      <c r="N730" s="4">
        <v>499.0</v>
      </c>
      <c r="O730" s="4">
        <v>41417.0</v>
      </c>
      <c r="P730" s="4">
        <f t="shared" si="1"/>
        <v>105.5833333</v>
      </c>
      <c r="Q730" s="4" t="str">
        <f t="shared" si="2"/>
        <v>Underutilized</v>
      </c>
      <c r="R730" s="1" t="str">
        <f t="shared" si="3"/>
        <v>Underutilized</v>
      </c>
      <c r="S730" s="4">
        <f t="shared" si="4"/>
        <v>159.9759174</v>
      </c>
      <c r="T730" s="1" t="str">
        <f t="shared" si="5"/>
        <v>Normal Cost</v>
      </c>
      <c r="U730" s="4">
        <f t="shared" si="6"/>
        <v>0.06464736702</v>
      </c>
    </row>
    <row r="731">
      <c r="A731" s="4" t="s">
        <v>1669</v>
      </c>
      <c r="B731" s="4" t="s">
        <v>31</v>
      </c>
      <c r="C731" s="4">
        <v>477.7968</v>
      </c>
      <c r="D731" s="4" t="s">
        <v>21</v>
      </c>
      <c r="E731" s="4" t="s">
        <v>70</v>
      </c>
      <c r="F731" s="4">
        <v>43.56</v>
      </c>
      <c r="G731" s="4">
        <v>38.53</v>
      </c>
      <c r="H731" s="4">
        <v>1.6295257581E10</v>
      </c>
      <c r="I731" s="4">
        <v>2.4012462997E10</v>
      </c>
      <c r="J731" s="5">
        <v>45450.10902777778</v>
      </c>
      <c r="K731" s="5">
        <v>45511.027083333334</v>
      </c>
      <c r="L731" s="4">
        <v>9.77</v>
      </c>
      <c r="M731" s="4">
        <v>4668.07</v>
      </c>
      <c r="N731" s="4">
        <v>4668.0</v>
      </c>
      <c r="O731" s="4">
        <v>387444.0</v>
      </c>
      <c r="P731" s="4">
        <f t="shared" si="1"/>
        <v>46.03333333</v>
      </c>
      <c r="Q731" s="4" t="str">
        <f t="shared" si="2"/>
        <v>Normal</v>
      </c>
      <c r="R731" s="1" t="str">
        <f t="shared" si="3"/>
        <v>Underutilized</v>
      </c>
      <c r="S731" s="4">
        <f t="shared" si="4"/>
        <v>37.53949011</v>
      </c>
      <c r="T731" s="1" t="str">
        <f t="shared" si="5"/>
        <v>High Cost</v>
      </c>
      <c r="U731" s="4">
        <f t="shared" si="6"/>
        <v>0.01059378904</v>
      </c>
    </row>
    <row r="732">
      <c r="A732" s="4" t="s">
        <v>1670</v>
      </c>
      <c r="B732" s="4" t="s">
        <v>36</v>
      </c>
      <c r="C732" s="4">
        <v>479.4566</v>
      </c>
      <c r="D732" s="4" t="s">
        <v>17</v>
      </c>
      <c r="E732" s="4" t="s">
        <v>32</v>
      </c>
      <c r="F732" s="4">
        <v>49.46</v>
      </c>
      <c r="G732" s="4">
        <v>31.14</v>
      </c>
      <c r="H732" s="4">
        <v>2.200590863E9</v>
      </c>
      <c r="I732" s="4">
        <v>5.869948955E9</v>
      </c>
      <c r="J732" s="5">
        <v>45572.74236111111</v>
      </c>
      <c r="K732" s="5">
        <v>45633.316666666666</v>
      </c>
      <c r="L732" s="4">
        <v>5.7</v>
      </c>
      <c r="M732" s="4">
        <v>2732.9</v>
      </c>
      <c r="N732" s="4">
        <v>2733.0</v>
      </c>
      <c r="O732" s="4">
        <v>226839.0</v>
      </c>
      <c r="P732" s="4">
        <f t="shared" si="1"/>
        <v>37.78333333</v>
      </c>
      <c r="Q732" s="4" t="str">
        <f t="shared" si="2"/>
        <v>Normal</v>
      </c>
      <c r="R732" s="1" t="str">
        <f t="shared" si="3"/>
        <v>Underutilized</v>
      </c>
      <c r="S732" s="4">
        <f t="shared" si="4"/>
        <v>7.516275922</v>
      </c>
      <c r="T732" s="1" t="str">
        <f t="shared" si="5"/>
        <v>High Cost</v>
      </c>
      <c r="U732" s="4">
        <f t="shared" si="6"/>
        <v>0.01776590445</v>
      </c>
    </row>
    <row r="733">
      <c r="A733" s="4" t="s">
        <v>1671</v>
      </c>
      <c r="B733" s="4" t="s">
        <v>26</v>
      </c>
      <c r="C733" s="4">
        <v>44.9267</v>
      </c>
      <c r="D733" s="4" t="s">
        <v>17</v>
      </c>
      <c r="E733" s="4" t="s">
        <v>27</v>
      </c>
      <c r="F733" s="4">
        <v>73.8</v>
      </c>
      <c r="G733" s="4">
        <v>27.76</v>
      </c>
      <c r="H733" s="4">
        <v>1.84067999E9</v>
      </c>
      <c r="I733" s="4">
        <v>5.778710739E9</v>
      </c>
      <c r="J733" s="5">
        <v>45633.82847222222</v>
      </c>
      <c r="K733" s="4" t="s">
        <v>1672</v>
      </c>
      <c r="L733" s="4">
        <v>6.49</v>
      </c>
      <c r="M733" s="4">
        <v>291.57</v>
      </c>
      <c r="N733" s="4">
        <v>292.0</v>
      </c>
      <c r="O733" s="4">
        <v>24236.0</v>
      </c>
      <c r="P733" s="4">
        <f t="shared" si="1"/>
        <v>88.2</v>
      </c>
      <c r="Q733" s="4" t="str">
        <f t="shared" si="2"/>
        <v>High</v>
      </c>
      <c r="R733" s="1" t="str">
        <f t="shared" si="3"/>
        <v>Underutilized</v>
      </c>
      <c r="S733" s="4">
        <f t="shared" si="4"/>
        <v>7.096110591</v>
      </c>
      <c r="T733" s="1" t="str">
        <f t="shared" si="5"/>
        <v>Normal Cost</v>
      </c>
      <c r="U733" s="4">
        <f t="shared" si="6"/>
        <v>0.2095230236</v>
      </c>
    </row>
    <row r="734">
      <c r="A734" s="4" t="s">
        <v>1673</v>
      </c>
      <c r="B734" s="4" t="s">
        <v>53</v>
      </c>
      <c r="C734" s="4">
        <v>766.1311</v>
      </c>
      <c r="D734" s="4" t="s">
        <v>17</v>
      </c>
      <c r="E734" s="4" t="s">
        <v>105</v>
      </c>
      <c r="F734" s="4">
        <v>30.35</v>
      </c>
      <c r="G734" s="4">
        <v>94.56</v>
      </c>
      <c r="H734" s="4">
        <v>3.6366480544E10</v>
      </c>
      <c r="I734" s="4">
        <v>4.0273228745E10</v>
      </c>
      <c r="J734" s="5">
        <v>45543.11597222222</v>
      </c>
      <c r="K734" s="4" t="s">
        <v>1314</v>
      </c>
      <c r="L734" s="4">
        <v>8.48</v>
      </c>
      <c r="M734" s="4">
        <v>6496.79</v>
      </c>
      <c r="N734" s="4">
        <v>6497.0</v>
      </c>
      <c r="O734" s="4">
        <v>539251.0</v>
      </c>
      <c r="P734" s="4">
        <f t="shared" si="1"/>
        <v>130.85</v>
      </c>
      <c r="Q734" s="4" t="str">
        <f t="shared" si="2"/>
        <v>Normal</v>
      </c>
      <c r="R734" s="1" t="str">
        <f t="shared" si="3"/>
        <v>High</v>
      </c>
      <c r="S734" s="4">
        <f t="shared" si="4"/>
        <v>71.37629137</v>
      </c>
      <c r="T734" s="1" t="str">
        <f t="shared" si="5"/>
        <v>High Cost</v>
      </c>
      <c r="U734" s="4">
        <f t="shared" si="6"/>
        <v>0.01158180513</v>
      </c>
    </row>
    <row r="735">
      <c r="A735" s="4" t="s">
        <v>1674</v>
      </c>
      <c r="B735" s="4" t="s">
        <v>53</v>
      </c>
      <c r="C735" s="4">
        <v>470.6748</v>
      </c>
      <c r="D735" s="4" t="s">
        <v>21</v>
      </c>
      <c r="E735" s="4" t="s">
        <v>54</v>
      </c>
      <c r="F735" s="4">
        <v>0.67</v>
      </c>
      <c r="G735" s="4">
        <v>93.53</v>
      </c>
      <c r="H735" s="4">
        <v>7.5117876119E10</v>
      </c>
      <c r="I735" s="4">
        <v>7.8971281541E10</v>
      </c>
      <c r="J735" s="5">
        <v>45299.205555555556</v>
      </c>
      <c r="K735" s="5">
        <v>45420.15625</v>
      </c>
      <c r="L735" s="4">
        <v>9.45</v>
      </c>
      <c r="M735" s="4">
        <v>4447.88</v>
      </c>
      <c r="N735" s="4">
        <v>4448.0</v>
      </c>
      <c r="O735" s="4">
        <v>369184.0</v>
      </c>
      <c r="P735" s="4">
        <f t="shared" si="1"/>
        <v>94.81666667</v>
      </c>
      <c r="Q735" s="4" t="str">
        <f t="shared" si="2"/>
        <v>Underutilized</v>
      </c>
      <c r="R735" s="1" t="str">
        <f t="shared" si="3"/>
        <v>High</v>
      </c>
      <c r="S735" s="4">
        <f t="shared" si="4"/>
        <v>143.506711</v>
      </c>
      <c r="T735" s="1" t="str">
        <f t="shared" si="5"/>
        <v>High Cost</v>
      </c>
      <c r="U735" s="4">
        <f t="shared" si="6"/>
        <v>0.012757866</v>
      </c>
    </row>
    <row r="736">
      <c r="A736" s="4" t="s">
        <v>1675</v>
      </c>
      <c r="B736" s="4" t="s">
        <v>128</v>
      </c>
      <c r="C736" s="4">
        <v>745.3387</v>
      </c>
      <c r="D736" s="4" t="s">
        <v>21</v>
      </c>
      <c r="E736" s="4" t="s">
        <v>105</v>
      </c>
      <c r="F736" s="4">
        <v>11.58</v>
      </c>
      <c r="G736" s="4">
        <v>44.74</v>
      </c>
      <c r="H736" s="4">
        <v>6.524190357E9</v>
      </c>
      <c r="I736" s="4">
        <v>1.4915097594E10</v>
      </c>
      <c r="J736" s="4" t="s">
        <v>1676</v>
      </c>
      <c r="K736" s="4" t="s">
        <v>1677</v>
      </c>
      <c r="L736" s="4">
        <v>9.25</v>
      </c>
      <c r="M736" s="4">
        <v>6894.38</v>
      </c>
      <c r="N736" s="4">
        <v>6894.0</v>
      </c>
      <c r="O736" s="4">
        <v>572202.0</v>
      </c>
      <c r="P736" s="4">
        <f t="shared" si="1"/>
        <v>49.03333333</v>
      </c>
      <c r="Q736" s="4" t="str">
        <f t="shared" si="2"/>
        <v>Underutilized</v>
      </c>
      <c r="R736" s="1" t="str">
        <f t="shared" si="3"/>
        <v>Normal</v>
      </c>
      <c r="S736" s="4">
        <f t="shared" si="4"/>
        <v>19.96689285</v>
      </c>
      <c r="T736" s="1" t="str">
        <f t="shared" si="5"/>
        <v>High Cost</v>
      </c>
      <c r="U736" s="4">
        <f t="shared" si="6"/>
        <v>0.004921338968</v>
      </c>
    </row>
    <row r="737">
      <c r="A737" s="4" t="s">
        <v>1678</v>
      </c>
      <c r="B737" s="4" t="s">
        <v>169</v>
      </c>
      <c r="C737" s="4">
        <v>377.7123</v>
      </c>
      <c r="D737" s="4" t="s">
        <v>21</v>
      </c>
      <c r="E737" s="4" t="s">
        <v>18</v>
      </c>
      <c r="F737" s="4">
        <v>50.22</v>
      </c>
      <c r="G737" s="4">
        <v>39.91</v>
      </c>
      <c r="H737" s="4">
        <v>2.624008651E10</v>
      </c>
      <c r="I737" s="4">
        <v>3.5351274293E10</v>
      </c>
      <c r="J737" s="4" t="s">
        <v>1102</v>
      </c>
      <c r="K737" s="4" t="s">
        <v>1679</v>
      </c>
      <c r="L737" s="4">
        <v>8.04</v>
      </c>
      <c r="M737" s="4">
        <v>3036.81</v>
      </c>
      <c r="N737" s="4">
        <v>3037.0</v>
      </c>
      <c r="O737" s="4">
        <v>252071.0</v>
      </c>
      <c r="P737" s="4">
        <f t="shared" si="1"/>
        <v>48.53333333</v>
      </c>
      <c r="Q737" s="4" t="str">
        <f t="shared" si="2"/>
        <v>Normal</v>
      </c>
      <c r="R737" s="1" t="str">
        <f t="shared" si="3"/>
        <v>Underutilized</v>
      </c>
      <c r="S737" s="4">
        <f t="shared" si="4"/>
        <v>57.36142472</v>
      </c>
      <c r="T737" s="1" t="str">
        <f t="shared" si="5"/>
        <v>High Cost</v>
      </c>
      <c r="U737" s="4">
        <f t="shared" si="6"/>
        <v>0.01787789948</v>
      </c>
    </row>
    <row r="738">
      <c r="A738" s="4" t="s">
        <v>1680</v>
      </c>
      <c r="B738" s="4" t="s">
        <v>62</v>
      </c>
      <c r="C738" s="4">
        <v>122.5333</v>
      </c>
      <c r="D738" s="4" t="s">
        <v>42</v>
      </c>
      <c r="E738" s="4" t="s">
        <v>37</v>
      </c>
      <c r="F738" s="4">
        <v>28.98</v>
      </c>
      <c r="G738" s="4">
        <v>27.72</v>
      </c>
      <c r="H738" s="4">
        <v>4.4940959229E10</v>
      </c>
      <c r="I738" s="4">
        <v>5.2781538229E10</v>
      </c>
      <c r="J738" s="4" t="s">
        <v>1681</v>
      </c>
      <c r="K738" s="4" t="s">
        <v>1682</v>
      </c>
      <c r="L738" s="4">
        <v>5.24</v>
      </c>
      <c r="M738" s="4">
        <v>642.07</v>
      </c>
      <c r="N738" s="4">
        <v>642.0</v>
      </c>
      <c r="O738" s="4">
        <v>53286.0</v>
      </c>
      <c r="P738" s="4">
        <f t="shared" si="1"/>
        <v>122.5333333</v>
      </c>
      <c r="Q738" s="4" t="str">
        <f t="shared" si="2"/>
        <v>Underutilized</v>
      </c>
      <c r="R738" s="1" t="str">
        <f t="shared" si="3"/>
        <v>Underutilized</v>
      </c>
      <c r="S738" s="4">
        <f t="shared" si="4"/>
        <v>91.01116793</v>
      </c>
      <c r="T738" s="1" t="str">
        <f t="shared" si="5"/>
        <v>Normal Cost</v>
      </c>
      <c r="U738" s="4">
        <f t="shared" si="6"/>
        <v>0.05320346808</v>
      </c>
    </row>
    <row r="739">
      <c r="A739" s="4" t="s">
        <v>1683</v>
      </c>
      <c r="B739" s="4" t="s">
        <v>36</v>
      </c>
      <c r="C739" s="4">
        <v>864.4102</v>
      </c>
      <c r="D739" s="4" t="s">
        <v>21</v>
      </c>
      <c r="E739" s="4" t="s">
        <v>58</v>
      </c>
      <c r="F739" s="4">
        <v>52.27</v>
      </c>
      <c r="G739" s="4">
        <v>85.56</v>
      </c>
      <c r="H739" s="4">
        <v>8.8170142617E10</v>
      </c>
      <c r="I739" s="4">
        <v>8.9904941045E10</v>
      </c>
      <c r="J739" s="4" t="s">
        <v>1684</v>
      </c>
      <c r="K739" s="5">
        <v>45300.32361111111</v>
      </c>
      <c r="L739" s="4">
        <v>2.05</v>
      </c>
      <c r="M739" s="4">
        <v>1772.04</v>
      </c>
      <c r="N739" s="4">
        <v>1772.0</v>
      </c>
      <c r="O739" s="4">
        <v>147076.0</v>
      </c>
      <c r="P739" s="4">
        <f t="shared" si="1"/>
        <v>130.2833333</v>
      </c>
      <c r="Q739" s="4" t="str">
        <f t="shared" si="2"/>
        <v>Normal</v>
      </c>
      <c r="R739" s="1" t="str">
        <f t="shared" si="3"/>
        <v>High</v>
      </c>
      <c r="S739" s="4">
        <f t="shared" si="4"/>
        <v>165.8453454</v>
      </c>
      <c r="T739" s="1" t="str">
        <f t="shared" si="5"/>
        <v>Normal Cost</v>
      </c>
      <c r="U739" s="4">
        <f t="shared" si="6"/>
        <v>0.04685672713</v>
      </c>
    </row>
    <row r="740">
      <c r="A740" s="4" t="s">
        <v>1685</v>
      </c>
      <c r="B740" s="4" t="s">
        <v>62</v>
      </c>
      <c r="C740" s="4">
        <v>51.5167</v>
      </c>
      <c r="D740" s="4" t="s">
        <v>42</v>
      </c>
      <c r="E740" s="4" t="s">
        <v>18</v>
      </c>
      <c r="F740" s="4">
        <v>5.71</v>
      </c>
      <c r="G740" s="4">
        <v>21.9</v>
      </c>
      <c r="H740" s="4">
        <v>3.2131523802E10</v>
      </c>
      <c r="I740" s="4">
        <v>3.7261477279E10</v>
      </c>
      <c r="J740" s="4" t="s">
        <v>1686</v>
      </c>
      <c r="K740" s="4" t="s">
        <v>1687</v>
      </c>
      <c r="L740" s="4">
        <v>3.3</v>
      </c>
      <c r="M740" s="4">
        <v>170.01</v>
      </c>
      <c r="N740" s="4">
        <v>170.0</v>
      </c>
      <c r="O740" s="4">
        <v>14110.0</v>
      </c>
      <c r="P740" s="4">
        <f t="shared" si="1"/>
        <v>51.51666667</v>
      </c>
      <c r="Q740" s="4" t="str">
        <f t="shared" si="2"/>
        <v>Underutilized</v>
      </c>
      <c r="R740" s="1" t="str">
        <f t="shared" si="3"/>
        <v>Underutilized</v>
      </c>
      <c r="S740" s="4">
        <f t="shared" si="4"/>
        <v>64.62726843</v>
      </c>
      <c r="T740" s="1" t="str">
        <f t="shared" si="5"/>
        <v>Normal Cost</v>
      </c>
      <c r="U740" s="4">
        <f t="shared" si="6"/>
        <v>0.09783841247</v>
      </c>
    </row>
    <row r="741">
      <c r="A741" s="4" t="s">
        <v>1688</v>
      </c>
      <c r="B741" s="4" t="s">
        <v>79</v>
      </c>
      <c r="C741" s="4">
        <v>304.946</v>
      </c>
      <c r="D741" s="4" t="s">
        <v>21</v>
      </c>
      <c r="E741" s="4" t="s">
        <v>22</v>
      </c>
      <c r="F741" s="4">
        <v>53.64</v>
      </c>
      <c r="G741" s="4">
        <v>27.09</v>
      </c>
      <c r="H741" s="4">
        <v>6.3037904388E10</v>
      </c>
      <c r="I741" s="4">
        <v>7.0624945076E10</v>
      </c>
      <c r="J741" s="5">
        <v>45329.33888888889</v>
      </c>
      <c r="K741" s="5">
        <v>45450.498611111114</v>
      </c>
      <c r="L741" s="4">
        <v>5.61</v>
      </c>
      <c r="M741" s="4">
        <v>1710.75</v>
      </c>
      <c r="N741" s="4">
        <v>1711.0</v>
      </c>
      <c r="O741" s="4">
        <v>142013.0</v>
      </c>
      <c r="P741" s="4">
        <f t="shared" si="1"/>
        <v>99.83333333</v>
      </c>
      <c r="Q741" s="4" t="str">
        <f t="shared" si="2"/>
        <v>Normal</v>
      </c>
      <c r="R741" s="1" t="str">
        <f t="shared" si="3"/>
        <v>Underutilized</v>
      </c>
      <c r="S741" s="4">
        <f t="shared" si="4"/>
        <v>124.4832291</v>
      </c>
      <c r="T741" s="1" t="str">
        <f t="shared" si="5"/>
        <v>Normal Cost</v>
      </c>
      <c r="U741" s="4">
        <f t="shared" si="6"/>
        <v>0.02842345419</v>
      </c>
    </row>
    <row r="742">
      <c r="A742" s="4" t="s">
        <v>1689</v>
      </c>
      <c r="B742" s="4" t="s">
        <v>128</v>
      </c>
      <c r="C742" s="4">
        <v>996.0188</v>
      </c>
      <c r="D742" s="4" t="s">
        <v>21</v>
      </c>
      <c r="E742" s="4" t="s">
        <v>74</v>
      </c>
      <c r="F742" s="4">
        <v>4.19</v>
      </c>
      <c r="G742" s="4">
        <v>45.77</v>
      </c>
      <c r="H742" s="4">
        <v>8.896119203E9</v>
      </c>
      <c r="I742" s="4">
        <v>1.3158550787E10</v>
      </c>
      <c r="J742" s="4" t="s">
        <v>1690</v>
      </c>
      <c r="K742" s="4" t="s">
        <v>1691</v>
      </c>
      <c r="L742" s="4">
        <v>4.11</v>
      </c>
      <c r="M742" s="4">
        <v>4093.64</v>
      </c>
      <c r="N742" s="4">
        <v>4094.0</v>
      </c>
      <c r="O742" s="4">
        <v>339802.0</v>
      </c>
      <c r="P742" s="4">
        <f t="shared" si="1"/>
        <v>80.33333333</v>
      </c>
      <c r="Q742" s="4" t="str">
        <f t="shared" si="2"/>
        <v>Underutilized</v>
      </c>
      <c r="R742" s="1" t="str">
        <f t="shared" si="3"/>
        <v>Normal</v>
      </c>
      <c r="S742" s="4">
        <f t="shared" si="4"/>
        <v>20.54001204</v>
      </c>
      <c r="T742" s="1" t="str">
        <f t="shared" si="5"/>
        <v>High Cost</v>
      </c>
      <c r="U742" s="4">
        <f t="shared" si="6"/>
        <v>0.007351339898</v>
      </c>
    </row>
    <row r="743">
      <c r="A743" s="4" t="s">
        <v>1692</v>
      </c>
      <c r="B743" s="4" t="s">
        <v>169</v>
      </c>
      <c r="C743" s="4">
        <v>556.7204</v>
      </c>
      <c r="D743" s="4" t="s">
        <v>17</v>
      </c>
      <c r="E743" s="4" t="s">
        <v>74</v>
      </c>
      <c r="F743" s="4">
        <v>83.25</v>
      </c>
      <c r="G743" s="4">
        <v>23.02</v>
      </c>
      <c r="H743" s="4">
        <v>6.2355715755E10</v>
      </c>
      <c r="I743" s="4">
        <v>6.3884545299E10</v>
      </c>
      <c r="J743" s="4" t="s">
        <v>1693</v>
      </c>
      <c r="K743" s="5">
        <v>45360.01458333333</v>
      </c>
      <c r="L743" s="4">
        <v>6.5</v>
      </c>
      <c r="M743" s="4">
        <v>3618.68</v>
      </c>
      <c r="N743" s="4">
        <v>3619.0</v>
      </c>
      <c r="O743" s="4">
        <v>300377.0</v>
      </c>
      <c r="P743" s="4">
        <f t="shared" si="1"/>
        <v>106.8666667</v>
      </c>
      <c r="Q743" s="4" t="str">
        <f t="shared" si="2"/>
        <v>High</v>
      </c>
      <c r="R743" s="1" t="str">
        <f t="shared" si="3"/>
        <v>Underutilized</v>
      </c>
      <c r="S743" s="4">
        <f t="shared" si="4"/>
        <v>117.5704049</v>
      </c>
      <c r="T743" s="1" t="str">
        <f t="shared" si="5"/>
        <v>High Cost</v>
      </c>
      <c r="U743" s="4">
        <f t="shared" si="6"/>
        <v>0.01768943694</v>
      </c>
    </row>
    <row r="744">
      <c r="A744" s="4" t="s">
        <v>1694</v>
      </c>
      <c r="B744" s="4" t="s">
        <v>83</v>
      </c>
      <c r="C744" s="4">
        <v>496.1508</v>
      </c>
      <c r="D744" s="4" t="s">
        <v>17</v>
      </c>
      <c r="E744" s="4" t="s">
        <v>70</v>
      </c>
      <c r="F744" s="4">
        <v>55.0</v>
      </c>
      <c r="G744" s="4">
        <v>38.71</v>
      </c>
      <c r="H744" s="4">
        <v>4.79931044E9</v>
      </c>
      <c r="I744" s="4">
        <v>9.647490183E9</v>
      </c>
      <c r="J744" s="5">
        <v>45481.84652777778</v>
      </c>
      <c r="K744" s="4" t="s">
        <v>1695</v>
      </c>
      <c r="L744" s="4">
        <v>5.87</v>
      </c>
      <c r="M744" s="4">
        <v>2912.41</v>
      </c>
      <c r="N744" s="4">
        <v>2912.0</v>
      </c>
      <c r="O744" s="4">
        <v>241696.0</v>
      </c>
      <c r="P744" s="4">
        <f t="shared" si="1"/>
        <v>132.1333333</v>
      </c>
      <c r="Q744" s="4" t="str">
        <f t="shared" si="2"/>
        <v>Normal</v>
      </c>
      <c r="R744" s="1" t="str">
        <f t="shared" si="3"/>
        <v>Underutilized</v>
      </c>
      <c r="S744" s="4">
        <f t="shared" si="4"/>
        <v>13.45463155</v>
      </c>
      <c r="T744" s="1" t="str">
        <f t="shared" si="5"/>
        <v>High Cost</v>
      </c>
      <c r="U744" s="4">
        <f t="shared" si="6"/>
        <v>0.01938592281</v>
      </c>
    </row>
    <row r="745">
      <c r="A745" s="4" t="s">
        <v>1696</v>
      </c>
      <c r="B745" s="4" t="s">
        <v>57</v>
      </c>
      <c r="C745" s="4">
        <v>10.5402</v>
      </c>
      <c r="D745" s="4" t="s">
        <v>17</v>
      </c>
      <c r="E745" s="4" t="s">
        <v>32</v>
      </c>
      <c r="F745" s="4">
        <v>84.79</v>
      </c>
      <c r="G745" s="4">
        <v>69.28</v>
      </c>
      <c r="H745" s="4">
        <v>6.183948417E9</v>
      </c>
      <c r="I745" s="4">
        <v>1.2748356367E10</v>
      </c>
      <c r="J745" s="5">
        <v>45358.32013888889</v>
      </c>
      <c r="K745" s="5">
        <v>45450.25625</v>
      </c>
      <c r="L745" s="4">
        <v>1.32</v>
      </c>
      <c r="M745" s="4">
        <v>13.91</v>
      </c>
      <c r="N745" s="4">
        <v>14.0</v>
      </c>
      <c r="O745" s="4">
        <v>1162.0</v>
      </c>
      <c r="P745" s="4">
        <f t="shared" si="1"/>
        <v>70.46666667</v>
      </c>
      <c r="Q745" s="4" t="str">
        <f t="shared" si="2"/>
        <v>High</v>
      </c>
      <c r="R745" s="1" t="str">
        <f t="shared" si="3"/>
        <v>Normal</v>
      </c>
      <c r="S745" s="4">
        <f t="shared" si="4"/>
        <v>17.63208283</v>
      </c>
      <c r="T745" s="1" t="str">
        <f t="shared" si="5"/>
        <v>Normal Cost</v>
      </c>
      <c r="U745" s="4">
        <f t="shared" si="6"/>
        <v>6.629518072</v>
      </c>
    </row>
    <row r="746">
      <c r="A746" s="4" t="s">
        <v>1697</v>
      </c>
      <c r="B746" s="4" t="s">
        <v>166</v>
      </c>
      <c r="C746" s="4">
        <v>807.1147</v>
      </c>
      <c r="D746" s="4" t="s">
        <v>17</v>
      </c>
      <c r="E746" s="4" t="s">
        <v>18</v>
      </c>
      <c r="F746" s="4">
        <v>7.5</v>
      </c>
      <c r="G746" s="4">
        <v>81.05</v>
      </c>
      <c r="H746" s="4">
        <v>4.4721659132E10</v>
      </c>
      <c r="I746" s="4">
        <v>4.8929081036E10</v>
      </c>
      <c r="J746" s="5">
        <v>45634.510416666664</v>
      </c>
      <c r="K746" s="4" t="s">
        <v>1698</v>
      </c>
      <c r="L746" s="4">
        <v>8.39</v>
      </c>
      <c r="M746" s="4">
        <v>6771.69</v>
      </c>
      <c r="N746" s="4">
        <v>6772.0</v>
      </c>
      <c r="O746" s="4">
        <v>562076.0</v>
      </c>
      <c r="P746" s="4">
        <f t="shared" si="1"/>
        <v>52.56666667</v>
      </c>
      <c r="Q746" s="4" t="str">
        <f t="shared" si="2"/>
        <v>Underutilized</v>
      </c>
      <c r="R746" s="1" t="str">
        <f t="shared" si="3"/>
        <v>High</v>
      </c>
      <c r="S746" s="4">
        <f t="shared" si="4"/>
        <v>87.21904845</v>
      </c>
      <c r="T746" s="1" t="str">
        <f t="shared" si="5"/>
        <v>High Cost</v>
      </c>
      <c r="U746" s="4">
        <f t="shared" si="6"/>
        <v>0.007877048655</v>
      </c>
    </row>
    <row r="747">
      <c r="A747" s="4" t="s">
        <v>1699</v>
      </c>
      <c r="B747" s="4" t="s">
        <v>66</v>
      </c>
      <c r="C747" s="4">
        <v>421.5073</v>
      </c>
      <c r="D747" s="4" t="s">
        <v>21</v>
      </c>
      <c r="E747" s="4" t="s">
        <v>18</v>
      </c>
      <c r="F747" s="4">
        <v>55.6</v>
      </c>
      <c r="G747" s="4">
        <v>58.23</v>
      </c>
      <c r="H747" s="4">
        <v>7.6446416469E10</v>
      </c>
      <c r="I747" s="4">
        <v>7.9000523255E10</v>
      </c>
      <c r="J747" s="5">
        <v>45634.73263888889</v>
      </c>
      <c r="K747" s="4" t="s">
        <v>1700</v>
      </c>
      <c r="L747" s="4">
        <v>6.55</v>
      </c>
      <c r="M747" s="4">
        <v>2760.87</v>
      </c>
      <c r="N747" s="4">
        <v>2761.0</v>
      </c>
      <c r="O747" s="4">
        <v>229163.0</v>
      </c>
      <c r="P747" s="4">
        <f t="shared" si="1"/>
        <v>116.3333333</v>
      </c>
      <c r="Q747" s="4" t="str">
        <f t="shared" si="2"/>
        <v>Normal</v>
      </c>
      <c r="R747" s="1" t="str">
        <f t="shared" si="3"/>
        <v>Normal</v>
      </c>
      <c r="S747" s="4">
        <f t="shared" si="4"/>
        <v>144.7712441</v>
      </c>
      <c r="T747" s="1" t="str">
        <f t="shared" si="5"/>
        <v>High Cost</v>
      </c>
      <c r="U747" s="4">
        <f t="shared" si="6"/>
        <v>0.02483603374</v>
      </c>
    </row>
    <row r="748">
      <c r="A748" s="4" t="s">
        <v>1701</v>
      </c>
      <c r="B748" s="4" t="s">
        <v>183</v>
      </c>
      <c r="C748" s="4">
        <v>850.1416</v>
      </c>
      <c r="D748" s="4" t="s">
        <v>17</v>
      </c>
      <c r="E748" s="4" t="s">
        <v>18</v>
      </c>
      <c r="F748" s="4">
        <v>69.25</v>
      </c>
      <c r="G748" s="4">
        <v>79.97</v>
      </c>
      <c r="H748" s="4">
        <v>9.9837928325E10</v>
      </c>
      <c r="I748" s="6">
        <v>1.07272E11</v>
      </c>
      <c r="J748" s="5">
        <v>45633.459027777775</v>
      </c>
      <c r="K748" s="4" t="s">
        <v>1702</v>
      </c>
      <c r="L748" s="4">
        <v>8.23</v>
      </c>
      <c r="M748" s="4">
        <v>6996.67</v>
      </c>
      <c r="N748" s="4">
        <v>6997.0</v>
      </c>
      <c r="O748" s="4">
        <v>580751.0</v>
      </c>
      <c r="P748" s="4">
        <f t="shared" si="1"/>
        <v>63</v>
      </c>
      <c r="Q748" s="4" t="str">
        <f t="shared" si="2"/>
        <v>Normal</v>
      </c>
      <c r="R748" s="1" t="str">
        <f t="shared" si="3"/>
        <v>High</v>
      </c>
      <c r="S748" s="6">
        <f t="shared" si="4"/>
        <v>192.8861517</v>
      </c>
      <c r="T748" s="1" t="str">
        <f t="shared" si="5"/>
        <v>High Cost</v>
      </c>
      <c r="U748" s="4">
        <f t="shared" si="6"/>
        <v>0.01284715825</v>
      </c>
    </row>
    <row r="749">
      <c r="A749" s="4" t="s">
        <v>1703</v>
      </c>
      <c r="B749" s="4" t="s">
        <v>122</v>
      </c>
      <c r="C749" s="4">
        <v>169.1456</v>
      </c>
      <c r="D749" s="4" t="s">
        <v>21</v>
      </c>
      <c r="E749" s="4" t="s">
        <v>74</v>
      </c>
      <c r="F749" s="4">
        <v>62.75</v>
      </c>
      <c r="G749" s="4">
        <v>96.88</v>
      </c>
      <c r="H749" s="4">
        <v>5.6748191227E10</v>
      </c>
      <c r="I749" s="4">
        <v>6.2322743245E10</v>
      </c>
      <c r="J749" s="4" t="s">
        <v>1704</v>
      </c>
      <c r="K749" s="4" t="s">
        <v>1705</v>
      </c>
      <c r="L749" s="4">
        <v>1.85</v>
      </c>
      <c r="M749" s="4">
        <v>312.92</v>
      </c>
      <c r="N749" s="4">
        <v>313.0</v>
      </c>
      <c r="O749" s="4">
        <v>25979.0</v>
      </c>
      <c r="P749" s="4">
        <f t="shared" si="1"/>
        <v>116.9666667</v>
      </c>
      <c r="Q749" s="4" t="str">
        <f t="shared" si="2"/>
        <v>Normal</v>
      </c>
      <c r="R749" s="1" t="str">
        <f t="shared" si="3"/>
        <v>High</v>
      </c>
      <c r="S749" s="4">
        <f t="shared" si="4"/>
        <v>110.8934493</v>
      </c>
      <c r="T749" s="1" t="str">
        <f t="shared" si="5"/>
        <v>Normal Cost</v>
      </c>
      <c r="U749" s="4">
        <f t="shared" si="6"/>
        <v>0.3072289157</v>
      </c>
    </row>
    <row r="750">
      <c r="A750" s="4" t="s">
        <v>1706</v>
      </c>
      <c r="B750" s="4" t="s">
        <v>41</v>
      </c>
      <c r="C750" s="4">
        <v>47.05</v>
      </c>
      <c r="D750" s="4" t="s">
        <v>42</v>
      </c>
      <c r="E750" s="4" t="s">
        <v>27</v>
      </c>
      <c r="F750" s="4">
        <v>98.37</v>
      </c>
      <c r="G750" s="4">
        <v>72.23</v>
      </c>
      <c r="H750" s="4">
        <v>4.7622186957E10</v>
      </c>
      <c r="I750" s="4">
        <v>5.1931350562E10</v>
      </c>
      <c r="J750" s="4" t="s">
        <v>1707</v>
      </c>
      <c r="K750" s="4" t="s">
        <v>1708</v>
      </c>
      <c r="L750" s="4">
        <v>1.82</v>
      </c>
      <c r="M750" s="4">
        <v>85.63</v>
      </c>
      <c r="N750" s="4">
        <v>86.0</v>
      </c>
      <c r="O750" s="4">
        <v>7138.0</v>
      </c>
      <c r="P750" s="4">
        <f t="shared" si="1"/>
        <v>47.05</v>
      </c>
      <c r="Q750" s="4" t="str">
        <f t="shared" si="2"/>
        <v>High</v>
      </c>
      <c r="R750" s="1" t="str">
        <f t="shared" si="3"/>
        <v>Normal</v>
      </c>
      <c r="S750" s="4">
        <f t="shared" si="4"/>
        <v>92.71645687</v>
      </c>
      <c r="T750" s="1" t="str">
        <f t="shared" si="5"/>
        <v>Normal Cost</v>
      </c>
      <c r="U750" s="4">
        <f t="shared" si="6"/>
        <v>1.195012609</v>
      </c>
    </row>
    <row r="751">
      <c r="A751" s="4" t="s">
        <v>1709</v>
      </c>
      <c r="B751" s="4" t="s">
        <v>36</v>
      </c>
      <c r="C751" s="4">
        <v>365.9219</v>
      </c>
      <c r="D751" s="4" t="s">
        <v>17</v>
      </c>
      <c r="E751" s="4" t="s">
        <v>27</v>
      </c>
      <c r="F751" s="4">
        <v>95.56</v>
      </c>
      <c r="G751" s="4">
        <v>72.32</v>
      </c>
      <c r="H751" s="4">
        <v>6.526956101E10</v>
      </c>
      <c r="I751" s="4">
        <v>7.306413609E10</v>
      </c>
      <c r="J751" s="5">
        <v>45603.811111111114</v>
      </c>
      <c r="K751" s="4" t="s">
        <v>1710</v>
      </c>
      <c r="L751" s="4">
        <v>7.23</v>
      </c>
      <c r="M751" s="4">
        <v>2645.62</v>
      </c>
      <c r="N751" s="4">
        <v>2646.0</v>
      </c>
      <c r="O751" s="4">
        <v>219618.0</v>
      </c>
      <c r="P751" s="4">
        <f t="shared" si="1"/>
        <v>59.13333333</v>
      </c>
      <c r="Q751" s="4" t="str">
        <f t="shared" si="2"/>
        <v>High</v>
      </c>
      <c r="R751" s="1" t="str">
        <f t="shared" si="3"/>
        <v>Normal</v>
      </c>
      <c r="S751" s="4">
        <f t="shared" si="4"/>
        <v>128.8332949</v>
      </c>
      <c r="T751" s="1" t="str">
        <f t="shared" si="5"/>
        <v>High Cost</v>
      </c>
      <c r="U751" s="4">
        <f t="shared" si="6"/>
        <v>0.03822091085</v>
      </c>
    </row>
    <row r="752">
      <c r="A752" s="4" t="s">
        <v>1711</v>
      </c>
      <c r="B752" s="4" t="s">
        <v>16</v>
      </c>
      <c r="C752" s="4">
        <v>249.2844</v>
      </c>
      <c r="D752" s="4" t="s">
        <v>17</v>
      </c>
      <c r="E752" s="4" t="s">
        <v>54</v>
      </c>
      <c r="F752" s="4">
        <v>45.3</v>
      </c>
      <c r="G752" s="4">
        <v>34.28</v>
      </c>
      <c r="H752" s="4">
        <v>1.5861339674E10</v>
      </c>
      <c r="I752" s="4">
        <v>1.979982395E10</v>
      </c>
      <c r="J752" s="5">
        <v>45572.16527777778</v>
      </c>
      <c r="K752" s="5">
        <v>45603.68263888889</v>
      </c>
      <c r="L752" s="4">
        <v>3.53</v>
      </c>
      <c r="M752" s="4">
        <v>879.97</v>
      </c>
      <c r="N752" s="4">
        <v>880.0</v>
      </c>
      <c r="O752" s="4">
        <v>73040.0</v>
      </c>
      <c r="P752" s="4">
        <f t="shared" si="1"/>
        <v>36.41666667</v>
      </c>
      <c r="Q752" s="4" t="str">
        <f t="shared" si="2"/>
        <v>Normal</v>
      </c>
      <c r="R752" s="1" t="str">
        <f t="shared" si="3"/>
        <v>Underutilized</v>
      </c>
      <c r="S752" s="4">
        <f t="shared" si="4"/>
        <v>33.21204672</v>
      </c>
      <c r="T752" s="1" t="str">
        <f t="shared" si="5"/>
        <v>Normal Cost</v>
      </c>
      <c r="U752" s="4">
        <f t="shared" si="6"/>
        <v>0.0544769989</v>
      </c>
    </row>
    <row r="753">
      <c r="A753" s="4" t="s">
        <v>1712</v>
      </c>
      <c r="B753" s="4" t="s">
        <v>183</v>
      </c>
      <c r="C753" s="4">
        <v>797.4945</v>
      </c>
      <c r="D753" s="4" t="s">
        <v>17</v>
      </c>
      <c r="E753" s="4" t="s">
        <v>18</v>
      </c>
      <c r="F753" s="4">
        <v>65.91</v>
      </c>
      <c r="G753" s="4">
        <v>16.06</v>
      </c>
      <c r="H753" s="4">
        <v>9.2687205187E10</v>
      </c>
      <c r="I753" s="4">
        <v>9.7209143636E10</v>
      </c>
      <c r="J753" s="5">
        <v>45572.777083333334</v>
      </c>
      <c r="K753" s="4" t="s">
        <v>1713</v>
      </c>
      <c r="L753" s="4">
        <v>7.3</v>
      </c>
      <c r="M753" s="4">
        <v>5821.71</v>
      </c>
      <c r="N753" s="4">
        <v>5822.0</v>
      </c>
      <c r="O753" s="4">
        <v>483226.0</v>
      </c>
      <c r="P753" s="4">
        <f t="shared" si="1"/>
        <v>67.05</v>
      </c>
      <c r="Q753" s="4" t="str">
        <f t="shared" si="2"/>
        <v>Normal</v>
      </c>
      <c r="R753" s="1" t="str">
        <f t="shared" si="3"/>
        <v>Underutilized</v>
      </c>
      <c r="S753" s="4">
        <f t="shared" si="4"/>
        <v>176.8547565</v>
      </c>
      <c r="T753" s="1" t="str">
        <f t="shared" si="5"/>
        <v>High Cost</v>
      </c>
      <c r="U753" s="4">
        <f t="shared" si="6"/>
        <v>0.008481538659</v>
      </c>
    </row>
    <row r="754">
      <c r="A754" s="4" t="s">
        <v>1714</v>
      </c>
      <c r="B754" s="4" t="s">
        <v>46</v>
      </c>
      <c r="C754" s="4">
        <v>226.5132</v>
      </c>
      <c r="D754" s="4" t="s">
        <v>17</v>
      </c>
      <c r="E754" s="4" t="s">
        <v>32</v>
      </c>
      <c r="F754" s="4">
        <v>54.61</v>
      </c>
      <c r="G754" s="4">
        <v>56.86</v>
      </c>
      <c r="H754" s="4">
        <v>6.3126220369E10</v>
      </c>
      <c r="I754" s="4">
        <v>6.7059945319E10</v>
      </c>
      <c r="J754" s="5">
        <v>45573.2</v>
      </c>
      <c r="K754" s="4" t="s">
        <v>1715</v>
      </c>
      <c r="L754" s="4">
        <v>5.25</v>
      </c>
      <c r="M754" s="4">
        <v>1189.19</v>
      </c>
      <c r="N754" s="4">
        <v>1189.0</v>
      </c>
      <c r="O754" s="4">
        <v>98687.0</v>
      </c>
      <c r="P754" s="4">
        <f t="shared" si="1"/>
        <v>126.95</v>
      </c>
      <c r="Q754" s="4" t="str">
        <f t="shared" si="2"/>
        <v>Normal</v>
      </c>
      <c r="R754" s="1" t="str">
        <f t="shared" si="3"/>
        <v>Normal</v>
      </c>
      <c r="S754" s="4">
        <f t="shared" si="4"/>
        <v>121.245315</v>
      </c>
      <c r="T754" s="1" t="str">
        <f t="shared" si="5"/>
        <v>Normal Cost</v>
      </c>
      <c r="U754" s="4">
        <f t="shared" si="6"/>
        <v>0.05647653693</v>
      </c>
    </row>
    <row r="755">
      <c r="A755" s="4" t="s">
        <v>1716</v>
      </c>
      <c r="B755" s="4" t="s">
        <v>36</v>
      </c>
      <c r="C755" s="4">
        <v>87.8738</v>
      </c>
      <c r="D755" s="4" t="s">
        <v>21</v>
      </c>
      <c r="E755" s="4" t="s">
        <v>22</v>
      </c>
      <c r="F755" s="4">
        <v>97.45</v>
      </c>
      <c r="G755" s="4">
        <v>80.05</v>
      </c>
      <c r="H755" s="4">
        <v>8.9316801399E10</v>
      </c>
      <c r="I755" s="4">
        <v>8.9912632274E10</v>
      </c>
      <c r="J755" s="5">
        <v>45329.4625</v>
      </c>
      <c r="K755" s="5">
        <v>45511.1125</v>
      </c>
      <c r="L755" s="4">
        <v>2.5</v>
      </c>
      <c r="M755" s="4">
        <v>219.68</v>
      </c>
      <c r="N755" s="4">
        <v>220.0</v>
      </c>
      <c r="O755" s="4">
        <v>18260.0</v>
      </c>
      <c r="P755" s="4">
        <f t="shared" si="1"/>
        <v>135.6</v>
      </c>
      <c r="Q755" s="4" t="str">
        <f t="shared" si="2"/>
        <v>High</v>
      </c>
      <c r="R755" s="1" t="str">
        <f t="shared" si="3"/>
        <v>High</v>
      </c>
      <c r="S755" s="4">
        <f t="shared" si="4"/>
        <v>166.9204176</v>
      </c>
      <c r="T755" s="1" t="str">
        <f t="shared" si="5"/>
        <v>Normal Cost</v>
      </c>
      <c r="U755" s="4">
        <f t="shared" si="6"/>
        <v>0.4860350493</v>
      </c>
    </row>
    <row r="756">
      <c r="A756" s="4" t="s">
        <v>1717</v>
      </c>
      <c r="B756" s="4" t="s">
        <v>112</v>
      </c>
      <c r="C756" s="4">
        <v>143.3</v>
      </c>
      <c r="D756" s="4" t="s">
        <v>42</v>
      </c>
      <c r="E756" s="4" t="s">
        <v>22</v>
      </c>
      <c r="F756" s="4">
        <v>80.47</v>
      </c>
      <c r="G756" s="4">
        <v>96.47</v>
      </c>
      <c r="H756" s="4">
        <v>4.2366270242E10</v>
      </c>
      <c r="I756" s="4">
        <v>4.8866602335E10</v>
      </c>
      <c r="J756" s="4" t="s">
        <v>1718</v>
      </c>
      <c r="K756" s="4" t="s">
        <v>1719</v>
      </c>
      <c r="L756" s="4">
        <v>4.37</v>
      </c>
      <c r="M756" s="4">
        <v>626.22</v>
      </c>
      <c r="N756" s="4">
        <v>626.0</v>
      </c>
      <c r="O756" s="4">
        <v>51958.0</v>
      </c>
      <c r="P756" s="4">
        <f t="shared" si="1"/>
        <v>143.3</v>
      </c>
      <c r="Q756" s="4" t="str">
        <f t="shared" si="2"/>
        <v>High</v>
      </c>
      <c r="R756" s="1" t="str">
        <f t="shared" si="3"/>
        <v>High</v>
      </c>
      <c r="S756" s="4">
        <f t="shared" si="4"/>
        <v>84.96723378</v>
      </c>
      <c r="T756" s="1" t="str">
        <f t="shared" si="5"/>
        <v>Normal Cost</v>
      </c>
      <c r="U756" s="4">
        <f t="shared" si="6"/>
        <v>0.1702721429</v>
      </c>
    </row>
    <row r="757">
      <c r="A757" s="4" t="s">
        <v>1720</v>
      </c>
      <c r="B757" s="4" t="s">
        <v>139</v>
      </c>
      <c r="C757" s="4">
        <v>25.5</v>
      </c>
      <c r="D757" s="4" t="s">
        <v>42</v>
      </c>
      <c r="E757" s="4" t="s">
        <v>37</v>
      </c>
      <c r="F757" s="4">
        <v>62.01</v>
      </c>
      <c r="G757" s="4">
        <v>87.4</v>
      </c>
      <c r="H757" s="4">
        <v>2.8455636699E10</v>
      </c>
      <c r="I757" s="4">
        <v>3.6029218777E10</v>
      </c>
      <c r="J757" s="5">
        <v>45543.325</v>
      </c>
      <c r="K757" s="5">
        <v>45573.3875</v>
      </c>
      <c r="L757" s="4">
        <v>4.24</v>
      </c>
      <c r="M757" s="4">
        <v>108.12</v>
      </c>
      <c r="N757" s="4">
        <v>108.0</v>
      </c>
      <c r="O757" s="4">
        <v>8964.0</v>
      </c>
      <c r="P757" s="4">
        <f t="shared" si="1"/>
        <v>25.5</v>
      </c>
      <c r="Q757" s="4" t="str">
        <f t="shared" si="2"/>
        <v>Normal</v>
      </c>
      <c r="R757" s="1" t="str">
        <f t="shared" si="3"/>
        <v>High</v>
      </c>
      <c r="S757" s="4">
        <f t="shared" si="4"/>
        <v>60.05620163</v>
      </c>
      <c r="T757" s="1" t="str">
        <f t="shared" si="5"/>
        <v>Normal Cost</v>
      </c>
      <c r="U757" s="4">
        <f t="shared" si="6"/>
        <v>0.833389112</v>
      </c>
    </row>
    <row r="758">
      <c r="A758" s="4" t="s">
        <v>1721</v>
      </c>
      <c r="B758" s="4" t="s">
        <v>41</v>
      </c>
      <c r="C758" s="4">
        <v>80.2667</v>
      </c>
      <c r="D758" s="4" t="s">
        <v>42</v>
      </c>
      <c r="E758" s="4" t="s">
        <v>22</v>
      </c>
      <c r="F758" s="4">
        <v>31.15</v>
      </c>
      <c r="G758" s="4">
        <v>9.74</v>
      </c>
      <c r="H758" s="4">
        <v>9.3211993022E10</v>
      </c>
      <c r="I758" s="6">
        <v>1.01672E11</v>
      </c>
      <c r="J758" s="5">
        <v>45450.15902777778</v>
      </c>
      <c r="K758" s="5">
        <v>45542.50347222222</v>
      </c>
      <c r="L758" s="4">
        <v>7.62</v>
      </c>
      <c r="M758" s="4">
        <v>611.63</v>
      </c>
      <c r="N758" s="4">
        <v>612.0</v>
      </c>
      <c r="O758" s="4">
        <v>50796.0</v>
      </c>
      <c r="P758" s="4">
        <f t="shared" si="1"/>
        <v>80.26666667</v>
      </c>
      <c r="Q758" s="4" t="str">
        <f t="shared" si="2"/>
        <v>Normal</v>
      </c>
      <c r="R758" s="1" t="str">
        <f t="shared" si="3"/>
        <v>Underutilized</v>
      </c>
      <c r="S758" s="6">
        <f t="shared" si="4"/>
        <v>181.4998621</v>
      </c>
      <c r="T758" s="1" t="str">
        <f t="shared" si="5"/>
        <v>Normal Cost</v>
      </c>
      <c r="U758" s="4">
        <f t="shared" si="6"/>
        <v>0.04024923222</v>
      </c>
    </row>
    <row r="759">
      <c r="A759" s="4" t="s">
        <v>1722</v>
      </c>
      <c r="B759" s="4" t="s">
        <v>79</v>
      </c>
      <c r="C759" s="4">
        <v>417.9798</v>
      </c>
      <c r="D759" s="4" t="s">
        <v>17</v>
      </c>
      <c r="E759" s="4" t="s">
        <v>27</v>
      </c>
      <c r="F759" s="4">
        <v>14.52</v>
      </c>
      <c r="G759" s="4">
        <v>59.68</v>
      </c>
      <c r="H759" s="4">
        <v>8.6429005279E10</v>
      </c>
      <c r="I759" s="4">
        <v>9.4562441355E10</v>
      </c>
      <c r="J759" s="4" t="s">
        <v>1723</v>
      </c>
      <c r="K759" s="4" t="s">
        <v>1724</v>
      </c>
      <c r="L759" s="4">
        <v>9.82</v>
      </c>
      <c r="M759" s="4">
        <v>4104.56</v>
      </c>
      <c r="N759" s="4">
        <v>4105.0</v>
      </c>
      <c r="O759" s="4">
        <v>340715.0</v>
      </c>
      <c r="P759" s="4">
        <f t="shared" si="1"/>
        <v>115.5666667</v>
      </c>
      <c r="Q759" s="4" t="str">
        <f t="shared" si="2"/>
        <v>Underutilized</v>
      </c>
      <c r="R759" s="1" t="str">
        <f t="shared" si="3"/>
        <v>Normal</v>
      </c>
      <c r="S759" s="4">
        <f t="shared" si="4"/>
        <v>168.5614201</v>
      </c>
      <c r="T759" s="1" t="str">
        <f t="shared" si="5"/>
        <v>High Cost</v>
      </c>
      <c r="U759" s="4">
        <f t="shared" si="6"/>
        <v>0.01088886606</v>
      </c>
    </row>
    <row r="760">
      <c r="A760" s="4" t="s">
        <v>1725</v>
      </c>
      <c r="B760" s="4" t="s">
        <v>166</v>
      </c>
      <c r="C760" s="4">
        <v>438.1467</v>
      </c>
      <c r="D760" s="4" t="s">
        <v>17</v>
      </c>
      <c r="E760" s="4" t="s">
        <v>74</v>
      </c>
      <c r="F760" s="4">
        <v>80.25</v>
      </c>
      <c r="G760" s="4">
        <v>53.74</v>
      </c>
      <c r="H760" s="4">
        <v>6.6205049163E10</v>
      </c>
      <c r="I760" s="4">
        <v>7.5089217569E10</v>
      </c>
      <c r="J760" s="5">
        <v>45573.009722222225</v>
      </c>
      <c r="K760" s="4" t="s">
        <v>1726</v>
      </c>
      <c r="L760" s="4">
        <v>2.69</v>
      </c>
      <c r="M760" s="4">
        <v>1178.61</v>
      </c>
      <c r="N760" s="4">
        <v>1179.0</v>
      </c>
      <c r="O760" s="4">
        <v>97857.0</v>
      </c>
      <c r="P760" s="4">
        <f t="shared" si="1"/>
        <v>95.76666667</v>
      </c>
      <c r="Q760" s="4" t="str">
        <f t="shared" si="2"/>
        <v>High</v>
      </c>
      <c r="R760" s="1" t="str">
        <f t="shared" si="3"/>
        <v>Normal</v>
      </c>
      <c r="S760" s="4">
        <f t="shared" si="4"/>
        <v>131.5905403</v>
      </c>
      <c r="T760" s="1" t="str">
        <f t="shared" si="5"/>
        <v>Normal Cost</v>
      </c>
      <c r="U760" s="4">
        <f t="shared" si="6"/>
        <v>0.06846214374</v>
      </c>
    </row>
    <row r="761">
      <c r="A761" s="4" t="s">
        <v>1727</v>
      </c>
      <c r="B761" s="4" t="s">
        <v>183</v>
      </c>
      <c r="C761" s="4">
        <v>568.0884</v>
      </c>
      <c r="D761" s="4" t="s">
        <v>21</v>
      </c>
      <c r="E761" s="4" t="s">
        <v>105</v>
      </c>
      <c r="F761" s="4">
        <v>59.15</v>
      </c>
      <c r="G761" s="4">
        <v>20.62</v>
      </c>
      <c r="H761" s="4">
        <v>4.3277879187E10</v>
      </c>
      <c r="I761" s="4">
        <v>5.0138790345E10</v>
      </c>
      <c r="J761" s="4" t="s">
        <v>1728</v>
      </c>
      <c r="K761" s="4" t="s">
        <v>1729</v>
      </c>
      <c r="L761" s="4">
        <v>6.52</v>
      </c>
      <c r="M761" s="4">
        <v>3703.94</v>
      </c>
      <c r="N761" s="4">
        <v>3704.0</v>
      </c>
      <c r="O761" s="4">
        <v>307432.0</v>
      </c>
      <c r="P761" s="4">
        <f t="shared" si="1"/>
        <v>64.8</v>
      </c>
      <c r="Q761" s="4" t="str">
        <f t="shared" si="2"/>
        <v>Normal</v>
      </c>
      <c r="R761" s="1" t="str">
        <f t="shared" si="3"/>
        <v>Underutilized</v>
      </c>
      <c r="S761" s="4">
        <f t="shared" si="4"/>
        <v>87.00105318</v>
      </c>
      <c r="T761" s="1" t="str">
        <f t="shared" si="5"/>
        <v>High Cost</v>
      </c>
      <c r="U761" s="4">
        <f t="shared" si="6"/>
        <v>0.01297360067</v>
      </c>
    </row>
    <row r="762">
      <c r="A762" s="4" t="s">
        <v>1730</v>
      </c>
      <c r="B762" s="4" t="s">
        <v>62</v>
      </c>
      <c r="C762" s="4">
        <v>139.5167</v>
      </c>
      <c r="D762" s="4" t="s">
        <v>42</v>
      </c>
      <c r="E762" s="4" t="s">
        <v>58</v>
      </c>
      <c r="F762" s="4">
        <v>34.64</v>
      </c>
      <c r="G762" s="4">
        <v>35.93</v>
      </c>
      <c r="H762" s="4">
        <v>2.537925189E9</v>
      </c>
      <c r="I762" s="4">
        <v>9.859247924E9</v>
      </c>
      <c r="J762" s="4" t="s">
        <v>1731</v>
      </c>
      <c r="K762" s="4" t="s">
        <v>1732</v>
      </c>
      <c r="L762" s="4">
        <v>2.38</v>
      </c>
      <c r="M762" s="4">
        <v>332.05</v>
      </c>
      <c r="N762" s="4">
        <v>332.0</v>
      </c>
      <c r="O762" s="4">
        <v>27556.0</v>
      </c>
      <c r="P762" s="4">
        <f t="shared" si="1"/>
        <v>139.5166667</v>
      </c>
      <c r="Q762" s="4" t="str">
        <f t="shared" si="2"/>
        <v>Normal</v>
      </c>
      <c r="R762" s="1" t="str">
        <f t="shared" si="3"/>
        <v>Underutilized</v>
      </c>
      <c r="S762" s="4">
        <f t="shared" si="4"/>
        <v>11.54576718</v>
      </c>
      <c r="T762" s="1" t="str">
        <f t="shared" si="5"/>
        <v>Normal Cost</v>
      </c>
      <c r="U762" s="4">
        <f t="shared" si="6"/>
        <v>0.1280483379</v>
      </c>
    </row>
    <row r="763">
      <c r="A763" s="4" t="s">
        <v>1733</v>
      </c>
      <c r="B763" s="4" t="s">
        <v>53</v>
      </c>
      <c r="C763" s="4">
        <v>904.0008</v>
      </c>
      <c r="D763" s="4" t="s">
        <v>21</v>
      </c>
      <c r="E763" s="4" t="s">
        <v>27</v>
      </c>
      <c r="F763" s="4">
        <v>90.33</v>
      </c>
      <c r="G763" s="4">
        <v>23.82</v>
      </c>
      <c r="H763" s="4">
        <v>1.2342194435E10</v>
      </c>
      <c r="I763" s="4">
        <v>1.4000778703E10</v>
      </c>
      <c r="J763" s="4" t="s">
        <v>1734</v>
      </c>
      <c r="K763" s="4" t="s">
        <v>1735</v>
      </c>
      <c r="L763" s="4">
        <v>5.12</v>
      </c>
      <c r="M763" s="4">
        <v>4628.48</v>
      </c>
      <c r="N763" s="4">
        <v>4628.0</v>
      </c>
      <c r="O763" s="4">
        <v>384124.0</v>
      </c>
      <c r="P763" s="4">
        <f t="shared" si="1"/>
        <v>63.91666667</v>
      </c>
      <c r="Q763" s="4" t="str">
        <f t="shared" si="2"/>
        <v>High</v>
      </c>
      <c r="R763" s="1" t="str">
        <f t="shared" si="3"/>
        <v>Underutilized</v>
      </c>
      <c r="S763" s="4">
        <f t="shared" si="4"/>
        <v>24.53380557</v>
      </c>
      <c r="T763" s="1" t="str">
        <f t="shared" si="5"/>
        <v>High Cost</v>
      </c>
      <c r="U763" s="4">
        <f t="shared" si="6"/>
        <v>0.0148584832</v>
      </c>
    </row>
    <row r="764">
      <c r="A764" s="4" t="s">
        <v>1736</v>
      </c>
      <c r="B764" s="4" t="s">
        <v>99</v>
      </c>
      <c r="C764" s="4">
        <v>805.2556</v>
      </c>
      <c r="D764" s="4" t="s">
        <v>17</v>
      </c>
      <c r="E764" s="4" t="s">
        <v>54</v>
      </c>
      <c r="F764" s="4">
        <v>1.32</v>
      </c>
      <c r="G764" s="4">
        <v>59.95</v>
      </c>
      <c r="H764" s="4">
        <v>1.000234937E10</v>
      </c>
      <c r="I764" s="4">
        <v>1.8870602491E10</v>
      </c>
      <c r="J764" s="5">
        <v>45572.46041666667</v>
      </c>
      <c r="K764" s="4" t="s">
        <v>1737</v>
      </c>
      <c r="L764" s="4">
        <v>8.36</v>
      </c>
      <c r="M764" s="4">
        <v>6731.94</v>
      </c>
      <c r="N764" s="4">
        <v>6732.0</v>
      </c>
      <c r="O764" s="4">
        <v>558756.0</v>
      </c>
      <c r="P764" s="4">
        <f t="shared" si="1"/>
        <v>139.6833333</v>
      </c>
      <c r="Q764" s="4" t="str">
        <f t="shared" si="2"/>
        <v>Underutilized</v>
      </c>
      <c r="R764" s="1" t="str">
        <f t="shared" si="3"/>
        <v>Normal</v>
      </c>
      <c r="S764" s="4">
        <f t="shared" si="4"/>
        <v>26.89003186</v>
      </c>
      <c r="T764" s="1" t="str">
        <f t="shared" si="5"/>
        <v>High Cost</v>
      </c>
      <c r="U764" s="4">
        <f t="shared" si="6"/>
        <v>0.005482715174</v>
      </c>
    </row>
    <row r="765">
      <c r="A765" s="4" t="s">
        <v>1738</v>
      </c>
      <c r="B765" s="4" t="s">
        <v>79</v>
      </c>
      <c r="C765" s="4">
        <v>428.4611</v>
      </c>
      <c r="D765" s="4" t="s">
        <v>17</v>
      </c>
      <c r="E765" s="4" t="s">
        <v>22</v>
      </c>
      <c r="F765" s="4">
        <v>21.6</v>
      </c>
      <c r="G765" s="4">
        <v>39.95</v>
      </c>
      <c r="H765" s="4">
        <v>8.0097248991E10</v>
      </c>
      <c r="I765" s="4">
        <v>8.2775898387E10</v>
      </c>
      <c r="J765" s="4" t="s">
        <v>1739</v>
      </c>
      <c r="K765" s="4" t="s">
        <v>1740</v>
      </c>
      <c r="L765" s="4">
        <v>6.4</v>
      </c>
      <c r="M765" s="4">
        <v>2742.15</v>
      </c>
      <c r="N765" s="4">
        <v>2742.0</v>
      </c>
      <c r="O765" s="4">
        <v>227586.0</v>
      </c>
      <c r="P765" s="4">
        <f t="shared" si="1"/>
        <v>75.55</v>
      </c>
      <c r="Q765" s="4" t="str">
        <f t="shared" si="2"/>
        <v>Underutilized</v>
      </c>
      <c r="R765" s="1" t="str">
        <f t="shared" si="3"/>
        <v>Underutilized</v>
      </c>
      <c r="S765" s="4">
        <f t="shared" si="4"/>
        <v>151.687439</v>
      </c>
      <c r="T765" s="1" t="str">
        <f t="shared" si="5"/>
        <v>High Cost</v>
      </c>
      <c r="U765" s="4">
        <f t="shared" si="6"/>
        <v>0.01352236078</v>
      </c>
    </row>
    <row r="766">
      <c r="A766" s="4" t="s">
        <v>1741</v>
      </c>
      <c r="B766" s="4" t="s">
        <v>57</v>
      </c>
      <c r="C766" s="4">
        <v>812.9251</v>
      </c>
      <c r="D766" s="4" t="s">
        <v>21</v>
      </c>
      <c r="E766" s="4" t="s">
        <v>22</v>
      </c>
      <c r="F766" s="4">
        <v>54.66</v>
      </c>
      <c r="G766" s="4">
        <v>80.7</v>
      </c>
      <c r="H766" s="4">
        <v>2.8070401971E10</v>
      </c>
      <c r="I766" s="4">
        <v>3.6292263633E10</v>
      </c>
      <c r="J766" s="5">
        <v>45330.97083333333</v>
      </c>
      <c r="K766" s="5">
        <v>45420.17847222222</v>
      </c>
      <c r="L766" s="4">
        <v>8.7</v>
      </c>
      <c r="M766" s="4">
        <v>7072.45</v>
      </c>
      <c r="N766" s="4">
        <v>7072.0</v>
      </c>
      <c r="O766" s="4">
        <v>586976.0</v>
      </c>
      <c r="P766" s="4">
        <f t="shared" si="1"/>
        <v>52.98333333</v>
      </c>
      <c r="Q766" s="4" t="str">
        <f t="shared" si="2"/>
        <v>Normal</v>
      </c>
      <c r="R766" s="1" t="str">
        <f t="shared" si="3"/>
        <v>High</v>
      </c>
      <c r="S766" s="4">
        <f t="shared" si="4"/>
        <v>59.94240344</v>
      </c>
      <c r="T766" s="1" t="str">
        <f t="shared" si="5"/>
        <v>High Cost</v>
      </c>
      <c r="U766" s="4">
        <f t="shared" si="6"/>
        <v>0.01153028403</v>
      </c>
    </row>
    <row r="767">
      <c r="A767" s="4" t="s">
        <v>1742</v>
      </c>
      <c r="B767" s="4" t="s">
        <v>169</v>
      </c>
      <c r="C767" s="4">
        <v>780.5168</v>
      </c>
      <c r="D767" s="4" t="s">
        <v>21</v>
      </c>
      <c r="E767" s="4" t="s">
        <v>70</v>
      </c>
      <c r="F767" s="4">
        <v>32.98</v>
      </c>
      <c r="G767" s="4">
        <v>73.1</v>
      </c>
      <c r="H767" s="4">
        <v>9.1751558202E10</v>
      </c>
      <c r="I767" s="4">
        <v>9.566018434E10</v>
      </c>
      <c r="J767" s="4" t="s">
        <v>1743</v>
      </c>
      <c r="K767" s="4" t="s">
        <v>1744</v>
      </c>
      <c r="L767" s="4">
        <v>9.68</v>
      </c>
      <c r="M767" s="4">
        <v>7555.4</v>
      </c>
      <c r="N767" s="4">
        <v>7555.0</v>
      </c>
      <c r="O767" s="4">
        <v>627065.0</v>
      </c>
      <c r="P767" s="4">
        <f t="shared" si="1"/>
        <v>90.98333333</v>
      </c>
      <c r="Q767" s="4" t="str">
        <f t="shared" si="2"/>
        <v>Normal</v>
      </c>
      <c r="R767" s="1" t="str">
        <f t="shared" si="3"/>
        <v>Normal</v>
      </c>
      <c r="S767" s="4">
        <f t="shared" si="4"/>
        <v>174.5407866</v>
      </c>
      <c r="T767" s="1" t="str">
        <f t="shared" si="5"/>
        <v>High Cost</v>
      </c>
      <c r="U767" s="4">
        <f t="shared" si="6"/>
        <v>0.00845845327</v>
      </c>
    </row>
    <row r="768">
      <c r="A768" s="4" t="s">
        <v>1745</v>
      </c>
      <c r="B768" s="4" t="s">
        <v>183</v>
      </c>
      <c r="C768" s="4">
        <v>652.3815</v>
      </c>
      <c r="D768" s="4" t="s">
        <v>17</v>
      </c>
      <c r="E768" s="4" t="s">
        <v>74</v>
      </c>
      <c r="F768" s="4">
        <v>85.02</v>
      </c>
      <c r="G768" s="4">
        <v>46.63</v>
      </c>
      <c r="H768" s="4">
        <v>3.1260176038E10</v>
      </c>
      <c r="I768" s="4">
        <v>4.0765531651E10</v>
      </c>
      <c r="J768" s="4" t="s">
        <v>1746</v>
      </c>
      <c r="K768" s="4" t="s">
        <v>1747</v>
      </c>
      <c r="L768" s="4">
        <v>6.72</v>
      </c>
      <c r="M768" s="4">
        <v>4384.0</v>
      </c>
      <c r="N768" s="4">
        <v>4384.0</v>
      </c>
      <c r="O768" s="4">
        <v>363872.0</v>
      </c>
      <c r="P768" s="4">
        <f t="shared" si="1"/>
        <v>50.9</v>
      </c>
      <c r="Q768" s="4" t="str">
        <f t="shared" si="2"/>
        <v>High</v>
      </c>
      <c r="R768" s="1" t="str">
        <f t="shared" si="3"/>
        <v>Normal</v>
      </c>
      <c r="S768" s="4">
        <f t="shared" si="4"/>
        <v>67.07916752</v>
      </c>
      <c r="T768" s="1" t="str">
        <f t="shared" si="5"/>
        <v>High Cost</v>
      </c>
      <c r="U768" s="4">
        <f t="shared" si="6"/>
        <v>0.01809015258</v>
      </c>
    </row>
    <row r="769">
      <c r="A769" s="4" t="s">
        <v>1748</v>
      </c>
      <c r="B769" s="4" t="s">
        <v>147</v>
      </c>
      <c r="C769" s="4">
        <v>38.2833</v>
      </c>
      <c r="D769" s="4" t="s">
        <v>42</v>
      </c>
      <c r="E769" s="4" t="s">
        <v>32</v>
      </c>
      <c r="F769" s="4">
        <v>1.31</v>
      </c>
      <c r="G769" s="4">
        <v>91.65</v>
      </c>
      <c r="H769" s="4">
        <v>6.2679280845E10</v>
      </c>
      <c r="I769" s="4">
        <v>6.4790751395E10</v>
      </c>
      <c r="J769" s="5">
        <v>45480.21527777778</v>
      </c>
      <c r="K769" s="5">
        <v>45511.81041666667</v>
      </c>
      <c r="L769" s="4">
        <v>4.98</v>
      </c>
      <c r="M769" s="4">
        <v>190.65</v>
      </c>
      <c r="N769" s="4">
        <v>191.0</v>
      </c>
      <c r="O769" s="4">
        <v>15853.0</v>
      </c>
      <c r="P769" s="4">
        <f t="shared" si="1"/>
        <v>38.28333333</v>
      </c>
      <c r="Q769" s="4" t="str">
        <f t="shared" si="2"/>
        <v>Underutilized</v>
      </c>
      <c r="R769" s="1" t="str">
        <f t="shared" si="3"/>
        <v>High</v>
      </c>
      <c r="S769" s="4">
        <f t="shared" si="4"/>
        <v>118.7157186</v>
      </c>
      <c r="T769" s="1" t="str">
        <f t="shared" si="5"/>
        <v>Normal Cost</v>
      </c>
      <c r="U769" s="4">
        <f t="shared" si="6"/>
        <v>0.2931937173</v>
      </c>
    </row>
    <row r="770">
      <c r="A770" s="4" t="s">
        <v>1749</v>
      </c>
      <c r="B770" s="4" t="s">
        <v>122</v>
      </c>
      <c r="C770" s="4">
        <v>509.2785</v>
      </c>
      <c r="D770" s="4" t="s">
        <v>21</v>
      </c>
      <c r="E770" s="4" t="s">
        <v>105</v>
      </c>
      <c r="F770" s="4">
        <v>76.47</v>
      </c>
      <c r="G770" s="4">
        <v>34.82</v>
      </c>
      <c r="H770" s="4">
        <v>9.5064475095E10</v>
      </c>
      <c r="I770" s="6">
        <v>1.03174E11</v>
      </c>
      <c r="J770" s="5">
        <v>45358.60833333333</v>
      </c>
      <c r="K770" s="5">
        <v>45511.39097222222</v>
      </c>
      <c r="L770" s="4">
        <v>2.24</v>
      </c>
      <c r="M770" s="4">
        <v>1140.78</v>
      </c>
      <c r="N770" s="4">
        <v>1141.0</v>
      </c>
      <c r="O770" s="4">
        <v>94703.0</v>
      </c>
      <c r="P770" s="4">
        <f t="shared" si="1"/>
        <v>114.7833333</v>
      </c>
      <c r="Q770" s="4" t="str">
        <f t="shared" si="2"/>
        <v>High</v>
      </c>
      <c r="R770" s="1" t="str">
        <f t="shared" si="3"/>
        <v>Underutilized</v>
      </c>
      <c r="S770" s="6">
        <f t="shared" si="4"/>
        <v>184.623967</v>
      </c>
      <c r="T770" s="1" t="str">
        <f t="shared" si="5"/>
        <v>Normal Cost</v>
      </c>
      <c r="U770" s="4">
        <f t="shared" si="6"/>
        <v>0.05875737833</v>
      </c>
    </row>
    <row r="771">
      <c r="A771" s="4" t="s">
        <v>1750</v>
      </c>
      <c r="B771" s="4" t="s">
        <v>166</v>
      </c>
      <c r="C771" s="4">
        <v>140.6604</v>
      </c>
      <c r="D771" s="4" t="s">
        <v>17</v>
      </c>
      <c r="E771" s="4" t="s">
        <v>32</v>
      </c>
      <c r="F771" s="4">
        <v>5.09</v>
      </c>
      <c r="G771" s="4">
        <v>86.08</v>
      </c>
      <c r="H771" s="4">
        <v>2.2144116941E10</v>
      </c>
      <c r="I771" s="4">
        <v>2.4072541629E10</v>
      </c>
      <c r="J771" s="5">
        <v>45451.319444444445</v>
      </c>
      <c r="K771" s="5">
        <v>45604.149305555555</v>
      </c>
      <c r="L771" s="4">
        <v>7.48</v>
      </c>
      <c r="M771" s="4">
        <v>1052.14</v>
      </c>
      <c r="N771" s="4">
        <v>1052.0</v>
      </c>
      <c r="O771" s="4">
        <v>87316.0</v>
      </c>
      <c r="P771" s="4">
        <f t="shared" si="1"/>
        <v>115.9166667</v>
      </c>
      <c r="Q771" s="4" t="str">
        <f t="shared" si="2"/>
        <v>Underutilized</v>
      </c>
      <c r="R771" s="1" t="str">
        <f t="shared" si="3"/>
        <v>High</v>
      </c>
      <c r="S771" s="4">
        <f t="shared" si="4"/>
        <v>43.04261745</v>
      </c>
      <c r="T771" s="1" t="str">
        <f t="shared" si="5"/>
        <v>Normal Cost</v>
      </c>
      <c r="U771" s="4">
        <f t="shared" si="6"/>
        <v>0.05220692657</v>
      </c>
    </row>
    <row r="772">
      <c r="A772" s="4" t="s">
        <v>1751</v>
      </c>
      <c r="B772" s="4" t="s">
        <v>147</v>
      </c>
      <c r="C772" s="4">
        <v>28.6167</v>
      </c>
      <c r="D772" s="4" t="s">
        <v>42</v>
      </c>
      <c r="E772" s="4" t="s">
        <v>70</v>
      </c>
      <c r="F772" s="4">
        <v>88.9</v>
      </c>
      <c r="G772" s="4">
        <v>43.58</v>
      </c>
      <c r="H772" s="4">
        <v>5.1467578269E10</v>
      </c>
      <c r="I772" s="4">
        <v>5.4120045491E10</v>
      </c>
      <c r="J772" s="5">
        <v>45330.65138888889</v>
      </c>
      <c r="K772" s="5">
        <v>45359.84375</v>
      </c>
      <c r="L772" s="4">
        <v>4.45</v>
      </c>
      <c r="M772" s="4">
        <v>127.34</v>
      </c>
      <c r="N772" s="4">
        <v>127.0</v>
      </c>
      <c r="O772" s="4">
        <v>10541.0</v>
      </c>
      <c r="P772" s="4">
        <f t="shared" si="1"/>
        <v>28.61666667</v>
      </c>
      <c r="Q772" s="4" t="str">
        <f t="shared" si="2"/>
        <v>High</v>
      </c>
      <c r="R772" s="1" t="str">
        <f t="shared" si="3"/>
        <v>Normal</v>
      </c>
      <c r="S772" s="4">
        <f t="shared" si="4"/>
        <v>98.33613761</v>
      </c>
      <c r="T772" s="1" t="str">
        <f t="shared" si="5"/>
        <v>Normal Cost</v>
      </c>
      <c r="U772" s="4">
        <f t="shared" si="6"/>
        <v>0.6284033773</v>
      </c>
    </row>
    <row r="773">
      <c r="A773" s="4" t="s">
        <v>1752</v>
      </c>
      <c r="B773" s="4" t="s">
        <v>147</v>
      </c>
      <c r="C773" s="4">
        <v>50.3167</v>
      </c>
      <c r="D773" s="4" t="s">
        <v>42</v>
      </c>
      <c r="E773" s="4" t="s">
        <v>105</v>
      </c>
      <c r="F773" s="4">
        <v>19.67</v>
      </c>
      <c r="G773" s="4">
        <v>91.21</v>
      </c>
      <c r="H773" s="4">
        <v>6.5677197554E10</v>
      </c>
      <c r="I773" s="4">
        <v>7.0195330812E10</v>
      </c>
      <c r="J773" s="4" t="s">
        <v>1753</v>
      </c>
      <c r="K773" s="4" t="s">
        <v>1754</v>
      </c>
      <c r="L773" s="4">
        <v>8.08</v>
      </c>
      <c r="M773" s="4">
        <v>406.56</v>
      </c>
      <c r="N773" s="4">
        <v>407.0</v>
      </c>
      <c r="O773" s="4">
        <v>33781.0</v>
      </c>
      <c r="P773" s="4">
        <f t="shared" si="1"/>
        <v>50.31666667</v>
      </c>
      <c r="Q773" s="4" t="str">
        <f t="shared" si="2"/>
        <v>Underutilized</v>
      </c>
      <c r="R773" s="1" t="str">
        <f t="shared" si="3"/>
        <v>High</v>
      </c>
      <c r="S773" s="4">
        <f t="shared" si="4"/>
        <v>126.5411529</v>
      </c>
      <c r="T773" s="1" t="str">
        <f t="shared" si="5"/>
        <v>Normal Cost</v>
      </c>
      <c r="U773" s="4">
        <f t="shared" si="6"/>
        <v>0.1641159232</v>
      </c>
    </row>
    <row r="774">
      <c r="A774" s="4" t="s">
        <v>1755</v>
      </c>
      <c r="B774" s="4" t="s">
        <v>36</v>
      </c>
      <c r="C774" s="4">
        <v>305.5855</v>
      </c>
      <c r="D774" s="4" t="s">
        <v>21</v>
      </c>
      <c r="E774" s="4" t="s">
        <v>37</v>
      </c>
      <c r="F774" s="4">
        <v>24.27</v>
      </c>
      <c r="G774" s="4">
        <v>80.79</v>
      </c>
      <c r="H774" s="4">
        <v>7.9774742812E10</v>
      </c>
      <c r="I774" s="4">
        <v>8.9116433619E10</v>
      </c>
      <c r="J774" s="4" t="s">
        <v>1756</v>
      </c>
      <c r="K774" s="4" t="s">
        <v>1757</v>
      </c>
      <c r="L774" s="4">
        <v>6.57</v>
      </c>
      <c r="M774" s="4">
        <v>2007.7</v>
      </c>
      <c r="N774" s="4">
        <v>2008.0</v>
      </c>
      <c r="O774" s="4">
        <v>166664.0</v>
      </c>
      <c r="P774" s="4">
        <f t="shared" si="1"/>
        <v>28.61666667</v>
      </c>
      <c r="Q774" s="4" t="str">
        <f t="shared" si="2"/>
        <v>Underutilized</v>
      </c>
      <c r="R774" s="1" t="str">
        <f t="shared" si="3"/>
        <v>High</v>
      </c>
      <c r="S774" s="4">
        <f t="shared" si="4"/>
        <v>157.2921653</v>
      </c>
      <c r="T774" s="1" t="str">
        <f t="shared" si="5"/>
        <v>Normal Cost</v>
      </c>
      <c r="U774" s="4">
        <f t="shared" si="6"/>
        <v>0.0315185043</v>
      </c>
    </row>
    <row r="775">
      <c r="A775" s="4" t="s">
        <v>1758</v>
      </c>
      <c r="B775" s="4" t="s">
        <v>53</v>
      </c>
      <c r="C775" s="4">
        <v>676.7908</v>
      </c>
      <c r="D775" s="4" t="s">
        <v>17</v>
      </c>
      <c r="E775" s="4" t="s">
        <v>18</v>
      </c>
      <c r="F775" s="4">
        <v>79.25</v>
      </c>
      <c r="G775" s="4">
        <v>88.04</v>
      </c>
      <c r="H775" s="4">
        <v>1.1948780908E10</v>
      </c>
      <c r="I775" s="4">
        <v>2.0615994972E10</v>
      </c>
      <c r="J775" s="4" t="s">
        <v>1759</v>
      </c>
      <c r="K775" s="4" t="s">
        <v>1760</v>
      </c>
      <c r="L775" s="4">
        <v>6.11</v>
      </c>
      <c r="M775" s="4">
        <v>4135.19</v>
      </c>
      <c r="N775" s="4">
        <v>4135.0</v>
      </c>
      <c r="O775" s="4">
        <v>343205.0</v>
      </c>
      <c r="P775" s="4">
        <f t="shared" si="1"/>
        <v>60.41666667</v>
      </c>
      <c r="Q775" s="4" t="str">
        <f t="shared" si="2"/>
        <v>High</v>
      </c>
      <c r="R775" s="1" t="str">
        <f t="shared" si="3"/>
        <v>High</v>
      </c>
      <c r="S775" s="4">
        <f t="shared" si="4"/>
        <v>30.32831091</v>
      </c>
      <c r="T775" s="1" t="str">
        <f t="shared" si="5"/>
        <v>High Cost</v>
      </c>
      <c r="U775" s="4">
        <f t="shared" si="6"/>
        <v>0.02437173118</v>
      </c>
    </row>
    <row r="776">
      <c r="A776" s="4" t="s">
        <v>1761</v>
      </c>
      <c r="B776" s="4" t="s">
        <v>20</v>
      </c>
      <c r="C776" s="4">
        <v>495.8071</v>
      </c>
      <c r="D776" s="4" t="s">
        <v>17</v>
      </c>
      <c r="E776" s="4" t="s">
        <v>22</v>
      </c>
      <c r="F776" s="4">
        <v>59.62</v>
      </c>
      <c r="G776" s="4">
        <v>83.14</v>
      </c>
      <c r="H776" s="4">
        <v>4.84838864E10</v>
      </c>
      <c r="I776" s="4">
        <v>5.0532876187E10</v>
      </c>
      <c r="J776" s="5">
        <v>45511.02222222222</v>
      </c>
      <c r="K776" s="4" t="s">
        <v>1762</v>
      </c>
      <c r="L776" s="4">
        <v>2.51</v>
      </c>
      <c r="M776" s="4">
        <v>1244.48</v>
      </c>
      <c r="N776" s="4">
        <v>1244.0</v>
      </c>
      <c r="O776" s="4">
        <v>103252.0</v>
      </c>
      <c r="P776" s="4">
        <f t="shared" si="1"/>
        <v>142.1</v>
      </c>
      <c r="Q776" s="4" t="str">
        <f t="shared" si="2"/>
        <v>Normal</v>
      </c>
      <c r="R776" s="1" t="str">
        <f t="shared" si="3"/>
        <v>High</v>
      </c>
      <c r="S776" s="4">
        <f t="shared" si="4"/>
        <v>92.21654626</v>
      </c>
      <c r="T776" s="1" t="str">
        <f t="shared" si="5"/>
        <v>Normal Cost</v>
      </c>
      <c r="U776" s="4">
        <f t="shared" si="6"/>
        <v>0.0691318328</v>
      </c>
    </row>
    <row r="777">
      <c r="A777" s="4" t="s">
        <v>1763</v>
      </c>
      <c r="B777" s="4" t="s">
        <v>53</v>
      </c>
      <c r="C777" s="4">
        <v>510.126</v>
      </c>
      <c r="D777" s="4" t="s">
        <v>21</v>
      </c>
      <c r="E777" s="4" t="s">
        <v>70</v>
      </c>
      <c r="F777" s="4">
        <v>47.74</v>
      </c>
      <c r="G777" s="4">
        <v>44.67</v>
      </c>
      <c r="H777" s="4">
        <v>3.0086018529E10</v>
      </c>
      <c r="I777" s="4">
        <v>3.9239617577E10</v>
      </c>
      <c r="J777" s="5">
        <v>45451.26875</v>
      </c>
      <c r="K777" s="5">
        <v>45573.05902777778</v>
      </c>
      <c r="L777" s="4">
        <v>5.27</v>
      </c>
      <c r="M777" s="4">
        <v>2688.36</v>
      </c>
      <c r="N777" s="4">
        <v>2688.0</v>
      </c>
      <c r="O777" s="4">
        <v>223104.0</v>
      </c>
      <c r="P777" s="4">
        <f t="shared" si="1"/>
        <v>90.96666667</v>
      </c>
      <c r="Q777" s="4" t="str">
        <f t="shared" si="2"/>
        <v>Normal</v>
      </c>
      <c r="R777" s="1" t="str">
        <f t="shared" si="3"/>
        <v>Normal</v>
      </c>
      <c r="S777" s="4">
        <f t="shared" si="4"/>
        <v>64.56452991</v>
      </c>
      <c r="T777" s="1" t="str">
        <f t="shared" si="5"/>
        <v>High Cost</v>
      </c>
      <c r="U777" s="4">
        <f t="shared" si="6"/>
        <v>0.02071007243</v>
      </c>
    </row>
    <row r="778">
      <c r="A778" s="4" t="s">
        <v>1764</v>
      </c>
      <c r="B778" s="4" t="s">
        <v>183</v>
      </c>
      <c r="C778" s="4">
        <v>195.2324</v>
      </c>
      <c r="D778" s="4" t="s">
        <v>17</v>
      </c>
      <c r="E778" s="4" t="s">
        <v>74</v>
      </c>
      <c r="F778" s="4">
        <v>44.2</v>
      </c>
      <c r="G778" s="4">
        <v>31.66</v>
      </c>
      <c r="H778" s="4">
        <v>1.9782768099E10</v>
      </c>
      <c r="I778" s="4">
        <v>2.8473435562E10</v>
      </c>
      <c r="J778" s="4" t="s">
        <v>1765</v>
      </c>
      <c r="K778" s="4" t="s">
        <v>1766</v>
      </c>
      <c r="L778" s="4">
        <v>9.03</v>
      </c>
      <c r="M778" s="4">
        <v>1762.95</v>
      </c>
      <c r="N778" s="4">
        <v>1763.0</v>
      </c>
      <c r="O778" s="4">
        <v>146329.0</v>
      </c>
      <c r="P778" s="4">
        <f t="shared" si="1"/>
        <v>90.45</v>
      </c>
      <c r="Q778" s="4" t="str">
        <f t="shared" si="2"/>
        <v>Normal</v>
      </c>
      <c r="R778" s="1" t="str">
        <f t="shared" si="3"/>
        <v>Underutilized</v>
      </c>
      <c r="S778" s="4">
        <f t="shared" si="4"/>
        <v>44.94209183</v>
      </c>
      <c r="T778" s="1" t="str">
        <f t="shared" si="5"/>
        <v>Normal Cost</v>
      </c>
      <c r="U778" s="4">
        <f t="shared" si="6"/>
        <v>0.02592104094</v>
      </c>
    </row>
    <row r="779">
      <c r="A779" s="4" t="s">
        <v>1767</v>
      </c>
      <c r="B779" s="4" t="s">
        <v>350</v>
      </c>
      <c r="C779" s="4">
        <v>20.3487</v>
      </c>
      <c r="D779" s="4" t="s">
        <v>21</v>
      </c>
      <c r="E779" s="4" t="s">
        <v>123</v>
      </c>
      <c r="F779" s="4">
        <v>51.86</v>
      </c>
      <c r="G779" s="4">
        <v>87.87</v>
      </c>
      <c r="H779" s="4">
        <v>4.7040973113E10</v>
      </c>
      <c r="I779" s="4">
        <v>5.3821970678E10</v>
      </c>
      <c r="J779" s="4" t="s">
        <v>1768</v>
      </c>
      <c r="K779" s="4" t="s">
        <v>1769</v>
      </c>
      <c r="L779" s="4">
        <v>7.71</v>
      </c>
      <c r="M779" s="4">
        <v>156.89</v>
      </c>
      <c r="N779" s="4">
        <v>157.0</v>
      </c>
      <c r="O779" s="4">
        <v>13031.0</v>
      </c>
      <c r="P779" s="4">
        <f t="shared" si="1"/>
        <v>61.75</v>
      </c>
      <c r="Q779" s="4" t="str">
        <f t="shared" si="2"/>
        <v>Normal</v>
      </c>
      <c r="R779" s="1" t="str">
        <f t="shared" si="3"/>
        <v>High</v>
      </c>
      <c r="S779" s="4">
        <f t="shared" si="4"/>
        <v>93.93593649</v>
      </c>
      <c r="T779" s="1" t="str">
        <f t="shared" si="5"/>
        <v>Normal Cost</v>
      </c>
      <c r="U779" s="4">
        <f t="shared" si="6"/>
        <v>0.5361445783</v>
      </c>
    </row>
    <row r="780">
      <c r="A780" s="4" t="s">
        <v>1770</v>
      </c>
      <c r="B780" s="4" t="s">
        <v>139</v>
      </c>
      <c r="C780" s="4">
        <v>135.5667</v>
      </c>
      <c r="D780" s="4" t="s">
        <v>42</v>
      </c>
      <c r="E780" s="4" t="s">
        <v>58</v>
      </c>
      <c r="F780" s="4">
        <v>70.13</v>
      </c>
      <c r="G780" s="4">
        <v>59.73</v>
      </c>
      <c r="H780" s="4">
        <v>5.6740180306E10</v>
      </c>
      <c r="I780" s="4">
        <v>6.3344615356E10</v>
      </c>
      <c r="J780" s="5">
        <v>45511.48055555556</v>
      </c>
      <c r="K780" s="4" t="s">
        <v>1771</v>
      </c>
      <c r="L780" s="4">
        <v>6.03</v>
      </c>
      <c r="M780" s="4">
        <v>817.47</v>
      </c>
      <c r="N780" s="4">
        <v>817.0</v>
      </c>
      <c r="O780" s="4">
        <v>67811.0</v>
      </c>
      <c r="P780" s="4">
        <f t="shared" si="1"/>
        <v>135.5666667</v>
      </c>
      <c r="Q780" s="4" t="str">
        <f t="shared" si="2"/>
        <v>High</v>
      </c>
      <c r="R780" s="1" t="str">
        <f t="shared" si="3"/>
        <v>Normal</v>
      </c>
      <c r="S780" s="4">
        <f t="shared" si="4"/>
        <v>111.8376811</v>
      </c>
      <c r="T780" s="1" t="str">
        <f t="shared" si="5"/>
        <v>Normal Cost</v>
      </c>
      <c r="U780" s="4">
        <f t="shared" si="6"/>
        <v>0.09575142676</v>
      </c>
    </row>
    <row r="781">
      <c r="A781" s="4" t="s">
        <v>1772</v>
      </c>
      <c r="B781" s="4" t="s">
        <v>112</v>
      </c>
      <c r="C781" s="4">
        <v>42.6833</v>
      </c>
      <c r="D781" s="4" t="s">
        <v>42</v>
      </c>
      <c r="E781" s="4" t="s">
        <v>22</v>
      </c>
      <c r="F781" s="4">
        <v>71.61</v>
      </c>
      <c r="G781" s="4">
        <v>91.37</v>
      </c>
      <c r="H781" s="4">
        <v>9.441641312E10</v>
      </c>
      <c r="I781" s="4">
        <v>9.9109623578E10</v>
      </c>
      <c r="J781" s="4" t="s">
        <v>1773</v>
      </c>
      <c r="K781" s="4" t="s">
        <v>1774</v>
      </c>
      <c r="L781" s="4">
        <v>3.08</v>
      </c>
      <c r="M781" s="4">
        <v>131.46</v>
      </c>
      <c r="N781" s="4">
        <v>131.0</v>
      </c>
      <c r="O781" s="4">
        <v>10873.0</v>
      </c>
      <c r="P781" s="4">
        <f t="shared" si="1"/>
        <v>42.68333333</v>
      </c>
      <c r="Q781" s="4" t="str">
        <f t="shared" si="2"/>
        <v>High</v>
      </c>
      <c r="R781" s="1" t="str">
        <f t="shared" si="3"/>
        <v>High</v>
      </c>
      <c r="S781" s="4">
        <f t="shared" si="4"/>
        <v>180.2351668</v>
      </c>
      <c r="T781" s="1" t="str">
        <f t="shared" si="5"/>
        <v>Normal Cost</v>
      </c>
      <c r="U781" s="4">
        <f t="shared" si="6"/>
        <v>0.7494711671</v>
      </c>
    </row>
    <row r="782">
      <c r="A782" s="4" t="s">
        <v>1775</v>
      </c>
      <c r="B782" s="4" t="s">
        <v>122</v>
      </c>
      <c r="C782" s="4">
        <v>402.5675</v>
      </c>
      <c r="D782" s="4" t="s">
        <v>17</v>
      </c>
      <c r="E782" s="4" t="s">
        <v>22</v>
      </c>
      <c r="F782" s="4">
        <v>74.65</v>
      </c>
      <c r="G782" s="4">
        <v>31.91</v>
      </c>
      <c r="H782" s="4">
        <v>8.2571392245E10</v>
      </c>
      <c r="I782" s="4">
        <v>8.5057712051E10</v>
      </c>
      <c r="J782" s="4" t="s">
        <v>1776</v>
      </c>
      <c r="K782" s="4" t="s">
        <v>1777</v>
      </c>
      <c r="L782" s="4">
        <v>7.38</v>
      </c>
      <c r="M782" s="4">
        <v>2970.95</v>
      </c>
      <c r="N782" s="4">
        <v>2971.0</v>
      </c>
      <c r="O782" s="4">
        <v>246593.0</v>
      </c>
      <c r="P782" s="4">
        <f t="shared" si="1"/>
        <v>117.3666667</v>
      </c>
      <c r="Q782" s="4" t="str">
        <f t="shared" si="2"/>
        <v>High</v>
      </c>
      <c r="R782" s="1" t="str">
        <f t="shared" si="3"/>
        <v>Underutilized</v>
      </c>
      <c r="S782" s="4">
        <f t="shared" si="4"/>
        <v>156.116769</v>
      </c>
      <c r="T782" s="1" t="str">
        <f t="shared" si="5"/>
        <v>High Cost</v>
      </c>
      <c r="U782" s="4">
        <f t="shared" si="6"/>
        <v>0.02160645274</v>
      </c>
    </row>
    <row r="783">
      <c r="A783" s="4" t="s">
        <v>1778</v>
      </c>
      <c r="B783" s="4" t="s">
        <v>166</v>
      </c>
      <c r="C783" s="4">
        <v>493.3255</v>
      </c>
      <c r="D783" s="4" t="s">
        <v>21</v>
      </c>
      <c r="E783" s="4" t="s">
        <v>22</v>
      </c>
      <c r="F783" s="4">
        <v>92.08</v>
      </c>
      <c r="G783" s="4">
        <v>70.7</v>
      </c>
      <c r="H783" s="4">
        <v>2.0635699503E10</v>
      </c>
      <c r="I783" s="4">
        <v>2.073580511E10</v>
      </c>
      <c r="J783" s="4" t="s">
        <v>1779</v>
      </c>
      <c r="K783" s="4" t="s">
        <v>1780</v>
      </c>
      <c r="L783" s="4">
        <v>7.35</v>
      </c>
      <c r="M783" s="4">
        <v>3625.94</v>
      </c>
      <c r="N783" s="4">
        <v>3626.0</v>
      </c>
      <c r="O783" s="4">
        <v>300958.0</v>
      </c>
      <c r="P783" s="4">
        <f t="shared" si="1"/>
        <v>137.8666667</v>
      </c>
      <c r="Q783" s="4" t="str">
        <f t="shared" si="2"/>
        <v>High</v>
      </c>
      <c r="R783" s="1" t="str">
        <f t="shared" si="3"/>
        <v>Normal</v>
      </c>
      <c r="S783" s="4">
        <f t="shared" si="4"/>
        <v>38.53021619</v>
      </c>
      <c r="T783" s="1" t="str">
        <f t="shared" si="5"/>
        <v>High Cost</v>
      </c>
      <c r="U783" s="4">
        <f t="shared" si="6"/>
        <v>0.02704364064</v>
      </c>
    </row>
    <row r="784">
      <c r="A784" s="4" t="s">
        <v>1781</v>
      </c>
      <c r="B784" s="4" t="s">
        <v>139</v>
      </c>
      <c r="C784" s="4">
        <v>112.4333</v>
      </c>
      <c r="D784" s="4" t="s">
        <v>42</v>
      </c>
      <c r="E784" s="4" t="s">
        <v>32</v>
      </c>
      <c r="F784" s="4">
        <v>52.52</v>
      </c>
      <c r="G784" s="4">
        <v>97.7</v>
      </c>
      <c r="H784" s="4">
        <v>3.5401774619E10</v>
      </c>
      <c r="I784" s="4">
        <v>4.4386018898E10</v>
      </c>
      <c r="J784" s="5">
        <v>45358.38125</v>
      </c>
      <c r="K784" s="5">
        <v>45511.06597222222</v>
      </c>
      <c r="L784" s="4">
        <v>4.63</v>
      </c>
      <c r="M784" s="4">
        <v>520.57</v>
      </c>
      <c r="N784" s="4">
        <v>521.0</v>
      </c>
      <c r="O784" s="4">
        <v>43243.0</v>
      </c>
      <c r="P784" s="4">
        <f t="shared" si="1"/>
        <v>112.4333333</v>
      </c>
      <c r="Q784" s="4" t="str">
        <f t="shared" si="2"/>
        <v>Normal</v>
      </c>
      <c r="R784" s="1" t="str">
        <f t="shared" si="3"/>
        <v>High</v>
      </c>
      <c r="S784" s="4">
        <f t="shared" si="4"/>
        <v>74.30817328</v>
      </c>
      <c r="T784" s="1" t="str">
        <f t="shared" si="5"/>
        <v>Normal Cost</v>
      </c>
      <c r="U784" s="4">
        <f t="shared" si="6"/>
        <v>0.173692852</v>
      </c>
    </row>
    <row r="785">
      <c r="A785" s="4" t="s">
        <v>1782</v>
      </c>
      <c r="B785" s="4" t="s">
        <v>128</v>
      </c>
      <c r="C785" s="4">
        <v>685.6808</v>
      </c>
      <c r="D785" s="4" t="s">
        <v>17</v>
      </c>
      <c r="E785" s="4" t="s">
        <v>123</v>
      </c>
      <c r="F785" s="4">
        <v>6.07</v>
      </c>
      <c r="G785" s="4">
        <v>48.18</v>
      </c>
      <c r="H785" s="4">
        <v>8.6499354372E10</v>
      </c>
      <c r="I785" s="4">
        <v>9.1996827106E10</v>
      </c>
      <c r="J785" s="4" t="s">
        <v>1783</v>
      </c>
      <c r="K785" s="4" t="s">
        <v>1784</v>
      </c>
      <c r="L785" s="4">
        <v>4.9</v>
      </c>
      <c r="M785" s="4">
        <v>3359.84</v>
      </c>
      <c r="N785" s="4">
        <v>3360.0</v>
      </c>
      <c r="O785" s="4">
        <v>278880.0</v>
      </c>
      <c r="P785" s="4">
        <f t="shared" si="1"/>
        <v>110.1833333</v>
      </c>
      <c r="Q785" s="4" t="str">
        <f t="shared" si="2"/>
        <v>Underutilized</v>
      </c>
      <c r="R785" s="1" t="str">
        <f t="shared" si="3"/>
        <v>Normal</v>
      </c>
      <c r="S785" s="4">
        <f t="shared" si="4"/>
        <v>166.2375233</v>
      </c>
      <c r="T785" s="1" t="str">
        <f t="shared" si="5"/>
        <v>High Cost</v>
      </c>
      <c r="U785" s="4">
        <f t="shared" si="6"/>
        <v>0.009726405622</v>
      </c>
    </row>
    <row r="786">
      <c r="A786" s="4" t="s">
        <v>1785</v>
      </c>
      <c r="B786" s="4" t="s">
        <v>350</v>
      </c>
      <c r="C786" s="4">
        <v>11.9494</v>
      </c>
      <c r="D786" s="4" t="s">
        <v>17</v>
      </c>
      <c r="E786" s="4" t="s">
        <v>27</v>
      </c>
      <c r="F786" s="4">
        <v>94.02</v>
      </c>
      <c r="G786" s="4">
        <v>16.06</v>
      </c>
      <c r="H786" s="4">
        <v>7.6472318775E10</v>
      </c>
      <c r="I786" s="4">
        <v>8.1965940657E10</v>
      </c>
      <c r="J786" s="5">
        <v>45543.42986111111</v>
      </c>
      <c r="K786" s="4" t="s">
        <v>1786</v>
      </c>
      <c r="L786" s="4">
        <v>7.2</v>
      </c>
      <c r="M786" s="4">
        <v>86.04</v>
      </c>
      <c r="N786" s="4">
        <v>86.0</v>
      </c>
      <c r="O786" s="4">
        <v>7138.0</v>
      </c>
      <c r="P786" s="4">
        <f t="shared" si="1"/>
        <v>121.35</v>
      </c>
      <c r="Q786" s="4" t="str">
        <f t="shared" si="2"/>
        <v>High</v>
      </c>
      <c r="R786" s="1" t="str">
        <f t="shared" si="3"/>
        <v>Underutilized</v>
      </c>
      <c r="S786" s="4">
        <f t="shared" si="4"/>
        <v>147.5571277</v>
      </c>
      <c r="T786" s="1" t="str">
        <f t="shared" si="5"/>
        <v>Normal Cost</v>
      </c>
      <c r="U786" s="4">
        <f t="shared" si="6"/>
        <v>0.7710843373</v>
      </c>
    </row>
    <row r="787">
      <c r="A787" s="4" t="s">
        <v>1787</v>
      </c>
      <c r="B787" s="4" t="s">
        <v>122</v>
      </c>
      <c r="C787" s="4">
        <v>763.7549</v>
      </c>
      <c r="D787" s="4" t="s">
        <v>17</v>
      </c>
      <c r="E787" s="4" t="s">
        <v>18</v>
      </c>
      <c r="F787" s="4">
        <v>23.07</v>
      </c>
      <c r="G787" s="4">
        <v>31.52</v>
      </c>
      <c r="H787" s="4">
        <v>7.5882534919E10</v>
      </c>
      <c r="I787" s="4">
        <v>8.4257405517E10</v>
      </c>
      <c r="J787" s="4" t="s">
        <v>1788</v>
      </c>
      <c r="K787" s="4" t="s">
        <v>1789</v>
      </c>
      <c r="L787" s="4">
        <v>1.38</v>
      </c>
      <c r="M787" s="4">
        <v>1053.98</v>
      </c>
      <c r="N787" s="4">
        <v>1054.0</v>
      </c>
      <c r="O787" s="4">
        <v>87482.0</v>
      </c>
      <c r="P787" s="4">
        <f t="shared" si="1"/>
        <v>122.9166667</v>
      </c>
      <c r="Q787" s="4" t="str">
        <f t="shared" si="2"/>
        <v>Underutilized</v>
      </c>
      <c r="R787" s="1" t="str">
        <f t="shared" si="3"/>
        <v>Underutilized</v>
      </c>
      <c r="S787" s="4">
        <f t="shared" si="4"/>
        <v>149.1419416</v>
      </c>
      <c r="T787" s="1" t="str">
        <f t="shared" si="5"/>
        <v>Normal Cost</v>
      </c>
      <c r="U787" s="4">
        <f t="shared" si="6"/>
        <v>0.03120070414</v>
      </c>
    </row>
    <row r="788">
      <c r="A788" s="4" t="s">
        <v>1790</v>
      </c>
      <c r="B788" s="4" t="s">
        <v>273</v>
      </c>
      <c r="C788" s="4">
        <v>217.4256</v>
      </c>
      <c r="D788" s="4" t="s">
        <v>21</v>
      </c>
      <c r="E788" s="4" t="s">
        <v>155</v>
      </c>
      <c r="F788" s="4">
        <v>18.53</v>
      </c>
      <c r="G788" s="4">
        <v>30.3</v>
      </c>
      <c r="H788" s="4">
        <v>2.042767077E10</v>
      </c>
      <c r="I788" s="4">
        <v>2.203389886E10</v>
      </c>
      <c r="J788" s="5">
        <v>45480.57847222222</v>
      </c>
      <c r="K788" s="5">
        <v>45603.30694444444</v>
      </c>
      <c r="L788" s="4">
        <v>9.19</v>
      </c>
      <c r="M788" s="4">
        <v>1998.14</v>
      </c>
      <c r="N788" s="4">
        <v>1998.0</v>
      </c>
      <c r="O788" s="4">
        <v>165834.0</v>
      </c>
      <c r="P788" s="4">
        <f t="shared" si="1"/>
        <v>89.48333333</v>
      </c>
      <c r="Q788" s="4" t="str">
        <f t="shared" si="2"/>
        <v>Underutilized</v>
      </c>
      <c r="R788" s="1" t="str">
        <f t="shared" si="3"/>
        <v>Underutilized</v>
      </c>
      <c r="S788" s="4">
        <f t="shared" si="4"/>
        <v>39.54541835</v>
      </c>
      <c r="T788" s="1" t="str">
        <f t="shared" si="5"/>
        <v>Normal Cost</v>
      </c>
      <c r="U788" s="4">
        <f t="shared" si="6"/>
        <v>0.01472255388</v>
      </c>
    </row>
    <row r="789">
      <c r="A789" s="4" t="s">
        <v>1791</v>
      </c>
      <c r="B789" s="4" t="s">
        <v>46</v>
      </c>
      <c r="C789" s="4">
        <v>833.7372</v>
      </c>
      <c r="D789" s="4" t="s">
        <v>17</v>
      </c>
      <c r="E789" s="4" t="s">
        <v>105</v>
      </c>
      <c r="F789" s="4">
        <v>74.93</v>
      </c>
      <c r="G789" s="4">
        <v>39.42</v>
      </c>
      <c r="H789" s="4">
        <v>7.3106122811E10</v>
      </c>
      <c r="I789" s="4">
        <v>7.8832078777E10</v>
      </c>
      <c r="J789" s="4" t="s">
        <v>1792</v>
      </c>
      <c r="K789" s="4" t="s">
        <v>1793</v>
      </c>
      <c r="L789" s="4">
        <v>8.79</v>
      </c>
      <c r="M789" s="4">
        <v>7328.55</v>
      </c>
      <c r="N789" s="4">
        <v>7329.0</v>
      </c>
      <c r="O789" s="4">
        <v>608307.0</v>
      </c>
      <c r="P789" s="4">
        <f t="shared" si="1"/>
        <v>26.23333333</v>
      </c>
      <c r="Q789" s="4" t="str">
        <f t="shared" si="2"/>
        <v>High</v>
      </c>
      <c r="R789" s="1" t="str">
        <f t="shared" si="3"/>
        <v>Underutilized</v>
      </c>
      <c r="S789" s="4">
        <f t="shared" si="4"/>
        <v>141.5034771</v>
      </c>
      <c r="T789" s="1" t="str">
        <f t="shared" si="5"/>
        <v>High Cost</v>
      </c>
      <c r="U789" s="4">
        <f t="shared" si="6"/>
        <v>0.009399036999</v>
      </c>
    </row>
    <row r="790">
      <c r="A790" s="4" t="s">
        <v>1794</v>
      </c>
      <c r="B790" s="4" t="s">
        <v>273</v>
      </c>
      <c r="C790" s="4">
        <v>56.2214</v>
      </c>
      <c r="D790" s="4" t="s">
        <v>21</v>
      </c>
      <c r="E790" s="4" t="s">
        <v>105</v>
      </c>
      <c r="F790" s="4">
        <v>94.49</v>
      </c>
      <c r="G790" s="4">
        <v>62.81</v>
      </c>
      <c r="H790" s="4">
        <v>2.2376598442E10</v>
      </c>
      <c r="I790" s="4">
        <v>2.738175272E10</v>
      </c>
      <c r="J790" s="4" t="s">
        <v>1795</v>
      </c>
      <c r="K790" s="4" t="s">
        <v>1796</v>
      </c>
      <c r="L790" s="4">
        <v>3.78</v>
      </c>
      <c r="M790" s="4">
        <v>212.52</v>
      </c>
      <c r="N790" s="4">
        <v>213.0</v>
      </c>
      <c r="O790" s="4">
        <v>17679.0</v>
      </c>
      <c r="P790" s="4">
        <f t="shared" si="1"/>
        <v>54.71666667</v>
      </c>
      <c r="Q790" s="4" t="str">
        <f t="shared" si="2"/>
        <v>High</v>
      </c>
      <c r="R790" s="1" t="str">
        <f t="shared" si="3"/>
        <v>Normal</v>
      </c>
      <c r="S790" s="4">
        <f t="shared" si="4"/>
        <v>46.34107571</v>
      </c>
      <c r="T790" s="1" t="str">
        <f t="shared" si="5"/>
        <v>Normal Cost</v>
      </c>
      <c r="U790" s="4">
        <f t="shared" si="6"/>
        <v>0.444878104</v>
      </c>
    </row>
    <row r="791">
      <c r="A791" s="4" t="s">
        <v>1797</v>
      </c>
      <c r="B791" s="4" t="s">
        <v>83</v>
      </c>
      <c r="C791" s="4">
        <v>910.6406</v>
      </c>
      <c r="D791" s="4" t="s">
        <v>21</v>
      </c>
      <c r="E791" s="4" t="s">
        <v>105</v>
      </c>
      <c r="F791" s="4">
        <v>39.04</v>
      </c>
      <c r="G791" s="4">
        <v>90.32</v>
      </c>
      <c r="H791" s="4">
        <v>7.0554590057E10</v>
      </c>
      <c r="I791" s="4">
        <v>7.5016268178E10</v>
      </c>
      <c r="J791" s="5">
        <v>45604.205555555556</v>
      </c>
      <c r="K791" s="4" t="s">
        <v>1798</v>
      </c>
      <c r="L791" s="4">
        <v>1.31</v>
      </c>
      <c r="M791" s="4">
        <v>1192.94</v>
      </c>
      <c r="N791" s="4">
        <v>1193.0</v>
      </c>
      <c r="O791" s="4">
        <v>99019.0</v>
      </c>
      <c r="P791" s="4">
        <f t="shared" si="1"/>
        <v>126.7666667</v>
      </c>
      <c r="Q791" s="4" t="str">
        <f t="shared" si="2"/>
        <v>Normal</v>
      </c>
      <c r="R791" s="1" t="str">
        <f t="shared" si="3"/>
        <v>High</v>
      </c>
      <c r="S791" s="4">
        <f t="shared" si="4"/>
        <v>135.5734265</v>
      </c>
      <c r="T791" s="1" t="str">
        <f t="shared" si="5"/>
        <v>Normal Cost</v>
      </c>
      <c r="U791" s="4">
        <f t="shared" si="6"/>
        <v>0.06532079702</v>
      </c>
    </row>
    <row r="792">
      <c r="A792" s="4" t="s">
        <v>1799</v>
      </c>
      <c r="B792" s="4" t="s">
        <v>20</v>
      </c>
      <c r="C792" s="4">
        <v>566.6421</v>
      </c>
      <c r="D792" s="4" t="s">
        <v>17</v>
      </c>
      <c r="E792" s="4" t="s">
        <v>27</v>
      </c>
      <c r="F792" s="4">
        <v>77.41</v>
      </c>
      <c r="G792" s="4">
        <v>56.61</v>
      </c>
      <c r="H792" s="4">
        <v>7.2133762805E10</v>
      </c>
      <c r="I792" s="4">
        <v>8.0350643973E10</v>
      </c>
      <c r="J792" s="5">
        <v>45603.58819444444</v>
      </c>
      <c r="K792" s="4" t="s">
        <v>1800</v>
      </c>
      <c r="L792" s="4">
        <v>2.17</v>
      </c>
      <c r="M792" s="4">
        <v>1229.61</v>
      </c>
      <c r="N792" s="4">
        <v>1230.0</v>
      </c>
      <c r="O792" s="4">
        <v>102090.0</v>
      </c>
      <c r="P792" s="4">
        <f t="shared" si="1"/>
        <v>87.65</v>
      </c>
      <c r="Q792" s="4" t="str">
        <f t="shared" si="2"/>
        <v>High</v>
      </c>
      <c r="R792" s="1" t="str">
        <f t="shared" si="3"/>
        <v>Normal</v>
      </c>
      <c r="S792" s="4">
        <f t="shared" si="4"/>
        <v>142.0121703</v>
      </c>
      <c r="T792" s="1" t="str">
        <f t="shared" si="5"/>
        <v>Normal Cost</v>
      </c>
      <c r="U792" s="4">
        <f t="shared" si="6"/>
        <v>0.06563816241</v>
      </c>
    </row>
    <row r="793">
      <c r="A793" s="4" t="s">
        <v>1801</v>
      </c>
      <c r="B793" s="4" t="s">
        <v>83</v>
      </c>
      <c r="C793" s="4">
        <v>809.6094</v>
      </c>
      <c r="D793" s="4" t="s">
        <v>17</v>
      </c>
      <c r="E793" s="4" t="s">
        <v>32</v>
      </c>
      <c r="F793" s="4">
        <v>87.85</v>
      </c>
      <c r="G793" s="4">
        <v>37.18</v>
      </c>
      <c r="H793" s="4">
        <v>8.3122842259E10</v>
      </c>
      <c r="I793" s="4">
        <v>9.2891585359E10</v>
      </c>
      <c r="J793" s="5">
        <v>45358.54236111111</v>
      </c>
      <c r="K793" s="5">
        <v>45450.94861111111</v>
      </c>
      <c r="L793" s="4">
        <v>5.54</v>
      </c>
      <c r="M793" s="4">
        <v>4485.24</v>
      </c>
      <c r="N793" s="4">
        <v>4485.0</v>
      </c>
      <c r="O793" s="4">
        <v>372255.0</v>
      </c>
      <c r="P793" s="4">
        <f t="shared" si="1"/>
        <v>81.75</v>
      </c>
      <c r="Q793" s="4" t="str">
        <f t="shared" si="2"/>
        <v>High</v>
      </c>
      <c r="R793" s="1" t="str">
        <f t="shared" si="3"/>
        <v>Underutilized</v>
      </c>
      <c r="S793" s="4">
        <f t="shared" si="4"/>
        <v>163.9262099</v>
      </c>
      <c r="T793" s="1" t="str">
        <f t="shared" si="5"/>
        <v>High Cost</v>
      </c>
      <c r="U793" s="4">
        <f t="shared" si="6"/>
        <v>0.01679359579</v>
      </c>
    </row>
    <row r="794">
      <c r="A794" s="4" t="s">
        <v>1802</v>
      </c>
      <c r="B794" s="4" t="s">
        <v>122</v>
      </c>
      <c r="C794" s="4">
        <v>453.4353</v>
      </c>
      <c r="D794" s="4" t="s">
        <v>21</v>
      </c>
      <c r="E794" s="4" t="s">
        <v>105</v>
      </c>
      <c r="F794" s="4">
        <v>9.78</v>
      </c>
      <c r="G794" s="4">
        <v>85.01</v>
      </c>
      <c r="H794" s="4">
        <v>3.7576289546E10</v>
      </c>
      <c r="I794" s="4">
        <v>4.5693849488E10</v>
      </c>
      <c r="J794" s="5">
        <v>45419.62291666667</v>
      </c>
      <c r="K794" s="5">
        <v>45603.09027777778</v>
      </c>
      <c r="L794" s="4">
        <v>6.45</v>
      </c>
      <c r="M794" s="4">
        <v>2924.66</v>
      </c>
      <c r="N794" s="4">
        <v>2925.0</v>
      </c>
      <c r="O794" s="4">
        <v>242775.0</v>
      </c>
      <c r="P794" s="4">
        <f t="shared" si="1"/>
        <v>131.2166667</v>
      </c>
      <c r="Q794" s="4" t="str">
        <f t="shared" si="2"/>
        <v>Underutilized</v>
      </c>
      <c r="R794" s="1" t="str">
        <f t="shared" si="3"/>
        <v>High</v>
      </c>
      <c r="S794" s="4">
        <f t="shared" si="4"/>
        <v>77.55136027</v>
      </c>
      <c r="T794" s="1" t="str">
        <f t="shared" si="5"/>
        <v>High Cost</v>
      </c>
      <c r="U794" s="4">
        <f t="shared" si="6"/>
        <v>0.01952219133</v>
      </c>
    </row>
    <row r="795">
      <c r="A795" s="4" t="s">
        <v>1803</v>
      </c>
      <c r="B795" s="4" t="s">
        <v>350</v>
      </c>
      <c r="C795" s="4">
        <v>328.3641</v>
      </c>
      <c r="D795" s="4" t="s">
        <v>17</v>
      </c>
      <c r="E795" s="4" t="s">
        <v>37</v>
      </c>
      <c r="F795" s="4">
        <v>21.95</v>
      </c>
      <c r="G795" s="4">
        <v>3.74</v>
      </c>
      <c r="H795" s="4">
        <v>3.30203501E10</v>
      </c>
      <c r="I795" s="4">
        <v>4.172572813E10</v>
      </c>
      <c r="J795" s="5">
        <v>45511.72361111111</v>
      </c>
      <c r="K795" s="4" t="s">
        <v>1804</v>
      </c>
      <c r="L795" s="4">
        <v>6.78</v>
      </c>
      <c r="M795" s="4">
        <v>2226.31</v>
      </c>
      <c r="N795" s="4">
        <v>2226.0</v>
      </c>
      <c r="O795" s="4">
        <v>184758.0</v>
      </c>
      <c r="P795" s="4">
        <f t="shared" si="1"/>
        <v>106.5</v>
      </c>
      <c r="Q795" s="4" t="str">
        <f t="shared" si="2"/>
        <v>Underutilized</v>
      </c>
      <c r="R795" s="1" t="str">
        <f t="shared" si="3"/>
        <v>Underutilized</v>
      </c>
      <c r="S795" s="4">
        <f t="shared" si="4"/>
        <v>69.61271002</v>
      </c>
      <c r="T795" s="1" t="str">
        <f t="shared" si="5"/>
        <v>High Cost</v>
      </c>
      <c r="U795" s="4">
        <f t="shared" si="6"/>
        <v>0.006952337652</v>
      </c>
    </row>
    <row r="796">
      <c r="A796" s="4" t="s">
        <v>1805</v>
      </c>
      <c r="B796" s="4" t="s">
        <v>273</v>
      </c>
      <c r="C796" s="4">
        <v>659.5464</v>
      </c>
      <c r="D796" s="4" t="s">
        <v>21</v>
      </c>
      <c r="E796" s="4" t="s">
        <v>54</v>
      </c>
      <c r="F796" s="4">
        <v>37.34</v>
      </c>
      <c r="G796" s="4">
        <v>87.67</v>
      </c>
      <c r="H796" s="4">
        <v>1.1065384355E10</v>
      </c>
      <c r="I796" s="4">
        <v>1.3147665462E10</v>
      </c>
      <c r="J796" s="4" t="s">
        <v>1806</v>
      </c>
      <c r="K796" s="4" t="s">
        <v>1807</v>
      </c>
      <c r="L796" s="4">
        <v>7.19</v>
      </c>
      <c r="M796" s="4">
        <v>4742.14</v>
      </c>
      <c r="N796" s="4">
        <v>4742.0</v>
      </c>
      <c r="O796" s="4">
        <v>393586.0</v>
      </c>
      <c r="P796" s="4">
        <f t="shared" si="1"/>
        <v>74.68333333</v>
      </c>
      <c r="Q796" s="4" t="str">
        <f t="shared" si="2"/>
        <v>Normal</v>
      </c>
      <c r="R796" s="1" t="str">
        <f t="shared" si="3"/>
        <v>High</v>
      </c>
      <c r="S796" s="4">
        <f t="shared" si="4"/>
        <v>22.55015989</v>
      </c>
      <c r="T796" s="1" t="str">
        <f t="shared" si="5"/>
        <v>High Cost</v>
      </c>
      <c r="U796" s="4">
        <f t="shared" si="6"/>
        <v>0.01588090024</v>
      </c>
    </row>
    <row r="797">
      <c r="A797" s="4" t="s">
        <v>1808</v>
      </c>
      <c r="B797" s="4" t="s">
        <v>20</v>
      </c>
      <c r="C797" s="4">
        <v>793.7649</v>
      </c>
      <c r="D797" s="4" t="s">
        <v>21</v>
      </c>
      <c r="E797" s="4" t="s">
        <v>70</v>
      </c>
      <c r="F797" s="4">
        <v>27.33</v>
      </c>
      <c r="G797" s="4">
        <v>95.49</v>
      </c>
      <c r="H797" s="4">
        <v>8.4458700721E10</v>
      </c>
      <c r="I797" s="4">
        <v>8.7023569683E10</v>
      </c>
      <c r="J797" s="5">
        <v>45480.205555555556</v>
      </c>
      <c r="K797" s="5">
        <v>45633.21875</v>
      </c>
      <c r="L797" s="4">
        <v>2.2</v>
      </c>
      <c r="M797" s="4">
        <v>1746.28</v>
      </c>
      <c r="N797" s="4">
        <v>1746.0</v>
      </c>
      <c r="O797" s="4">
        <v>144918.0</v>
      </c>
      <c r="P797" s="4">
        <f t="shared" si="1"/>
        <v>120.3166667</v>
      </c>
      <c r="Q797" s="4" t="str">
        <f t="shared" si="2"/>
        <v>Underutilized</v>
      </c>
      <c r="R797" s="1" t="str">
        <f t="shared" si="3"/>
        <v>High</v>
      </c>
      <c r="S797" s="4">
        <f t="shared" si="4"/>
        <v>159.7053096</v>
      </c>
      <c r="T797" s="1" t="str">
        <f t="shared" si="5"/>
        <v>Normal Cost</v>
      </c>
      <c r="U797" s="4">
        <f t="shared" si="6"/>
        <v>0.04237568832</v>
      </c>
    </row>
    <row r="798">
      <c r="A798" s="4" t="s">
        <v>1809</v>
      </c>
      <c r="B798" s="4" t="s">
        <v>79</v>
      </c>
      <c r="C798" s="4">
        <v>194.0681</v>
      </c>
      <c r="D798" s="4" t="s">
        <v>17</v>
      </c>
      <c r="E798" s="4" t="s">
        <v>27</v>
      </c>
      <c r="F798" s="4">
        <v>90.24</v>
      </c>
      <c r="G798" s="4">
        <v>74.11</v>
      </c>
      <c r="H798" s="4">
        <v>9.0235122681E10</v>
      </c>
      <c r="I798" s="4">
        <v>9.4996618262E10</v>
      </c>
      <c r="J798" s="4" t="s">
        <v>1810</v>
      </c>
      <c r="K798" s="4" t="s">
        <v>1811</v>
      </c>
      <c r="L798" s="4">
        <v>3.97</v>
      </c>
      <c r="M798" s="4">
        <v>770.45</v>
      </c>
      <c r="N798" s="4">
        <v>770.0</v>
      </c>
      <c r="O798" s="4">
        <v>63910.0</v>
      </c>
      <c r="P798" s="4">
        <f t="shared" si="1"/>
        <v>72.3</v>
      </c>
      <c r="Q798" s="4" t="str">
        <f t="shared" si="2"/>
        <v>High</v>
      </c>
      <c r="R798" s="1" t="str">
        <f t="shared" si="3"/>
        <v>Normal</v>
      </c>
      <c r="S798" s="4">
        <f t="shared" si="4"/>
        <v>172.5105019</v>
      </c>
      <c r="T798" s="1" t="str">
        <f t="shared" si="5"/>
        <v>Normal Cost</v>
      </c>
      <c r="U798" s="4">
        <f t="shared" si="6"/>
        <v>0.1285792521</v>
      </c>
    </row>
    <row r="799">
      <c r="A799" s="4" t="s">
        <v>1812</v>
      </c>
      <c r="B799" s="4" t="s">
        <v>79</v>
      </c>
      <c r="C799" s="4">
        <v>630.455</v>
      </c>
      <c r="D799" s="4" t="s">
        <v>21</v>
      </c>
      <c r="E799" s="4" t="s">
        <v>105</v>
      </c>
      <c r="F799" s="4">
        <v>79.56</v>
      </c>
      <c r="G799" s="4">
        <v>21.86</v>
      </c>
      <c r="H799" s="4">
        <v>2.6681757591E10</v>
      </c>
      <c r="I799" s="4">
        <v>3.5780472522E10</v>
      </c>
      <c r="J799" s="4" t="s">
        <v>1813</v>
      </c>
      <c r="K799" s="5">
        <v>45419.21319444444</v>
      </c>
      <c r="L799" s="4">
        <v>8.17</v>
      </c>
      <c r="M799" s="4">
        <v>5150.82</v>
      </c>
      <c r="N799" s="4">
        <v>5151.0</v>
      </c>
      <c r="O799" s="4">
        <v>427533.0</v>
      </c>
      <c r="P799" s="4">
        <f t="shared" si="1"/>
        <v>104.1666667</v>
      </c>
      <c r="Q799" s="4" t="str">
        <f t="shared" si="2"/>
        <v>High</v>
      </c>
      <c r="R799" s="1" t="str">
        <f t="shared" si="3"/>
        <v>Underutilized</v>
      </c>
      <c r="S799" s="4">
        <f t="shared" si="4"/>
        <v>58.17248497</v>
      </c>
      <c r="T799" s="1" t="str">
        <f t="shared" si="5"/>
        <v>High Cost</v>
      </c>
      <c r="U799" s="4">
        <f t="shared" si="6"/>
        <v>0.01186107271</v>
      </c>
    </row>
    <row r="800">
      <c r="A800" s="4" t="s">
        <v>1814</v>
      </c>
      <c r="B800" s="4" t="s">
        <v>273</v>
      </c>
      <c r="C800" s="4">
        <v>340.1787</v>
      </c>
      <c r="D800" s="4" t="s">
        <v>21</v>
      </c>
      <c r="E800" s="4" t="s">
        <v>123</v>
      </c>
      <c r="F800" s="4">
        <v>13.58</v>
      </c>
      <c r="G800" s="4">
        <v>33.18</v>
      </c>
      <c r="H800" s="4">
        <v>5.0524366416E10</v>
      </c>
      <c r="I800" s="4">
        <v>5.9630573021E10</v>
      </c>
      <c r="J800" s="5">
        <v>45329.38611111111</v>
      </c>
      <c r="K800" s="5">
        <v>45480.39236111111</v>
      </c>
      <c r="L800" s="4">
        <v>5.29</v>
      </c>
      <c r="M800" s="4">
        <v>1799.55</v>
      </c>
      <c r="N800" s="4">
        <v>1800.0</v>
      </c>
      <c r="O800" s="4">
        <v>149400.0</v>
      </c>
      <c r="P800" s="4">
        <f t="shared" si="1"/>
        <v>120.15</v>
      </c>
      <c r="Q800" s="4" t="str">
        <f t="shared" si="2"/>
        <v>Underutilized</v>
      </c>
      <c r="R800" s="1" t="str">
        <f t="shared" si="3"/>
        <v>Underutilized</v>
      </c>
      <c r="S800" s="4">
        <f t="shared" si="4"/>
        <v>102.5897818</v>
      </c>
      <c r="T800" s="1" t="str">
        <f t="shared" si="5"/>
        <v>Normal Cost</v>
      </c>
      <c r="U800" s="4">
        <f t="shared" si="6"/>
        <v>0.01564926372</v>
      </c>
    </row>
    <row r="801">
      <c r="A801" s="4" t="s">
        <v>1815</v>
      </c>
      <c r="B801" s="4" t="s">
        <v>128</v>
      </c>
      <c r="C801" s="4">
        <v>517.1946</v>
      </c>
      <c r="D801" s="4" t="s">
        <v>21</v>
      </c>
      <c r="E801" s="4" t="s">
        <v>54</v>
      </c>
      <c r="F801" s="4">
        <v>99.97</v>
      </c>
      <c r="G801" s="4">
        <v>28.88</v>
      </c>
      <c r="H801" s="4">
        <v>1.2227499618E10</v>
      </c>
      <c r="I801" s="4">
        <v>1.3094464652E10</v>
      </c>
      <c r="J801" s="5">
        <v>45480.438888888886</v>
      </c>
      <c r="K801" s="4" t="s">
        <v>1816</v>
      </c>
      <c r="L801" s="4">
        <v>4.25</v>
      </c>
      <c r="M801" s="4">
        <v>2198.08</v>
      </c>
      <c r="N801" s="4">
        <v>2198.0</v>
      </c>
      <c r="O801" s="4">
        <v>182434.0</v>
      </c>
      <c r="P801" s="4">
        <f t="shared" si="1"/>
        <v>134.6666667</v>
      </c>
      <c r="Q801" s="4" t="str">
        <f t="shared" si="2"/>
        <v>High</v>
      </c>
      <c r="R801" s="1" t="str">
        <f t="shared" si="3"/>
        <v>Underutilized</v>
      </c>
      <c r="S801" s="4">
        <f t="shared" si="4"/>
        <v>23.58291696</v>
      </c>
      <c r="T801" s="1" t="str">
        <f t="shared" si="5"/>
        <v>High Cost</v>
      </c>
      <c r="U801" s="4">
        <f t="shared" si="6"/>
        <v>0.035314141</v>
      </c>
    </row>
    <row r="802">
      <c r="A802" s="4" t="s">
        <v>1817</v>
      </c>
      <c r="B802" s="4" t="s">
        <v>53</v>
      </c>
      <c r="C802" s="4">
        <v>665.624</v>
      </c>
      <c r="D802" s="4" t="s">
        <v>17</v>
      </c>
      <c r="E802" s="4" t="s">
        <v>27</v>
      </c>
      <c r="F802" s="4">
        <v>97.85</v>
      </c>
      <c r="G802" s="4">
        <v>91.44</v>
      </c>
      <c r="H802" s="4">
        <v>4.3211531039E10</v>
      </c>
      <c r="I802" s="4">
        <v>5.2236057299E10</v>
      </c>
      <c r="J802" s="4" t="s">
        <v>1406</v>
      </c>
      <c r="K802" s="4" t="s">
        <v>1818</v>
      </c>
      <c r="L802" s="4">
        <v>8.17</v>
      </c>
      <c r="M802" s="4">
        <v>5438.15</v>
      </c>
      <c r="N802" s="4">
        <v>5438.0</v>
      </c>
      <c r="O802" s="4">
        <v>451354.0</v>
      </c>
      <c r="P802" s="4">
        <f t="shared" si="1"/>
        <v>140.1833333</v>
      </c>
      <c r="Q802" s="4" t="str">
        <f t="shared" si="2"/>
        <v>High</v>
      </c>
      <c r="R802" s="1" t="str">
        <f t="shared" si="3"/>
        <v>High</v>
      </c>
      <c r="S802" s="4">
        <f t="shared" si="4"/>
        <v>88.89249371</v>
      </c>
      <c r="T802" s="1" t="str">
        <f t="shared" si="5"/>
        <v>High Cost</v>
      </c>
      <c r="U802" s="4">
        <f t="shared" si="6"/>
        <v>0.02096912844</v>
      </c>
    </row>
    <row r="803">
      <c r="A803" s="4" t="s">
        <v>1819</v>
      </c>
      <c r="B803" s="4" t="s">
        <v>79</v>
      </c>
      <c r="C803" s="4">
        <v>432.7213</v>
      </c>
      <c r="D803" s="4" t="s">
        <v>17</v>
      </c>
      <c r="E803" s="4" t="s">
        <v>105</v>
      </c>
      <c r="F803" s="4">
        <v>40.56</v>
      </c>
      <c r="G803" s="4">
        <v>5.12</v>
      </c>
      <c r="H803" s="4">
        <v>1.1776359265E10</v>
      </c>
      <c r="I803" s="4">
        <v>2.1696342956E10</v>
      </c>
      <c r="J803" s="4" t="s">
        <v>1820</v>
      </c>
      <c r="K803" s="4" t="s">
        <v>1821</v>
      </c>
      <c r="L803" s="4">
        <v>9.06</v>
      </c>
      <c r="M803" s="4">
        <v>3920.45</v>
      </c>
      <c r="N803" s="4">
        <v>3920.0</v>
      </c>
      <c r="O803" s="4">
        <v>325360.0</v>
      </c>
      <c r="P803" s="4">
        <f t="shared" si="1"/>
        <v>113.2833333</v>
      </c>
      <c r="Q803" s="4" t="str">
        <f t="shared" si="2"/>
        <v>Normal</v>
      </c>
      <c r="R803" s="1" t="str">
        <f t="shared" si="3"/>
        <v>Underutilized</v>
      </c>
      <c r="S803" s="4">
        <f t="shared" si="4"/>
        <v>31.17388321</v>
      </c>
      <c r="T803" s="1" t="str">
        <f t="shared" si="5"/>
        <v>High Cost</v>
      </c>
      <c r="U803" s="4">
        <f t="shared" si="6"/>
        <v>0.0070199164</v>
      </c>
    </row>
    <row r="804">
      <c r="A804" s="4" t="s">
        <v>1822</v>
      </c>
      <c r="B804" s="4" t="s">
        <v>31</v>
      </c>
      <c r="C804" s="4">
        <v>25.3189</v>
      </c>
      <c r="D804" s="4" t="s">
        <v>17</v>
      </c>
      <c r="E804" s="4" t="s">
        <v>18</v>
      </c>
      <c r="F804" s="4">
        <v>84.51</v>
      </c>
      <c r="G804" s="4">
        <v>45.14</v>
      </c>
      <c r="H804" s="4">
        <v>8.0810027545E10</v>
      </c>
      <c r="I804" s="4">
        <v>8.3529651563E10</v>
      </c>
      <c r="J804" s="5">
        <v>45604.77847222222</v>
      </c>
      <c r="K804" s="4" t="s">
        <v>1823</v>
      </c>
      <c r="L804" s="4">
        <v>8.64</v>
      </c>
      <c r="M804" s="4">
        <v>218.76</v>
      </c>
      <c r="N804" s="4">
        <v>219.0</v>
      </c>
      <c r="O804" s="4">
        <v>18177.0</v>
      </c>
      <c r="P804" s="4">
        <f t="shared" si="1"/>
        <v>118.4</v>
      </c>
      <c r="Q804" s="4" t="str">
        <f t="shared" si="2"/>
        <v>High</v>
      </c>
      <c r="R804" s="1" t="str">
        <f t="shared" si="3"/>
        <v>Normal</v>
      </c>
      <c r="S804" s="4">
        <f t="shared" si="4"/>
        <v>153.0532531</v>
      </c>
      <c r="T804" s="1" t="str">
        <f t="shared" si="5"/>
        <v>Normal Cost</v>
      </c>
      <c r="U804" s="4">
        <f t="shared" si="6"/>
        <v>0.3566320075</v>
      </c>
    </row>
    <row r="805">
      <c r="A805" s="4" t="s">
        <v>1824</v>
      </c>
      <c r="B805" s="4" t="s">
        <v>20</v>
      </c>
      <c r="C805" s="4">
        <v>776.2808</v>
      </c>
      <c r="D805" s="4" t="s">
        <v>17</v>
      </c>
      <c r="E805" s="4" t="s">
        <v>37</v>
      </c>
      <c r="F805" s="4">
        <v>20.99</v>
      </c>
      <c r="G805" s="4">
        <v>98.45</v>
      </c>
      <c r="H805" s="4">
        <v>3.0387152004E10</v>
      </c>
      <c r="I805" s="4">
        <v>3.323331056E10</v>
      </c>
      <c r="J805" s="4" t="s">
        <v>1825</v>
      </c>
      <c r="K805" s="4" t="s">
        <v>1826</v>
      </c>
      <c r="L805" s="4">
        <v>7.81</v>
      </c>
      <c r="M805" s="4">
        <v>6062.75</v>
      </c>
      <c r="N805" s="4">
        <v>6063.0</v>
      </c>
      <c r="O805" s="4">
        <v>503229.0</v>
      </c>
      <c r="P805" s="4">
        <f t="shared" si="1"/>
        <v>82.05</v>
      </c>
      <c r="Q805" s="4" t="str">
        <f t="shared" si="2"/>
        <v>Underutilized</v>
      </c>
      <c r="R805" s="1" t="str">
        <f t="shared" si="3"/>
        <v>High</v>
      </c>
      <c r="S805" s="4">
        <f t="shared" si="4"/>
        <v>59.25117299</v>
      </c>
      <c r="T805" s="1" t="str">
        <f t="shared" si="5"/>
        <v>High Cost</v>
      </c>
      <c r="U805" s="4">
        <f t="shared" si="6"/>
        <v>0.01186736059</v>
      </c>
    </row>
    <row r="806">
      <c r="A806" s="4" t="s">
        <v>1827</v>
      </c>
      <c r="B806" s="4" t="s">
        <v>41</v>
      </c>
      <c r="C806" s="4">
        <v>90.9833</v>
      </c>
      <c r="D806" s="4" t="s">
        <v>42</v>
      </c>
      <c r="E806" s="4" t="s">
        <v>70</v>
      </c>
      <c r="F806" s="4">
        <v>97.4</v>
      </c>
      <c r="G806" s="4">
        <v>56.97</v>
      </c>
      <c r="H806" s="4">
        <v>2.957530557E9</v>
      </c>
      <c r="I806" s="4">
        <v>5.843104167E9</v>
      </c>
      <c r="J806" s="4" t="s">
        <v>1828</v>
      </c>
      <c r="K806" s="4" t="s">
        <v>1829</v>
      </c>
      <c r="L806" s="4">
        <v>3.48</v>
      </c>
      <c r="M806" s="4">
        <v>316.62</v>
      </c>
      <c r="N806" s="4">
        <v>317.0</v>
      </c>
      <c r="O806" s="4">
        <v>26311.0</v>
      </c>
      <c r="P806" s="4">
        <f t="shared" si="1"/>
        <v>90.98333333</v>
      </c>
      <c r="Q806" s="4" t="str">
        <f t="shared" si="2"/>
        <v>High</v>
      </c>
      <c r="R806" s="1" t="str">
        <f t="shared" si="3"/>
        <v>Normal</v>
      </c>
      <c r="S806" s="4">
        <f t="shared" si="4"/>
        <v>8.196229789</v>
      </c>
      <c r="T806" s="1" t="str">
        <f t="shared" si="5"/>
        <v>Normal Cost</v>
      </c>
      <c r="U806" s="4">
        <f t="shared" si="6"/>
        <v>0.2933563909</v>
      </c>
    </row>
    <row r="807">
      <c r="A807" s="4" t="s">
        <v>1830</v>
      </c>
      <c r="B807" s="4" t="s">
        <v>57</v>
      </c>
      <c r="C807" s="4">
        <v>357.5233</v>
      </c>
      <c r="D807" s="4" t="s">
        <v>21</v>
      </c>
      <c r="E807" s="4" t="s">
        <v>37</v>
      </c>
      <c r="F807" s="4">
        <v>58.89</v>
      </c>
      <c r="G807" s="4">
        <v>97.27</v>
      </c>
      <c r="H807" s="4">
        <v>4.7423037699E10</v>
      </c>
      <c r="I807" s="4">
        <v>5.0284914701E10</v>
      </c>
      <c r="J807" s="4" t="s">
        <v>1831</v>
      </c>
      <c r="K807" s="4" t="s">
        <v>1832</v>
      </c>
      <c r="L807" s="4">
        <v>5.99</v>
      </c>
      <c r="M807" s="4">
        <v>2141.56</v>
      </c>
      <c r="N807" s="4">
        <v>2142.0</v>
      </c>
      <c r="O807" s="4">
        <v>177786.0</v>
      </c>
      <c r="P807" s="4">
        <f t="shared" si="1"/>
        <v>33.53333333</v>
      </c>
      <c r="Q807" s="4" t="str">
        <f t="shared" si="2"/>
        <v>Normal</v>
      </c>
      <c r="R807" s="1" t="str">
        <f t="shared" si="3"/>
        <v>High</v>
      </c>
      <c r="S807" s="4">
        <f t="shared" si="4"/>
        <v>90.99762179</v>
      </c>
      <c r="T807" s="1" t="str">
        <f t="shared" si="5"/>
        <v>High Cost</v>
      </c>
      <c r="U807" s="4">
        <f t="shared" si="6"/>
        <v>0.04391796879</v>
      </c>
    </row>
    <row r="808">
      <c r="A808" s="4" t="s">
        <v>1833</v>
      </c>
      <c r="B808" s="4" t="s">
        <v>31</v>
      </c>
      <c r="C808" s="4">
        <v>601.8144</v>
      </c>
      <c r="D808" s="4" t="s">
        <v>21</v>
      </c>
      <c r="E808" s="4" t="s">
        <v>54</v>
      </c>
      <c r="F808" s="4">
        <v>59.89</v>
      </c>
      <c r="G808" s="4">
        <v>18.97</v>
      </c>
      <c r="H808" s="4">
        <v>4.4727126673E10</v>
      </c>
      <c r="I808" s="4">
        <v>4.5239018284E10</v>
      </c>
      <c r="J808" s="5">
        <v>45481.4</v>
      </c>
      <c r="K808" s="5">
        <v>45634.26944444444</v>
      </c>
      <c r="L808" s="4">
        <v>7.81</v>
      </c>
      <c r="M808" s="4">
        <v>4700.17</v>
      </c>
      <c r="N808" s="4">
        <v>4700.0</v>
      </c>
      <c r="O808" s="4">
        <v>390100.0</v>
      </c>
      <c r="P808" s="4">
        <f t="shared" si="1"/>
        <v>116.8666667</v>
      </c>
      <c r="Q808" s="4" t="str">
        <f t="shared" si="2"/>
        <v>Normal</v>
      </c>
      <c r="R808" s="1" t="str">
        <f t="shared" si="3"/>
        <v>Underutilized</v>
      </c>
      <c r="S808" s="4">
        <f t="shared" si="4"/>
        <v>83.78750175</v>
      </c>
      <c r="T808" s="1" t="str">
        <f t="shared" si="5"/>
        <v>High Cost</v>
      </c>
      <c r="U808" s="4">
        <f t="shared" si="6"/>
        <v>0.0101076647</v>
      </c>
    </row>
    <row r="809">
      <c r="A809" s="4" t="s">
        <v>1834</v>
      </c>
      <c r="B809" s="4" t="s">
        <v>350</v>
      </c>
      <c r="C809" s="4">
        <v>153.8323</v>
      </c>
      <c r="D809" s="4" t="s">
        <v>21</v>
      </c>
      <c r="E809" s="4" t="s">
        <v>27</v>
      </c>
      <c r="F809" s="4">
        <v>34.89</v>
      </c>
      <c r="G809" s="4">
        <v>39.97</v>
      </c>
      <c r="H809" s="4">
        <v>8.822992539E10</v>
      </c>
      <c r="I809" s="4">
        <v>9.3405272504E10</v>
      </c>
      <c r="J809" s="5">
        <v>45573.22430555556</v>
      </c>
      <c r="K809" s="4" t="s">
        <v>1835</v>
      </c>
      <c r="L809" s="4">
        <v>7.86</v>
      </c>
      <c r="M809" s="4">
        <v>1209.12</v>
      </c>
      <c r="N809" s="4">
        <v>1209.0</v>
      </c>
      <c r="O809" s="4">
        <v>100347.0</v>
      </c>
      <c r="P809" s="4">
        <f t="shared" si="1"/>
        <v>124.4833333</v>
      </c>
      <c r="Q809" s="4" t="str">
        <f t="shared" si="2"/>
        <v>Normal</v>
      </c>
      <c r="R809" s="1" t="str">
        <f t="shared" si="3"/>
        <v>Underutilized</v>
      </c>
      <c r="S809" s="4">
        <f t="shared" si="4"/>
        <v>169.1609601</v>
      </c>
      <c r="T809" s="1" t="str">
        <f t="shared" si="5"/>
        <v>Normal Cost</v>
      </c>
      <c r="U809" s="4">
        <f t="shared" si="6"/>
        <v>0.03730056703</v>
      </c>
    </row>
    <row r="810">
      <c r="A810" s="4" t="s">
        <v>1836</v>
      </c>
      <c r="B810" s="4" t="s">
        <v>41</v>
      </c>
      <c r="C810" s="4">
        <v>46.6833</v>
      </c>
      <c r="D810" s="4" t="s">
        <v>42</v>
      </c>
      <c r="E810" s="4" t="s">
        <v>32</v>
      </c>
      <c r="F810" s="4">
        <v>65.91</v>
      </c>
      <c r="G810" s="4">
        <v>24.26</v>
      </c>
      <c r="H810" s="4">
        <v>1.038679308E9</v>
      </c>
      <c r="I810" s="4">
        <v>1.207921154E9</v>
      </c>
      <c r="J810" s="5">
        <v>45511.39027777778</v>
      </c>
      <c r="K810" s="5">
        <v>45572.33541666667</v>
      </c>
      <c r="L810" s="4">
        <v>7.28</v>
      </c>
      <c r="M810" s="4">
        <v>339.85</v>
      </c>
      <c r="N810" s="4">
        <v>340.0</v>
      </c>
      <c r="O810" s="4">
        <v>28220.0</v>
      </c>
      <c r="P810" s="4">
        <f t="shared" si="1"/>
        <v>46.68333333</v>
      </c>
      <c r="Q810" s="4" t="str">
        <f t="shared" si="2"/>
        <v>Normal</v>
      </c>
      <c r="R810" s="1" t="str">
        <f t="shared" si="3"/>
        <v>Underutilized</v>
      </c>
      <c r="S810" s="4">
        <f t="shared" si="4"/>
        <v>2.092309726</v>
      </c>
      <c r="T810" s="1" t="str">
        <f t="shared" si="5"/>
        <v>Normal Cost</v>
      </c>
      <c r="U810" s="4">
        <f t="shared" si="6"/>
        <v>0.1597625797</v>
      </c>
    </row>
    <row r="811">
      <c r="A811" s="4" t="s">
        <v>1837</v>
      </c>
      <c r="B811" s="4" t="s">
        <v>139</v>
      </c>
      <c r="C811" s="4">
        <v>33.5167</v>
      </c>
      <c r="D811" s="4" t="s">
        <v>42</v>
      </c>
      <c r="E811" s="4" t="s">
        <v>70</v>
      </c>
      <c r="F811" s="4">
        <v>76.81</v>
      </c>
      <c r="G811" s="4">
        <v>64.04</v>
      </c>
      <c r="H811" s="4">
        <v>4.359372161E10</v>
      </c>
      <c r="I811" s="4">
        <v>5.2263568746E10</v>
      </c>
      <c r="J811" s="5">
        <v>45450.12152777778</v>
      </c>
      <c r="K811" s="5">
        <v>45480.518055555556</v>
      </c>
      <c r="L811" s="4">
        <v>8.29</v>
      </c>
      <c r="M811" s="4">
        <v>277.85</v>
      </c>
      <c r="N811" s="4">
        <v>278.0</v>
      </c>
      <c r="O811" s="4">
        <v>23074.0</v>
      </c>
      <c r="P811" s="4">
        <f t="shared" si="1"/>
        <v>33.51666667</v>
      </c>
      <c r="Q811" s="4" t="str">
        <f t="shared" si="2"/>
        <v>High</v>
      </c>
      <c r="R811" s="1" t="str">
        <f t="shared" si="3"/>
        <v>Normal</v>
      </c>
      <c r="S811" s="4">
        <f t="shared" si="4"/>
        <v>89.27405845</v>
      </c>
      <c r="T811" s="1" t="str">
        <f t="shared" si="5"/>
        <v>Normal Cost</v>
      </c>
      <c r="U811" s="4">
        <f t="shared" si="6"/>
        <v>0.3052136604</v>
      </c>
    </row>
    <row r="812">
      <c r="A812" s="4" t="s">
        <v>1838</v>
      </c>
      <c r="B812" s="4" t="s">
        <v>79</v>
      </c>
      <c r="C812" s="4">
        <v>754.9827</v>
      </c>
      <c r="D812" s="4" t="s">
        <v>17</v>
      </c>
      <c r="E812" s="4" t="s">
        <v>27</v>
      </c>
      <c r="F812" s="4">
        <v>26.95</v>
      </c>
      <c r="G812" s="4">
        <v>25.64</v>
      </c>
      <c r="H812" s="4">
        <v>1.1301198401E10</v>
      </c>
      <c r="I812" s="4">
        <v>1.7506915601E10</v>
      </c>
      <c r="J812" s="5">
        <v>45603.157638888886</v>
      </c>
      <c r="K812" s="4" t="s">
        <v>1839</v>
      </c>
      <c r="L812" s="4">
        <v>8.18</v>
      </c>
      <c r="M812" s="4">
        <v>6175.76</v>
      </c>
      <c r="N812" s="4">
        <v>6176.0</v>
      </c>
      <c r="O812" s="4">
        <v>512608.0</v>
      </c>
      <c r="P812" s="4">
        <f t="shared" si="1"/>
        <v>76</v>
      </c>
      <c r="Q812" s="4" t="str">
        <f t="shared" si="2"/>
        <v>Underutilized</v>
      </c>
      <c r="R812" s="1" t="str">
        <f t="shared" si="3"/>
        <v>Underutilized</v>
      </c>
      <c r="S812" s="4">
        <f t="shared" si="4"/>
        <v>26.8296469</v>
      </c>
      <c r="T812" s="1" t="str">
        <f t="shared" si="5"/>
        <v>High Cost</v>
      </c>
      <c r="U812" s="4">
        <f t="shared" si="6"/>
        <v>0.005129650727</v>
      </c>
    </row>
    <row r="813">
      <c r="A813" s="4" t="s">
        <v>1840</v>
      </c>
      <c r="B813" s="4" t="s">
        <v>41</v>
      </c>
      <c r="C813" s="4">
        <v>132.15</v>
      </c>
      <c r="D813" s="4" t="s">
        <v>42</v>
      </c>
      <c r="E813" s="4" t="s">
        <v>70</v>
      </c>
      <c r="F813" s="4">
        <v>78.93</v>
      </c>
      <c r="G813" s="4">
        <v>63.69</v>
      </c>
      <c r="H813" s="4">
        <v>4.8523174581E10</v>
      </c>
      <c r="I813" s="4">
        <v>5.0673476199E10</v>
      </c>
      <c r="J813" s="4" t="s">
        <v>1841</v>
      </c>
      <c r="K813" s="5">
        <v>45420.04305555556</v>
      </c>
      <c r="L813" s="4">
        <v>1.86</v>
      </c>
      <c r="M813" s="4">
        <v>245.8</v>
      </c>
      <c r="N813" s="4">
        <v>246.0</v>
      </c>
      <c r="O813" s="4">
        <v>20418.0</v>
      </c>
      <c r="P813" s="4">
        <f t="shared" si="1"/>
        <v>132.15</v>
      </c>
      <c r="Q813" s="4" t="str">
        <f t="shared" si="2"/>
        <v>High</v>
      </c>
      <c r="R813" s="1" t="str">
        <f t="shared" si="3"/>
        <v>Normal</v>
      </c>
      <c r="S813" s="4">
        <f t="shared" si="4"/>
        <v>92.3840802</v>
      </c>
      <c r="T813" s="1" t="str">
        <f t="shared" si="5"/>
        <v>Normal Cost</v>
      </c>
      <c r="U813" s="4">
        <f t="shared" si="6"/>
        <v>0.3492506612</v>
      </c>
    </row>
    <row r="814">
      <c r="A814" s="4" t="s">
        <v>1842</v>
      </c>
      <c r="B814" s="4" t="s">
        <v>139</v>
      </c>
      <c r="C814" s="4">
        <v>57.15</v>
      </c>
      <c r="D814" s="4" t="s">
        <v>42</v>
      </c>
      <c r="E814" s="4" t="s">
        <v>58</v>
      </c>
      <c r="F814" s="4">
        <v>83.95</v>
      </c>
      <c r="G814" s="4">
        <v>39.68</v>
      </c>
      <c r="H814" s="4">
        <v>3.9095990149E10</v>
      </c>
      <c r="I814" s="4">
        <v>4.4866998326E10</v>
      </c>
      <c r="J814" s="4" t="s">
        <v>1843</v>
      </c>
      <c r="K814" s="4" t="s">
        <v>1844</v>
      </c>
      <c r="L814" s="4">
        <v>6.76</v>
      </c>
      <c r="M814" s="4">
        <v>386.33</v>
      </c>
      <c r="N814" s="4">
        <v>386.0</v>
      </c>
      <c r="O814" s="4">
        <v>32038.0</v>
      </c>
      <c r="P814" s="4">
        <f t="shared" si="1"/>
        <v>57.15</v>
      </c>
      <c r="Q814" s="4" t="str">
        <f t="shared" si="2"/>
        <v>High</v>
      </c>
      <c r="R814" s="1" t="str">
        <f t="shared" si="3"/>
        <v>Underutilized</v>
      </c>
      <c r="S814" s="4">
        <f t="shared" si="4"/>
        <v>78.1966266</v>
      </c>
      <c r="T814" s="1" t="str">
        <f t="shared" si="5"/>
        <v>Normal Cost</v>
      </c>
      <c r="U814" s="4">
        <f t="shared" si="6"/>
        <v>0.1929427555</v>
      </c>
    </row>
    <row r="815">
      <c r="A815" s="4" t="s">
        <v>1845</v>
      </c>
      <c r="B815" s="4" t="s">
        <v>31</v>
      </c>
      <c r="C815" s="4">
        <v>388.7474</v>
      </c>
      <c r="D815" s="4" t="s">
        <v>21</v>
      </c>
      <c r="E815" s="4" t="s">
        <v>18</v>
      </c>
      <c r="F815" s="4">
        <v>72.75</v>
      </c>
      <c r="G815" s="4">
        <v>57.96</v>
      </c>
      <c r="H815" s="4">
        <v>9.3325878549E10</v>
      </c>
      <c r="I815" s="6">
        <v>1.00975E11</v>
      </c>
      <c r="J815" s="5">
        <v>45543.1625</v>
      </c>
      <c r="K815" s="4" t="s">
        <v>1846</v>
      </c>
      <c r="L815" s="4">
        <v>2.03</v>
      </c>
      <c r="M815" s="4">
        <v>789.16</v>
      </c>
      <c r="N815" s="4">
        <v>789.0</v>
      </c>
      <c r="O815" s="4">
        <v>65487.0</v>
      </c>
      <c r="P815" s="4">
        <f t="shared" si="1"/>
        <v>123</v>
      </c>
      <c r="Q815" s="4" t="str">
        <f t="shared" si="2"/>
        <v>High</v>
      </c>
      <c r="R815" s="1" t="str">
        <f t="shared" si="3"/>
        <v>Normal</v>
      </c>
      <c r="S815" s="6">
        <f t="shared" si="4"/>
        <v>180.9567945</v>
      </c>
      <c r="T815" s="1" t="str">
        <f t="shared" si="5"/>
        <v>Normal Cost</v>
      </c>
      <c r="U815" s="4">
        <f t="shared" si="6"/>
        <v>0.09979843328</v>
      </c>
    </row>
    <row r="816">
      <c r="A816" s="4" t="s">
        <v>1847</v>
      </c>
      <c r="B816" s="4" t="s">
        <v>62</v>
      </c>
      <c r="C816" s="4">
        <v>32.3167</v>
      </c>
      <c r="D816" s="4" t="s">
        <v>42</v>
      </c>
      <c r="E816" s="4" t="s">
        <v>32</v>
      </c>
      <c r="F816" s="4">
        <v>76.49</v>
      </c>
      <c r="G816" s="4">
        <v>69.71</v>
      </c>
      <c r="H816" s="4">
        <v>3.3326456106E10</v>
      </c>
      <c r="I816" s="4">
        <v>3.8389861466E10</v>
      </c>
      <c r="J816" s="5">
        <v>45572.066666666666</v>
      </c>
      <c r="K816" s="5">
        <v>45603.413194444445</v>
      </c>
      <c r="L816" s="4">
        <v>1.71</v>
      </c>
      <c r="M816" s="4">
        <v>55.26</v>
      </c>
      <c r="N816" s="4">
        <v>55.0</v>
      </c>
      <c r="O816" s="4">
        <v>4565.0</v>
      </c>
      <c r="P816" s="4">
        <f t="shared" si="1"/>
        <v>32.31666667</v>
      </c>
      <c r="Q816" s="4" t="str">
        <f t="shared" si="2"/>
        <v>High</v>
      </c>
      <c r="R816" s="1" t="str">
        <f t="shared" si="3"/>
        <v>Normal</v>
      </c>
      <c r="S816" s="4">
        <f t="shared" si="4"/>
        <v>66.79102552</v>
      </c>
      <c r="T816" s="1" t="str">
        <f t="shared" si="5"/>
        <v>Normal Cost</v>
      </c>
      <c r="U816" s="4">
        <f t="shared" si="6"/>
        <v>1.601314348</v>
      </c>
    </row>
    <row r="817">
      <c r="A817" s="4" t="s">
        <v>1848</v>
      </c>
      <c r="B817" s="4" t="s">
        <v>83</v>
      </c>
      <c r="C817" s="4">
        <v>704.9892</v>
      </c>
      <c r="D817" s="4" t="s">
        <v>21</v>
      </c>
      <c r="E817" s="4" t="s">
        <v>22</v>
      </c>
      <c r="F817" s="4">
        <v>28.27</v>
      </c>
      <c r="G817" s="4">
        <v>51.95</v>
      </c>
      <c r="H817" s="4">
        <v>5.5442069999E10</v>
      </c>
      <c r="I817" s="4">
        <v>6.3087373471E10</v>
      </c>
      <c r="J817" s="4" t="s">
        <v>1849</v>
      </c>
      <c r="K817" s="4" t="s">
        <v>1850</v>
      </c>
      <c r="L817" s="4">
        <v>3.03</v>
      </c>
      <c r="M817" s="4">
        <v>2136.12</v>
      </c>
      <c r="N817" s="4">
        <v>2136.0</v>
      </c>
      <c r="O817" s="4">
        <v>177288.0</v>
      </c>
      <c r="P817" s="4">
        <f t="shared" si="1"/>
        <v>93.11666667</v>
      </c>
      <c r="Q817" s="4" t="str">
        <f t="shared" si="2"/>
        <v>Underutilized</v>
      </c>
      <c r="R817" s="1" t="str">
        <f t="shared" si="3"/>
        <v>Normal</v>
      </c>
      <c r="S817" s="4">
        <f t="shared" si="4"/>
        <v>110.3891465</v>
      </c>
      <c r="T817" s="1" t="str">
        <f t="shared" si="5"/>
        <v>High Cost</v>
      </c>
      <c r="U817" s="4">
        <f t="shared" si="6"/>
        <v>0.02262420468</v>
      </c>
    </row>
    <row r="818">
      <c r="A818" s="4" t="s">
        <v>1851</v>
      </c>
      <c r="B818" s="4" t="s">
        <v>41</v>
      </c>
      <c r="C818" s="4">
        <v>96.5333</v>
      </c>
      <c r="D818" s="4" t="s">
        <v>42</v>
      </c>
      <c r="E818" s="4" t="s">
        <v>105</v>
      </c>
      <c r="F818" s="4">
        <v>49.33</v>
      </c>
      <c r="G818" s="4">
        <v>45.03</v>
      </c>
      <c r="H818" s="4">
        <v>7.4025589911E10</v>
      </c>
      <c r="I818" s="4">
        <v>7.5570232081E10</v>
      </c>
      <c r="J818" s="5">
        <v>45634.46388888889</v>
      </c>
      <c r="K818" s="4" t="s">
        <v>1852</v>
      </c>
      <c r="L818" s="4">
        <v>3.15</v>
      </c>
      <c r="M818" s="4">
        <v>304.08</v>
      </c>
      <c r="N818" s="4">
        <v>304.0</v>
      </c>
      <c r="O818" s="4">
        <v>25232.0</v>
      </c>
      <c r="P818" s="4">
        <f t="shared" si="1"/>
        <v>96.53333333</v>
      </c>
      <c r="Q818" s="4" t="str">
        <f t="shared" si="2"/>
        <v>Normal</v>
      </c>
      <c r="R818" s="1" t="str">
        <f t="shared" si="3"/>
        <v>Normal</v>
      </c>
      <c r="S818" s="4">
        <f t="shared" si="4"/>
        <v>139.3219661</v>
      </c>
      <c r="T818" s="1" t="str">
        <f t="shared" si="5"/>
        <v>Normal Cost</v>
      </c>
      <c r="U818" s="4">
        <f t="shared" si="6"/>
        <v>0.1869847812</v>
      </c>
    </row>
    <row r="819">
      <c r="A819" s="4" t="s">
        <v>1853</v>
      </c>
      <c r="B819" s="4" t="s">
        <v>169</v>
      </c>
      <c r="C819" s="4">
        <v>224.6634</v>
      </c>
      <c r="D819" s="4" t="s">
        <v>17</v>
      </c>
      <c r="E819" s="4" t="s">
        <v>32</v>
      </c>
      <c r="F819" s="4">
        <v>96.43</v>
      </c>
      <c r="G819" s="4">
        <v>51.92</v>
      </c>
      <c r="H819" s="4">
        <v>7.8234763502E10</v>
      </c>
      <c r="I819" s="4">
        <v>7.8418921626E10</v>
      </c>
      <c r="J819" s="4" t="s">
        <v>1854</v>
      </c>
      <c r="K819" s="5">
        <v>45299.51597222222</v>
      </c>
      <c r="L819" s="4">
        <v>3.07</v>
      </c>
      <c r="M819" s="4">
        <v>689.72</v>
      </c>
      <c r="N819" s="4">
        <v>690.0</v>
      </c>
      <c r="O819" s="4">
        <v>57270.0</v>
      </c>
      <c r="P819" s="4">
        <f t="shared" si="1"/>
        <v>25.26666667</v>
      </c>
      <c r="Q819" s="4" t="str">
        <f t="shared" si="2"/>
        <v>High</v>
      </c>
      <c r="R819" s="1" t="str">
        <f t="shared" si="3"/>
        <v>Normal</v>
      </c>
      <c r="S819" s="4">
        <f t="shared" si="4"/>
        <v>145.8951134</v>
      </c>
      <c r="T819" s="1" t="str">
        <f t="shared" si="5"/>
        <v>Normal Cost</v>
      </c>
      <c r="U819" s="4">
        <f t="shared" si="6"/>
        <v>0.1295180723</v>
      </c>
    </row>
    <row r="820">
      <c r="A820" s="4" t="s">
        <v>1855</v>
      </c>
      <c r="B820" s="4" t="s">
        <v>79</v>
      </c>
      <c r="C820" s="4">
        <v>549.3916</v>
      </c>
      <c r="D820" s="4" t="s">
        <v>21</v>
      </c>
      <c r="E820" s="4" t="s">
        <v>54</v>
      </c>
      <c r="F820" s="4">
        <v>12.45</v>
      </c>
      <c r="G820" s="4">
        <v>61.62</v>
      </c>
      <c r="H820" s="4">
        <v>2.022728754E10</v>
      </c>
      <c r="I820" s="4">
        <v>2.714721784E10</v>
      </c>
      <c r="J820" s="5">
        <v>45572.427083333336</v>
      </c>
      <c r="K820" s="4" t="s">
        <v>1856</v>
      </c>
      <c r="L820" s="4">
        <v>6.11</v>
      </c>
      <c r="M820" s="4">
        <v>3356.78</v>
      </c>
      <c r="N820" s="4">
        <v>3357.0</v>
      </c>
      <c r="O820" s="4">
        <v>278631.0</v>
      </c>
      <c r="P820" s="4">
        <f t="shared" si="1"/>
        <v>85.65</v>
      </c>
      <c r="Q820" s="4" t="str">
        <f t="shared" si="2"/>
        <v>Underutilized</v>
      </c>
      <c r="R820" s="1" t="str">
        <f t="shared" si="3"/>
        <v>Normal</v>
      </c>
      <c r="S820" s="4">
        <f t="shared" si="4"/>
        <v>44.12094632</v>
      </c>
      <c r="T820" s="1" t="str">
        <f t="shared" si="5"/>
        <v>High Cost</v>
      </c>
      <c r="U820" s="4">
        <f t="shared" si="6"/>
        <v>0.01329177299</v>
      </c>
    </row>
    <row r="821">
      <c r="A821" s="4" t="s">
        <v>1857</v>
      </c>
      <c r="B821" s="4" t="s">
        <v>273</v>
      </c>
      <c r="C821" s="4">
        <v>791.6701</v>
      </c>
      <c r="D821" s="4" t="s">
        <v>21</v>
      </c>
      <c r="E821" s="4" t="s">
        <v>105</v>
      </c>
      <c r="F821" s="4">
        <v>56.26</v>
      </c>
      <c r="G821" s="4">
        <v>62.14</v>
      </c>
      <c r="H821" s="4">
        <v>3.7369937349E10</v>
      </c>
      <c r="I821" s="4">
        <v>3.8028739139E10</v>
      </c>
      <c r="J821" s="4" t="s">
        <v>1858</v>
      </c>
      <c r="K821" s="4" t="s">
        <v>1859</v>
      </c>
      <c r="L821" s="4">
        <v>9.15</v>
      </c>
      <c r="M821" s="4">
        <v>7243.78</v>
      </c>
      <c r="N821" s="4">
        <v>7244.0</v>
      </c>
      <c r="O821" s="4">
        <v>601252.0</v>
      </c>
      <c r="P821" s="4">
        <f t="shared" si="1"/>
        <v>106.5333333</v>
      </c>
      <c r="Q821" s="4" t="str">
        <f t="shared" si="2"/>
        <v>Normal</v>
      </c>
      <c r="R821" s="1" t="str">
        <f t="shared" si="3"/>
        <v>Normal</v>
      </c>
      <c r="S821" s="4">
        <f t="shared" si="4"/>
        <v>70.22048951</v>
      </c>
      <c r="T821" s="1" t="str">
        <f t="shared" si="5"/>
        <v>High Cost</v>
      </c>
      <c r="U821" s="4">
        <f t="shared" si="6"/>
        <v>0.009846121094</v>
      </c>
    </row>
    <row r="822">
      <c r="A822" s="4" t="s">
        <v>1860</v>
      </c>
      <c r="B822" s="4" t="s">
        <v>139</v>
      </c>
      <c r="C822" s="4">
        <v>113.35</v>
      </c>
      <c r="D822" s="4" t="s">
        <v>42</v>
      </c>
      <c r="E822" s="4" t="s">
        <v>70</v>
      </c>
      <c r="F822" s="4">
        <v>91.64</v>
      </c>
      <c r="G822" s="4">
        <v>12.52</v>
      </c>
      <c r="H822" s="4">
        <v>1.9503952454E10</v>
      </c>
      <c r="I822" s="4">
        <v>2.6720821217E10</v>
      </c>
      <c r="J822" s="4" t="s">
        <v>1861</v>
      </c>
      <c r="K822" s="4" t="s">
        <v>1862</v>
      </c>
      <c r="L822" s="4">
        <v>3.1</v>
      </c>
      <c r="M822" s="4">
        <v>351.38</v>
      </c>
      <c r="N822" s="4">
        <v>351.0</v>
      </c>
      <c r="O822" s="4">
        <v>29133.0</v>
      </c>
      <c r="P822" s="4">
        <f t="shared" si="1"/>
        <v>113.35</v>
      </c>
      <c r="Q822" s="4" t="str">
        <f t="shared" si="2"/>
        <v>High</v>
      </c>
      <c r="R822" s="1" t="str">
        <f t="shared" si="3"/>
        <v>Underutilized</v>
      </c>
      <c r="S822" s="4">
        <f t="shared" si="4"/>
        <v>43.05017523</v>
      </c>
      <c r="T822" s="1" t="str">
        <f t="shared" si="5"/>
        <v>Normal Cost</v>
      </c>
      <c r="U822" s="4">
        <f t="shared" si="6"/>
        <v>0.1787663474</v>
      </c>
    </row>
    <row r="823">
      <c r="A823" s="4" t="s">
        <v>1863</v>
      </c>
      <c r="B823" s="4" t="s">
        <v>66</v>
      </c>
      <c r="C823" s="4">
        <v>341.9698</v>
      </c>
      <c r="D823" s="4" t="s">
        <v>17</v>
      </c>
      <c r="E823" s="4" t="s">
        <v>74</v>
      </c>
      <c r="F823" s="4">
        <v>73.3</v>
      </c>
      <c r="G823" s="4">
        <v>96.95</v>
      </c>
      <c r="H823" s="4">
        <v>7.2892190659E10</v>
      </c>
      <c r="I823" s="4">
        <v>7.9569564021E10</v>
      </c>
      <c r="J823" s="4" t="s">
        <v>1864</v>
      </c>
      <c r="K823" s="4" t="s">
        <v>1865</v>
      </c>
      <c r="L823" s="4">
        <v>5.27</v>
      </c>
      <c r="M823" s="4">
        <v>1802.18</v>
      </c>
      <c r="N823" s="4">
        <v>1802.0</v>
      </c>
      <c r="O823" s="4">
        <v>149566.0</v>
      </c>
      <c r="P823" s="4">
        <f t="shared" si="1"/>
        <v>118.3833333</v>
      </c>
      <c r="Q823" s="4" t="str">
        <f t="shared" si="2"/>
        <v>High</v>
      </c>
      <c r="R823" s="1" t="str">
        <f t="shared" si="3"/>
        <v>High</v>
      </c>
      <c r="S823" s="4">
        <f t="shared" si="4"/>
        <v>141.9910739</v>
      </c>
      <c r="T823" s="1" t="str">
        <f t="shared" si="5"/>
        <v>Normal Cost</v>
      </c>
      <c r="U823" s="4">
        <f t="shared" si="6"/>
        <v>0.05691467312</v>
      </c>
    </row>
    <row r="824">
      <c r="A824" s="4" t="s">
        <v>1866</v>
      </c>
      <c r="B824" s="4" t="s">
        <v>31</v>
      </c>
      <c r="C824" s="4">
        <v>209.4004</v>
      </c>
      <c r="D824" s="4" t="s">
        <v>21</v>
      </c>
      <c r="E824" s="4" t="s">
        <v>105</v>
      </c>
      <c r="F824" s="4">
        <v>44.05</v>
      </c>
      <c r="G824" s="4">
        <v>1.48</v>
      </c>
      <c r="H824" s="4">
        <v>1.815786124E10</v>
      </c>
      <c r="I824" s="4">
        <v>2.1352123635E10</v>
      </c>
      <c r="J824" s="4" t="s">
        <v>1867</v>
      </c>
      <c r="K824" s="4" t="s">
        <v>1868</v>
      </c>
      <c r="L824" s="4">
        <v>8.98</v>
      </c>
      <c r="M824" s="4">
        <v>1880.42</v>
      </c>
      <c r="N824" s="4">
        <v>1880.0</v>
      </c>
      <c r="O824" s="4">
        <v>156040.0</v>
      </c>
      <c r="P824" s="4">
        <f t="shared" si="1"/>
        <v>93.03333333</v>
      </c>
      <c r="Q824" s="4" t="str">
        <f t="shared" si="2"/>
        <v>Normal</v>
      </c>
      <c r="R824" s="1" t="str">
        <f t="shared" si="3"/>
        <v>Underutilized</v>
      </c>
      <c r="S824" s="4">
        <f t="shared" si="4"/>
        <v>36.79654084</v>
      </c>
      <c r="T824" s="1" t="str">
        <f t="shared" si="5"/>
        <v>Normal Cost</v>
      </c>
      <c r="U824" s="4">
        <f t="shared" si="6"/>
        <v>0.0145892079</v>
      </c>
    </row>
    <row r="825">
      <c r="A825" s="4" t="s">
        <v>1869</v>
      </c>
      <c r="B825" s="4" t="s">
        <v>57</v>
      </c>
      <c r="C825" s="4">
        <v>587.6768</v>
      </c>
      <c r="D825" s="4" t="s">
        <v>17</v>
      </c>
      <c r="E825" s="4" t="s">
        <v>123</v>
      </c>
      <c r="F825" s="4">
        <v>81.61</v>
      </c>
      <c r="G825" s="4">
        <v>50.26</v>
      </c>
      <c r="H825" s="4">
        <v>3.668732404E10</v>
      </c>
      <c r="I825" s="4">
        <v>3.9159602354E10</v>
      </c>
      <c r="J825" s="4" t="s">
        <v>1870</v>
      </c>
      <c r="K825" s="4" t="s">
        <v>1871</v>
      </c>
      <c r="L825" s="4">
        <v>3.16</v>
      </c>
      <c r="M825" s="4">
        <v>1857.06</v>
      </c>
      <c r="N825" s="4">
        <v>1857.0</v>
      </c>
      <c r="O825" s="4">
        <v>154131.0</v>
      </c>
      <c r="P825" s="4">
        <f t="shared" si="1"/>
        <v>53.03333333</v>
      </c>
      <c r="Q825" s="4" t="str">
        <f t="shared" si="2"/>
        <v>High</v>
      </c>
      <c r="R825" s="1" t="str">
        <f t="shared" si="3"/>
        <v>Normal</v>
      </c>
      <c r="S825" s="4">
        <f t="shared" si="4"/>
        <v>70.63795477</v>
      </c>
      <c r="T825" s="1" t="str">
        <f t="shared" si="5"/>
        <v>Normal Cost</v>
      </c>
      <c r="U825" s="4">
        <f t="shared" si="6"/>
        <v>0.04277854552</v>
      </c>
    </row>
    <row r="826">
      <c r="A826" s="4" t="s">
        <v>1872</v>
      </c>
      <c r="B826" s="4" t="s">
        <v>20</v>
      </c>
      <c r="C826" s="4">
        <v>517.2012</v>
      </c>
      <c r="D826" s="4" t="s">
        <v>21</v>
      </c>
      <c r="E826" s="4" t="s">
        <v>58</v>
      </c>
      <c r="F826" s="4">
        <v>51.35</v>
      </c>
      <c r="G826" s="4">
        <v>48.91</v>
      </c>
      <c r="H826" s="4">
        <v>8.8995413371E10</v>
      </c>
      <c r="I826" s="4">
        <v>9.413873521E10</v>
      </c>
      <c r="J826" s="5">
        <v>45572.4</v>
      </c>
      <c r="K826" s="5">
        <v>45603.56875</v>
      </c>
      <c r="L826" s="4">
        <v>7.47</v>
      </c>
      <c r="M826" s="4">
        <v>3863.49</v>
      </c>
      <c r="N826" s="4">
        <v>3863.0</v>
      </c>
      <c r="O826" s="4">
        <v>320629.0</v>
      </c>
      <c r="P826" s="4">
        <f t="shared" si="1"/>
        <v>28.05</v>
      </c>
      <c r="Q826" s="4" t="str">
        <f t="shared" si="2"/>
        <v>Normal</v>
      </c>
      <c r="R826" s="1" t="str">
        <f t="shared" si="3"/>
        <v>Normal</v>
      </c>
      <c r="S826" s="4">
        <f t="shared" si="4"/>
        <v>170.5569668</v>
      </c>
      <c r="T826" s="1" t="str">
        <f t="shared" si="5"/>
        <v>High Cost</v>
      </c>
      <c r="U826" s="4">
        <f t="shared" si="6"/>
        <v>0.01563489266</v>
      </c>
    </row>
    <row r="827">
      <c r="A827" s="4" t="s">
        <v>1873</v>
      </c>
      <c r="B827" s="4" t="s">
        <v>183</v>
      </c>
      <c r="C827" s="4">
        <v>302.3678</v>
      </c>
      <c r="D827" s="4" t="s">
        <v>21</v>
      </c>
      <c r="E827" s="4" t="s">
        <v>70</v>
      </c>
      <c r="F827" s="4">
        <v>90.78</v>
      </c>
      <c r="G827" s="4">
        <v>86.3</v>
      </c>
      <c r="H827" s="4">
        <v>1.7717813072E10</v>
      </c>
      <c r="I827" s="4">
        <v>1.8693727301E10</v>
      </c>
      <c r="J827" s="5">
        <v>45359.5875</v>
      </c>
      <c r="K827" s="5">
        <v>45420.17638888889</v>
      </c>
      <c r="L827" s="4">
        <v>9.77</v>
      </c>
      <c r="M827" s="4">
        <v>2954.13</v>
      </c>
      <c r="N827" s="4">
        <v>2954.0</v>
      </c>
      <c r="O827" s="4">
        <v>245182.0</v>
      </c>
      <c r="P827" s="4">
        <f t="shared" si="1"/>
        <v>38.13333333</v>
      </c>
      <c r="Q827" s="4" t="str">
        <f t="shared" si="2"/>
        <v>High</v>
      </c>
      <c r="R827" s="1" t="str">
        <f t="shared" si="3"/>
        <v>High</v>
      </c>
      <c r="S827" s="4">
        <f t="shared" si="4"/>
        <v>33.91088953</v>
      </c>
      <c r="T827" s="1" t="str">
        <f t="shared" si="5"/>
        <v>High Cost</v>
      </c>
      <c r="U827" s="4">
        <f t="shared" si="6"/>
        <v>0.03611194949</v>
      </c>
    </row>
    <row r="828">
      <c r="A828" s="4" t="s">
        <v>1874</v>
      </c>
      <c r="B828" s="4" t="s">
        <v>31</v>
      </c>
      <c r="C828" s="4">
        <v>727.624</v>
      </c>
      <c r="D828" s="4" t="s">
        <v>17</v>
      </c>
      <c r="E828" s="4" t="s">
        <v>58</v>
      </c>
      <c r="F828" s="4">
        <v>75.76</v>
      </c>
      <c r="G828" s="4">
        <v>98.84</v>
      </c>
      <c r="H828" s="4">
        <v>2.8995209715E10</v>
      </c>
      <c r="I828" s="4">
        <v>3.47246044E10</v>
      </c>
      <c r="J828" s="5">
        <v>45389.808333333334</v>
      </c>
      <c r="K828" s="5">
        <v>45450.902083333334</v>
      </c>
      <c r="L828" s="4">
        <v>6.77</v>
      </c>
      <c r="M828" s="4">
        <v>4926.01</v>
      </c>
      <c r="N828" s="4">
        <v>4926.0</v>
      </c>
      <c r="O828" s="4">
        <v>408858.0</v>
      </c>
      <c r="P828" s="4">
        <f t="shared" si="1"/>
        <v>50.25</v>
      </c>
      <c r="Q828" s="4" t="str">
        <f t="shared" si="2"/>
        <v>High</v>
      </c>
      <c r="R828" s="1" t="str">
        <f t="shared" si="3"/>
        <v>High</v>
      </c>
      <c r="S828" s="4">
        <f t="shared" si="4"/>
        <v>59.34370134</v>
      </c>
      <c r="T828" s="1" t="str">
        <f t="shared" si="5"/>
        <v>High Cost</v>
      </c>
      <c r="U828" s="4">
        <f t="shared" si="6"/>
        <v>0.02135215649</v>
      </c>
    </row>
    <row r="829">
      <c r="A829" s="4" t="s">
        <v>1875</v>
      </c>
      <c r="B829" s="4" t="s">
        <v>112</v>
      </c>
      <c r="C829" s="4">
        <v>58.8667</v>
      </c>
      <c r="D829" s="4" t="s">
        <v>42</v>
      </c>
      <c r="E829" s="4" t="s">
        <v>105</v>
      </c>
      <c r="F829" s="4">
        <v>9.57</v>
      </c>
      <c r="G829" s="4">
        <v>50.39</v>
      </c>
      <c r="H829" s="4">
        <v>1.7964013909E10</v>
      </c>
      <c r="I829" s="4">
        <v>2.5344471081E10</v>
      </c>
      <c r="J829" s="4" t="s">
        <v>1876</v>
      </c>
      <c r="K829" s="4" t="s">
        <v>1877</v>
      </c>
      <c r="L829" s="4">
        <v>4.79</v>
      </c>
      <c r="M829" s="4">
        <v>281.97</v>
      </c>
      <c r="N829" s="4">
        <v>282.0</v>
      </c>
      <c r="O829" s="4">
        <v>23406.0</v>
      </c>
      <c r="P829" s="4">
        <f t="shared" si="1"/>
        <v>58.86666667</v>
      </c>
      <c r="Q829" s="4" t="str">
        <f t="shared" si="2"/>
        <v>Underutilized</v>
      </c>
      <c r="R829" s="1" t="str">
        <f t="shared" si="3"/>
        <v>Normal</v>
      </c>
      <c r="S829" s="4">
        <f t="shared" si="4"/>
        <v>40.33416974</v>
      </c>
      <c r="T829" s="1" t="str">
        <f t="shared" si="5"/>
        <v>Normal Cost</v>
      </c>
      <c r="U829" s="4">
        <f t="shared" si="6"/>
        <v>0.1280868153</v>
      </c>
    </row>
    <row r="830">
      <c r="A830" s="4" t="s">
        <v>1878</v>
      </c>
      <c r="B830" s="4" t="s">
        <v>273</v>
      </c>
      <c r="C830" s="4">
        <v>396.9256</v>
      </c>
      <c r="D830" s="4" t="s">
        <v>21</v>
      </c>
      <c r="E830" s="4" t="s">
        <v>74</v>
      </c>
      <c r="F830" s="4">
        <v>57.06</v>
      </c>
      <c r="G830" s="4">
        <v>22.3</v>
      </c>
      <c r="H830" s="4">
        <v>1.0093349684E10</v>
      </c>
      <c r="I830" s="4">
        <v>1.4110520431E10</v>
      </c>
      <c r="J830" s="4" t="s">
        <v>1879</v>
      </c>
      <c r="K830" s="4" t="s">
        <v>1880</v>
      </c>
      <c r="L830" s="4">
        <v>9.33</v>
      </c>
      <c r="M830" s="4">
        <v>3703.32</v>
      </c>
      <c r="N830" s="4">
        <v>3703.0</v>
      </c>
      <c r="O830" s="4">
        <v>307349.0</v>
      </c>
      <c r="P830" s="4">
        <f t="shared" si="1"/>
        <v>99.55</v>
      </c>
      <c r="Q830" s="4" t="str">
        <f t="shared" si="2"/>
        <v>Normal</v>
      </c>
      <c r="R830" s="1" t="str">
        <f t="shared" si="3"/>
        <v>Underutilized</v>
      </c>
      <c r="S830" s="4">
        <f t="shared" si="4"/>
        <v>22.54161063</v>
      </c>
      <c r="T830" s="1" t="str">
        <f t="shared" si="5"/>
        <v>High Cost</v>
      </c>
      <c r="U830" s="4">
        <f t="shared" si="6"/>
        <v>0.01291040478</v>
      </c>
    </row>
    <row r="831">
      <c r="A831" s="4" t="s">
        <v>1881</v>
      </c>
      <c r="B831" s="4" t="s">
        <v>62</v>
      </c>
      <c r="C831" s="4">
        <v>64.0</v>
      </c>
      <c r="D831" s="4" t="s">
        <v>42</v>
      </c>
      <c r="E831" s="4" t="s">
        <v>74</v>
      </c>
      <c r="F831" s="4">
        <v>9.87</v>
      </c>
      <c r="G831" s="4">
        <v>99.57</v>
      </c>
      <c r="H831" s="4">
        <v>5.9168350548E10</v>
      </c>
      <c r="I831" s="4">
        <v>6.4369054308E10</v>
      </c>
      <c r="J831" s="4" t="s">
        <v>1882</v>
      </c>
      <c r="K831" s="4" t="s">
        <v>1883</v>
      </c>
      <c r="L831" s="4">
        <v>1.83</v>
      </c>
      <c r="M831" s="4">
        <v>117.12</v>
      </c>
      <c r="N831" s="4">
        <v>117.0</v>
      </c>
      <c r="O831" s="4">
        <v>9711.0</v>
      </c>
      <c r="P831" s="4">
        <f t="shared" si="1"/>
        <v>64</v>
      </c>
      <c r="Q831" s="4" t="str">
        <f t="shared" si="2"/>
        <v>Underutilized</v>
      </c>
      <c r="R831" s="1" t="str">
        <f t="shared" si="3"/>
        <v>High</v>
      </c>
      <c r="S831" s="4">
        <f t="shared" si="4"/>
        <v>115.053174</v>
      </c>
      <c r="T831" s="1" t="str">
        <f t="shared" si="5"/>
        <v>Normal Cost</v>
      </c>
      <c r="U831" s="4">
        <f t="shared" si="6"/>
        <v>0.5634847081</v>
      </c>
    </row>
    <row r="832">
      <c r="A832" s="4" t="s">
        <v>1884</v>
      </c>
      <c r="B832" s="4" t="s">
        <v>53</v>
      </c>
      <c r="C832" s="4">
        <v>969.402</v>
      </c>
      <c r="D832" s="4" t="s">
        <v>17</v>
      </c>
      <c r="E832" s="4" t="s">
        <v>74</v>
      </c>
      <c r="F832" s="4">
        <v>44.87</v>
      </c>
      <c r="G832" s="4">
        <v>61.09</v>
      </c>
      <c r="H832" s="4">
        <v>3.9961530048E10</v>
      </c>
      <c r="I832" s="4">
        <v>4.6907092891E10</v>
      </c>
      <c r="J832" s="4" t="s">
        <v>1885</v>
      </c>
      <c r="K832" s="4" t="s">
        <v>1886</v>
      </c>
      <c r="L832" s="4">
        <v>6.34</v>
      </c>
      <c r="M832" s="4">
        <v>6146.01</v>
      </c>
      <c r="N832" s="4">
        <v>6146.0</v>
      </c>
      <c r="O832" s="4">
        <v>510118.0</v>
      </c>
      <c r="P832" s="4">
        <f t="shared" si="1"/>
        <v>134.2166667</v>
      </c>
      <c r="Q832" s="4" t="str">
        <f t="shared" si="2"/>
        <v>Normal</v>
      </c>
      <c r="R832" s="1" t="str">
        <f t="shared" si="3"/>
        <v>Normal</v>
      </c>
      <c r="S832" s="4">
        <f t="shared" si="4"/>
        <v>80.90270957</v>
      </c>
      <c r="T832" s="1" t="str">
        <f t="shared" si="5"/>
        <v>High Cost</v>
      </c>
      <c r="U832" s="4">
        <f t="shared" si="6"/>
        <v>0.0103858323</v>
      </c>
    </row>
    <row r="833">
      <c r="A833" s="4" t="s">
        <v>1887</v>
      </c>
      <c r="B833" s="4" t="s">
        <v>112</v>
      </c>
      <c r="C833" s="4">
        <v>43.2167</v>
      </c>
      <c r="D833" s="4" t="s">
        <v>42</v>
      </c>
      <c r="E833" s="4" t="s">
        <v>54</v>
      </c>
      <c r="F833" s="4">
        <v>72.52</v>
      </c>
      <c r="G833" s="4">
        <v>1.51</v>
      </c>
      <c r="H833" s="4">
        <v>4.5131283127E10</v>
      </c>
      <c r="I833" s="4">
        <v>4.631674835E10</v>
      </c>
      <c r="J833" s="4" t="s">
        <v>1888</v>
      </c>
      <c r="K833" s="5">
        <v>45330.10277777778</v>
      </c>
      <c r="L833" s="4">
        <v>8.39</v>
      </c>
      <c r="M833" s="4">
        <v>362.59</v>
      </c>
      <c r="N833" s="4">
        <v>363.0</v>
      </c>
      <c r="O833" s="4">
        <v>30129.0</v>
      </c>
      <c r="P833" s="4">
        <f t="shared" si="1"/>
        <v>43.21666667</v>
      </c>
      <c r="Q833" s="4" t="str">
        <f t="shared" si="2"/>
        <v>High</v>
      </c>
      <c r="R833" s="1" t="str">
        <f t="shared" si="3"/>
        <v>Underutilized</v>
      </c>
      <c r="S833" s="4">
        <f t="shared" si="4"/>
        <v>85.16761612</v>
      </c>
      <c r="T833" s="1" t="str">
        <f t="shared" si="5"/>
        <v>Normal Cost</v>
      </c>
      <c r="U833" s="4">
        <f t="shared" si="6"/>
        <v>0.1228550566</v>
      </c>
    </row>
    <row r="834">
      <c r="A834" s="4" t="s">
        <v>1889</v>
      </c>
      <c r="B834" s="4" t="s">
        <v>46</v>
      </c>
      <c r="C834" s="4">
        <v>429.6128</v>
      </c>
      <c r="D834" s="4" t="s">
        <v>21</v>
      </c>
      <c r="E834" s="4" t="s">
        <v>22</v>
      </c>
      <c r="F834" s="4">
        <v>7.57</v>
      </c>
      <c r="G834" s="4">
        <v>82.52</v>
      </c>
      <c r="H834" s="4">
        <v>1.7780576274E10</v>
      </c>
      <c r="I834" s="4">
        <v>2.4026754063E10</v>
      </c>
      <c r="J834" s="4" t="s">
        <v>170</v>
      </c>
      <c r="K834" s="4" t="s">
        <v>1890</v>
      </c>
      <c r="L834" s="4">
        <v>9.89</v>
      </c>
      <c r="M834" s="4">
        <v>4248.87</v>
      </c>
      <c r="N834" s="4">
        <v>4249.0</v>
      </c>
      <c r="O834" s="4">
        <v>352667.0</v>
      </c>
      <c r="P834" s="4">
        <f t="shared" si="1"/>
        <v>111.3833333</v>
      </c>
      <c r="Q834" s="4" t="str">
        <f t="shared" si="2"/>
        <v>Underutilized</v>
      </c>
      <c r="R834" s="1" t="str">
        <f t="shared" si="3"/>
        <v>High</v>
      </c>
      <c r="S834" s="4">
        <f t="shared" si="4"/>
        <v>38.93611053</v>
      </c>
      <c r="T834" s="1" t="str">
        <f t="shared" si="5"/>
        <v>High Cost</v>
      </c>
      <c r="U834" s="4">
        <f t="shared" si="6"/>
        <v>0.01277267224</v>
      </c>
    </row>
    <row r="835">
      <c r="A835" s="4" t="s">
        <v>1891</v>
      </c>
      <c r="B835" s="4" t="s">
        <v>66</v>
      </c>
      <c r="C835" s="4">
        <v>553.815</v>
      </c>
      <c r="D835" s="4" t="s">
        <v>21</v>
      </c>
      <c r="E835" s="4" t="s">
        <v>32</v>
      </c>
      <c r="F835" s="4">
        <v>81.55</v>
      </c>
      <c r="G835" s="4">
        <v>79.67</v>
      </c>
      <c r="H835" s="4">
        <v>8.7699225085E10</v>
      </c>
      <c r="I835" s="4">
        <v>9.5956905153E10</v>
      </c>
      <c r="J835" s="4" t="s">
        <v>1892</v>
      </c>
      <c r="K835" s="4" t="s">
        <v>1893</v>
      </c>
      <c r="L835" s="4">
        <v>6.04</v>
      </c>
      <c r="M835" s="4">
        <v>3345.04</v>
      </c>
      <c r="N835" s="4">
        <v>3345.0</v>
      </c>
      <c r="O835" s="4">
        <v>277635.0</v>
      </c>
      <c r="P835" s="4">
        <f t="shared" si="1"/>
        <v>85.85</v>
      </c>
      <c r="Q835" s="4" t="str">
        <f t="shared" si="2"/>
        <v>High</v>
      </c>
      <c r="R835" s="1" t="str">
        <f t="shared" si="3"/>
        <v>High</v>
      </c>
      <c r="S835" s="4">
        <f t="shared" si="4"/>
        <v>171.0431001</v>
      </c>
      <c r="T835" s="1" t="str">
        <f t="shared" si="5"/>
        <v>High Cost</v>
      </c>
      <c r="U835" s="4">
        <f t="shared" si="6"/>
        <v>0.02903452375</v>
      </c>
    </row>
    <row r="836">
      <c r="A836" s="4" t="s">
        <v>1894</v>
      </c>
      <c r="B836" s="4" t="s">
        <v>273</v>
      </c>
      <c r="C836" s="4">
        <v>129.8672</v>
      </c>
      <c r="D836" s="4" t="s">
        <v>21</v>
      </c>
      <c r="E836" s="4" t="s">
        <v>105</v>
      </c>
      <c r="F836" s="4">
        <v>5.83</v>
      </c>
      <c r="G836" s="4">
        <v>72.51</v>
      </c>
      <c r="H836" s="4">
        <v>9.7271842205E10</v>
      </c>
      <c r="I836" s="6">
        <v>1.04917E11</v>
      </c>
      <c r="J836" s="5">
        <v>45481.561111111114</v>
      </c>
      <c r="K836" s="5">
        <v>45512.90347222222</v>
      </c>
      <c r="L836" s="4">
        <v>3.89</v>
      </c>
      <c r="M836" s="4">
        <v>505.18</v>
      </c>
      <c r="N836" s="4">
        <v>505.0</v>
      </c>
      <c r="O836" s="4">
        <v>41915.0</v>
      </c>
      <c r="P836" s="4">
        <f t="shared" si="1"/>
        <v>32.21666667</v>
      </c>
      <c r="Q836" s="4" t="str">
        <f t="shared" si="2"/>
        <v>Underutilized</v>
      </c>
      <c r="R836" s="1" t="str">
        <f t="shared" si="3"/>
        <v>Normal</v>
      </c>
      <c r="S836" s="6">
        <f t="shared" si="4"/>
        <v>188.3030331</v>
      </c>
      <c r="T836" s="1" t="str">
        <f t="shared" si="5"/>
        <v>Normal Cost</v>
      </c>
      <c r="U836" s="4">
        <f t="shared" si="6"/>
        <v>0.09345103185</v>
      </c>
    </row>
    <row r="837">
      <c r="A837" s="4" t="s">
        <v>1895</v>
      </c>
      <c r="B837" s="4" t="s">
        <v>57</v>
      </c>
      <c r="C837" s="4">
        <v>883.9655</v>
      </c>
      <c r="D837" s="4" t="s">
        <v>21</v>
      </c>
      <c r="E837" s="4" t="s">
        <v>18</v>
      </c>
      <c r="F837" s="4">
        <v>81.56</v>
      </c>
      <c r="G837" s="4">
        <v>41.86</v>
      </c>
      <c r="H837" s="4">
        <v>7.1993398692E10</v>
      </c>
      <c r="I837" s="4">
        <v>7.9432069155E10</v>
      </c>
      <c r="J837" s="4" t="s">
        <v>1143</v>
      </c>
      <c r="K837" s="4" t="s">
        <v>1896</v>
      </c>
      <c r="L837" s="4">
        <v>7.57</v>
      </c>
      <c r="M837" s="4">
        <v>6691.62</v>
      </c>
      <c r="N837" s="4">
        <v>6692.0</v>
      </c>
      <c r="O837" s="4">
        <v>555436.0</v>
      </c>
      <c r="P837" s="4">
        <f t="shared" si="1"/>
        <v>40.55</v>
      </c>
      <c r="Q837" s="4" t="str">
        <f t="shared" si="2"/>
        <v>High</v>
      </c>
      <c r="R837" s="1" t="str">
        <f t="shared" si="3"/>
        <v>Normal</v>
      </c>
      <c r="S837" s="4">
        <f t="shared" si="4"/>
        <v>141.0259566</v>
      </c>
      <c r="T837" s="1" t="str">
        <f t="shared" si="5"/>
        <v>High Cost</v>
      </c>
      <c r="U837" s="4">
        <f t="shared" si="6"/>
        <v>0.01111019091</v>
      </c>
    </row>
    <row r="838">
      <c r="A838" s="4" t="s">
        <v>1897</v>
      </c>
      <c r="B838" s="4" t="s">
        <v>20</v>
      </c>
      <c r="C838" s="4">
        <v>650.1731</v>
      </c>
      <c r="D838" s="4" t="s">
        <v>21</v>
      </c>
      <c r="E838" s="4" t="s">
        <v>18</v>
      </c>
      <c r="F838" s="4">
        <v>97.68</v>
      </c>
      <c r="G838" s="4">
        <v>14.98</v>
      </c>
      <c r="H838" s="4">
        <v>5.1083335309E10</v>
      </c>
      <c r="I838" s="4">
        <v>5.9942102426E10</v>
      </c>
      <c r="J838" s="4" t="s">
        <v>1898</v>
      </c>
      <c r="K838" s="4" t="s">
        <v>1899</v>
      </c>
      <c r="L838" s="4">
        <v>2.64</v>
      </c>
      <c r="M838" s="4">
        <v>1716.46</v>
      </c>
      <c r="N838" s="4">
        <v>1716.0</v>
      </c>
      <c r="O838" s="4">
        <v>142428.0</v>
      </c>
      <c r="P838" s="4">
        <f t="shared" si="1"/>
        <v>129.5166667</v>
      </c>
      <c r="Q838" s="4" t="str">
        <f t="shared" si="2"/>
        <v>High</v>
      </c>
      <c r="R838" s="1" t="str">
        <f t="shared" si="3"/>
        <v>Underutilized</v>
      </c>
      <c r="S838" s="4">
        <f t="shared" si="4"/>
        <v>103.4004965</v>
      </c>
      <c r="T838" s="1" t="str">
        <f t="shared" si="5"/>
        <v>Normal Cost</v>
      </c>
      <c r="U838" s="4">
        <f t="shared" si="6"/>
        <v>0.03954980762</v>
      </c>
    </row>
    <row r="839">
      <c r="A839" s="4" t="s">
        <v>1900</v>
      </c>
      <c r="B839" s="4" t="s">
        <v>41</v>
      </c>
      <c r="C839" s="4">
        <v>113.8</v>
      </c>
      <c r="D839" s="4" t="s">
        <v>42</v>
      </c>
      <c r="E839" s="4" t="s">
        <v>18</v>
      </c>
      <c r="F839" s="4">
        <v>58.0</v>
      </c>
      <c r="G839" s="4">
        <v>73.66</v>
      </c>
      <c r="H839" s="4">
        <v>5.4886361862E10</v>
      </c>
      <c r="I839" s="4">
        <v>6.1508082818E10</v>
      </c>
      <c r="J839" s="5">
        <v>45603.754166666666</v>
      </c>
      <c r="K839" s="4" t="s">
        <v>1901</v>
      </c>
      <c r="L839" s="4">
        <v>9.93</v>
      </c>
      <c r="M839" s="4">
        <v>1130.03</v>
      </c>
      <c r="N839" s="4">
        <v>1130.0</v>
      </c>
      <c r="O839" s="4">
        <v>93790.0</v>
      </c>
      <c r="P839" s="4">
        <f t="shared" si="1"/>
        <v>113.8</v>
      </c>
      <c r="Q839" s="4" t="str">
        <f t="shared" si="2"/>
        <v>Normal</v>
      </c>
      <c r="R839" s="1" t="str">
        <f t="shared" si="3"/>
        <v>Normal</v>
      </c>
      <c r="S839" s="4">
        <f t="shared" si="4"/>
        <v>108.4007739</v>
      </c>
      <c r="T839" s="1" t="str">
        <f t="shared" si="5"/>
        <v>Normal Cost</v>
      </c>
      <c r="U839" s="4">
        <f t="shared" si="6"/>
        <v>0.07018871948</v>
      </c>
    </row>
    <row r="840">
      <c r="A840" s="4" t="s">
        <v>1902</v>
      </c>
      <c r="B840" s="4" t="s">
        <v>79</v>
      </c>
      <c r="C840" s="4">
        <v>825.9177</v>
      </c>
      <c r="D840" s="4" t="s">
        <v>21</v>
      </c>
      <c r="E840" s="4" t="s">
        <v>74</v>
      </c>
      <c r="F840" s="4">
        <v>95.54</v>
      </c>
      <c r="G840" s="4">
        <v>1.83</v>
      </c>
      <c r="H840" s="4">
        <v>9.7624944269E10</v>
      </c>
      <c r="I840" s="6">
        <v>1.01582E11</v>
      </c>
      <c r="J840" s="5">
        <v>45330.025</v>
      </c>
      <c r="K840" s="5">
        <v>45481.69861111111</v>
      </c>
      <c r="L840" s="4">
        <v>5.26</v>
      </c>
      <c r="M840" s="4">
        <v>4344.33</v>
      </c>
      <c r="N840" s="4">
        <v>4344.0</v>
      </c>
      <c r="O840" s="4">
        <v>360552.0</v>
      </c>
      <c r="P840" s="4">
        <f t="shared" si="1"/>
        <v>136.1666667</v>
      </c>
      <c r="Q840" s="4" t="str">
        <f t="shared" si="2"/>
        <v>High</v>
      </c>
      <c r="R840" s="1" t="str">
        <f t="shared" si="3"/>
        <v>Underutilized</v>
      </c>
      <c r="S840" s="6">
        <f t="shared" si="4"/>
        <v>185.5259242</v>
      </c>
      <c r="T840" s="1" t="str">
        <f t="shared" si="5"/>
        <v>High Cost</v>
      </c>
      <c r="U840" s="4">
        <f t="shared" si="6"/>
        <v>0.01350290665</v>
      </c>
    </row>
    <row r="841">
      <c r="A841" s="4" t="s">
        <v>1903</v>
      </c>
      <c r="B841" s="4" t="s">
        <v>273</v>
      </c>
      <c r="C841" s="4">
        <v>302.0</v>
      </c>
      <c r="D841" s="4" t="s">
        <v>17</v>
      </c>
      <c r="E841" s="4" t="s">
        <v>58</v>
      </c>
      <c r="F841" s="4">
        <v>36.32</v>
      </c>
      <c r="G841" s="4">
        <v>44.99</v>
      </c>
      <c r="H841" s="4">
        <v>5.6062052295E10</v>
      </c>
      <c r="I841" s="4">
        <v>5.7962755958E10</v>
      </c>
      <c r="J841" s="4" t="s">
        <v>1904</v>
      </c>
      <c r="K841" s="4" t="s">
        <v>1905</v>
      </c>
      <c r="L841" s="4">
        <v>2.49</v>
      </c>
      <c r="M841" s="4">
        <v>751.98</v>
      </c>
      <c r="N841" s="4">
        <v>752.0</v>
      </c>
      <c r="O841" s="4">
        <v>62416.0</v>
      </c>
      <c r="P841" s="4">
        <f t="shared" si="1"/>
        <v>77.53333333</v>
      </c>
      <c r="Q841" s="4" t="str">
        <f t="shared" si="2"/>
        <v>Normal</v>
      </c>
      <c r="R841" s="1" t="str">
        <f t="shared" si="3"/>
        <v>Normal</v>
      </c>
      <c r="S841" s="4">
        <f t="shared" si="4"/>
        <v>106.193878</v>
      </c>
      <c r="T841" s="1" t="str">
        <f t="shared" si="5"/>
        <v>Normal Cost</v>
      </c>
      <c r="U841" s="4">
        <f t="shared" si="6"/>
        <v>0.06513554217</v>
      </c>
    </row>
    <row r="842">
      <c r="A842" s="4" t="s">
        <v>1906</v>
      </c>
      <c r="B842" s="4" t="s">
        <v>350</v>
      </c>
      <c r="C842" s="4">
        <v>369.457</v>
      </c>
      <c r="D842" s="4" t="s">
        <v>21</v>
      </c>
      <c r="E842" s="4" t="s">
        <v>22</v>
      </c>
      <c r="F842" s="4">
        <v>67.88</v>
      </c>
      <c r="G842" s="4">
        <v>52.34</v>
      </c>
      <c r="H842" s="4">
        <v>7.0482607937E10</v>
      </c>
      <c r="I842" s="4">
        <v>7.1066862636E10</v>
      </c>
      <c r="J842" s="4" t="s">
        <v>1907</v>
      </c>
      <c r="K842" s="4" t="s">
        <v>1908</v>
      </c>
      <c r="L842" s="4">
        <v>2.96</v>
      </c>
      <c r="M842" s="4">
        <v>1093.59</v>
      </c>
      <c r="N842" s="4">
        <v>1094.0</v>
      </c>
      <c r="O842" s="4">
        <v>90802.0</v>
      </c>
      <c r="P842" s="4">
        <f t="shared" si="1"/>
        <v>42.05</v>
      </c>
      <c r="Q842" s="4" t="str">
        <f t="shared" si="2"/>
        <v>Normal</v>
      </c>
      <c r="R842" s="1" t="str">
        <f t="shared" si="3"/>
        <v>Normal</v>
      </c>
      <c r="S842" s="4">
        <f t="shared" si="4"/>
        <v>131.8282174</v>
      </c>
      <c r="T842" s="1" t="str">
        <f t="shared" si="5"/>
        <v>Normal Cost</v>
      </c>
      <c r="U842" s="4">
        <f t="shared" si="6"/>
        <v>0.0661989824</v>
      </c>
    </row>
    <row r="843">
      <c r="A843" s="4" t="s">
        <v>1909</v>
      </c>
      <c r="B843" s="4" t="s">
        <v>273</v>
      </c>
      <c r="C843" s="4">
        <v>988.4076</v>
      </c>
      <c r="D843" s="4" t="s">
        <v>21</v>
      </c>
      <c r="E843" s="4" t="s">
        <v>105</v>
      </c>
      <c r="F843" s="4">
        <v>15.15</v>
      </c>
      <c r="G843" s="4">
        <v>0.46</v>
      </c>
      <c r="H843" s="4">
        <v>2.7269706614E10</v>
      </c>
      <c r="I843" s="4">
        <v>3.1125899311E10</v>
      </c>
      <c r="J843" s="5">
        <v>45573.99513888889</v>
      </c>
      <c r="K843" s="4" t="s">
        <v>1910</v>
      </c>
      <c r="L843" s="4">
        <v>1.98</v>
      </c>
      <c r="M843" s="4">
        <v>1957.05</v>
      </c>
      <c r="N843" s="4">
        <v>1957.0</v>
      </c>
      <c r="O843" s="4">
        <v>162431.0</v>
      </c>
      <c r="P843" s="4">
        <f t="shared" si="1"/>
        <v>104.9833333</v>
      </c>
      <c r="Q843" s="4" t="str">
        <f t="shared" si="2"/>
        <v>Underutilized</v>
      </c>
      <c r="R843" s="1" t="str">
        <f t="shared" si="3"/>
        <v>Underutilized</v>
      </c>
      <c r="S843" s="4">
        <f t="shared" si="4"/>
        <v>54.38514606</v>
      </c>
      <c r="T843" s="1" t="str">
        <f t="shared" si="5"/>
        <v>Normal Cost</v>
      </c>
      <c r="U843" s="4">
        <f t="shared" si="6"/>
        <v>0.00480511725</v>
      </c>
    </row>
    <row r="844">
      <c r="A844" s="4" t="s">
        <v>1911</v>
      </c>
      <c r="B844" s="4" t="s">
        <v>350</v>
      </c>
      <c r="C844" s="4">
        <v>635.6509</v>
      </c>
      <c r="D844" s="4" t="s">
        <v>21</v>
      </c>
      <c r="E844" s="4" t="s">
        <v>27</v>
      </c>
      <c r="F844" s="4">
        <v>57.93</v>
      </c>
      <c r="G844" s="4">
        <v>37.46</v>
      </c>
      <c r="H844" s="4">
        <v>5.4773978257E10</v>
      </c>
      <c r="I844" s="4">
        <v>6.1950291164E10</v>
      </c>
      <c r="J844" s="5">
        <v>45604.53194444445</v>
      </c>
      <c r="K844" s="4" t="s">
        <v>1912</v>
      </c>
      <c r="L844" s="4">
        <v>8.88</v>
      </c>
      <c r="M844" s="4">
        <v>5644.58</v>
      </c>
      <c r="N844" s="4">
        <v>5645.0</v>
      </c>
      <c r="O844" s="4">
        <v>468535.0</v>
      </c>
      <c r="P844" s="4">
        <f t="shared" si="1"/>
        <v>49.53333333</v>
      </c>
      <c r="Q844" s="4" t="str">
        <f t="shared" si="2"/>
        <v>Normal</v>
      </c>
      <c r="R844" s="1" t="str">
        <f t="shared" si="3"/>
        <v>Underutilized</v>
      </c>
      <c r="S844" s="4">
        <f t="shared" si="4"/>
        <v>108.7079471</v>
      </c>
      <c r="T844" s="1" t="str">
        <f t="shared" si="5"/>
        <v>High Cost</v>
      </c>
      <c r="U844" s="4">
        <f t="shared" si="6"/>
        <v>0.01017960238</v>
      </c>
    </row>
    <row r="845">
      <c r="A845" s="4" t="s">
        <v>1913</v>
      </c>
      <c r="B845" s="4" t="s">
        <v>166</v>
      </c>
      <c r="C845" s="4">
        <v>575.5324</v>
      </c>
      <c r="D845" s="4" t="s">
        <v>21</v>
      </c>
      <c r="E845" s="4" t="s">
        <v>74</v>
      </c>
      <c r="F845" s="4">
        <v>45.97</v>
      </c>
      <c r="G845" s="4">
        <v>23.87</v>
      </c>
      <c r="H845" s="4">
        <v>1.791250551E9</v>
      </c>
      <c r="I845" s="4">
        <v>5.271422916E9</v>
      </c>
      <c r="J845" s="5">
        <v>45330.04652777778</v>
      </c>
      <c r="K845" s="5">
        <v>45451.104166666664</v>
      </c>
      <c r="L845" s="4">
        <v>6.94</v>
      </c>
      <c r="M845" s="4">
        <v>3994.19</v>
      </c>
      <c r="N845" s="4">
        <v>3994.0</v>
      </c>
      <c r="O845" s="4">
        <v>331502.0</v>
      </c>
      <c r="P845" s="4">
        <f t="shared" si="1"/>
        <v>97.38333333</v>
      </c>
      <c r="Q845" s="4" t="str">
        <f t="shared" si="2"/>
        <v>Normal</v>
      </c>
      <c r="R845" s="1" t="str">
        <f t="shared" si="3"/>
        <v>Underutilized</v>
      </c>
      <c r="S845" s="4">
        <f t="shared" si="4"/>
        <v>6.577627237</v>
      </c>
      <c r="T845" s="1" t="str">
        <f t="shared" si="5"/>
        <v>High Cost</v>
      </c>
      <c r="U845" s="4">
        <f t="shared" si="6"/>
        <v>0.0105338731</v>
      </c>
    </row>
    <row r="846">
      <c r="A846" s="4" t="s">
        <v>1914</v>
      </c>
      <c r="B846" s="4" t="s">
        <v>273</v>
      </c>
      <c r="C846" s="4">
        <v>145.9373</v>
      </c>
      <c r="D846" s="4" t="s">
        <v>17</v>
      </c>
      <c r="E846" s="4" t="s">
        <v>54</v>
      </c>
      <c r="F846" s="4">
        <v>9.59</v>
      </c>
      <c r="G846" s="4">
        <v>28.75</v>
      </c>
      <c r="H846" s="4">
        <v>8.1987854667E10</v>
      </c>
      <c r="I846" s="4">
        <v>8.3659890497E10</v>
      </c>
      <c r="J846" s="5">
        <v>45329.711805555555</v>
      </c>
      <c r="K846" s="5">
        <v>45389.580555555556</v>
      </c>
      <c r="L846" s="4">
        <v>6.25</v>
      </c>
      <c r="M846" s="4">
        <v>912.11</v>
      </c>
      <c r="N846" s="4">
        <v>912.0</v>
      </c>
      <c r="O846" s="4">
        <v>75696.0</v>
      </c>
      <c r="P846" s="4">
        <f t="shared" si="1"/>
        <v>44.85</v>
      </c>
      <c r="Q846" s="4" t="str">
        <f t="shared" si="2"/>
        <v>Underutilized</v>
      </c>
      <c r="R846" s="1" t="str">
        <f t="shared" si="3"/>
        <v>Underutilized</v>
      </c>
      <c r="S846" s="4">
        <f t="shared" si="4"/>
        <v>154.2714845</v>
      </c>
      <c r="T846" s="1" t="str">
        <f t="shared" si="5"/>
        <v>Normal Cost</v>
      </c>
      <c r="U846" s="4">
        <f t="shared" si="6"/>
        <v>0.02532498415</v>
      </c>
    </row>
    <row r="847">
      <c r="A847" s="4" t="s">
        <v>1915</v>
      </c>
      <c r="B847" s="4" t="s">
        <v>139</v>
      </c>
      <c r="C847" s="4">
        <v>70.8167</v>
      </c>
      <c r="D847" s="4" t="s">
        <v>42</v>
      </c>
      <c r="E847" s="4" t="s">
        <v>54</v>
      </c>
      <c r="F847" s="4">
        <v>25.47</v>
      </c>
      <c r="G847" s="4">
        <v>23.54</v>
      </c>
      <c r="H847" s="4">
        <v>9.1627430806E10</v>
      </c>
      <c r="I847" s="4">
        <v>9.5331713711E10</v>
      </c>
      <c r="J847" s="4" t="s">
        <v>1916</v>
      </c>
      <c r="K847" s="4" t="s">
        <v>1917</v>
      </c>
      <c r="L847" s="4">
        <v>9.72</v>
      </c>
      <c r="M847" s="4">
        <v>688.34</v>
      </c>
      <c r="N847" s="4">
        <v>688.0</v>
      </c>
      <c r="O847" s="4">
        <v>57104.0</v>
      </c>
      <c r="P847" s="4">
        <f t="shared" si="1"/>
        <v>70.81666667</v>
      </c>
      <c r="Q847" s="4" t="str">
        <f t="shared" si="2"/>
        <v>Underutilized</v>
      </c>
      <c r="R847" s="1" t="str">
        <f t="shared" si="3"/>
        <v>Underutilized</v>
      </c>
      <c r="S847" s="4">
        <f t="shared" si="4"/>
        <v>174.1192718</v>
      </c>
      <c r="T847" s="1" t="str">
        <f t="shared" si="5"/>
        <v>Normal Cost</v>
      </c>
      <c r="U847" s="4">
        <f t="shared" si="6"/>
        <v>0.04291293079</v>
      </c>
    </row>
    <row r="848">
      <c r="A848" s="4" t="s">
        <v>1918</v>
      </c>
      <c r="B848" s="4" t="s">
        <v>166</v>
      </c>
      <c r="C848" s="4">
        <v>147.5414</v>
      </c>
      <c r="D848" s="4" t="s">
        <v>17</v>
      </c>
      <c r="E848" s="4" t="s">
        <v>74</v>
      </c>
      <c r="F848" s="4">
        <v>83.68</v>
      </c>
      <c r="G848" s="4">
        <v>54.06</v>
      </c>
      <c r="H848" s="4">
        <v>5.3965957218E10</v>
      </c>
      <c r="I848" s="4">
        <v>5.9474416324E10</v>
      </c>
      <c r="J848" s="5">
        <v>45512.81527777778</v>
      </c>
      <c r="K848" s="5">
        <v>45604.11736111111</v>
      </c>
      <c r="L848" s="4">
        <v>2.2</v>
      </c>
      <c r="M848" s="4">
        <v>324.59</v>
      </c>
      <c r="N848" s="4">
        <v>325.0</v>
      </c>
      <c r="O848" s="4">
        <v>26975.0</v>
      </c>
      <c r="P848" s="4">
        <f t="shared" si="1"/>
        <v>55.25</v>
      </c>
      <c r="Q848" s="4" t="str">
        <f t="shared" si="2"/>
        <v>High</v>
      </c>
      <c r="R848" s="1" t="str">
        <f t="shared" si="3"/>
        <v>Normal</v>
      </c>
      <c r="S848" s="4">
        <f t="shared" si="4"/>
        <v>105.6495808</v>
      </c>
      <c r="T848" s="1" t="str">
        <f t="shared" si="5"/>
        <v>Normal Cost</v>
      </c>
      <c r="U848" s="4">
        <f t="shared" si="6"/>
        <v>0.2553104727</v>
      </c>
    </row>
    <row r="849">
      <c r="A849" s="4" t="s">
        <v>1919</v>
      </c>
      <c r="B849" s="4" t="s">
        <v>62</v>
      </c>
      <c r="C849" s="4">
        <v>82.8167</v>
      </c>
      <c r="D849" s="4" t="s">
        <v>42</v>
      </c>
      <c r="E849" s="4" t="s">
        <v>18</v>
      </c>
      <c r="F849" s="4">
        <v>44.99</v>
      </c>
      <c r="G849" s="4">
        <v>73.76</v>
      </c>
      <c r="H849" s="4">
        <v>4.2348481451E10</v>
      </c>
      <c r="I849" s="4">
        <v>4.9709897119E10</v>
      </c>
      <c r="J849" s="4" t="s">
        <v>1920</v>
      </c>
      <c r="K849" s="4" t="s">
        <v>1921</v>
      </c>
      <c r="L849" s="4">
        <v>2.98</v>
      </c>
      <c r="M849" s="4">
        <v>246.79</v>
      </c>
      <c r="N849" s="4">
        <v>247.0</v>
      </c>
      <c r="O849" s="4">
        <v>20501.0</v>
      </c>
      <c r="P849" s="4">
        <f t="shared" si="1"/>
        <v>82.81666667</v>
      </c>
      <c r="Q849" s="4" t="str">
        <f t="shared" si="2"/>
        <v>Normal</v>
      </c>
      <c r="R849" s="1" t="str">
        <f t="shared" si="3"/>
        <v>Normal</v>
      </c>
      <c r="S849" s="4">
        <f t="shared" si="4"/>
        <v>85.73604614</v>
      </c>
      <c r="T849" s="1" t="str">
        <f t="shared" si="5"/>
        <v>Normal Cost</v>
      </c>
      <c r="U849" s="4">
        <f t="shared" si="6"/>
        <v>0.2896200185</v>
      </c>
    </row>
    <row r="850">
      <c r="A850" s="4" t="s">
        <v>1922</v>
      </c>
      <c r="B850" s="4" t="s">
        <v>57</v>
      </c>
      <c r="C850" s="4">
        <v>411.7334</v>
      </c>
      <c r="D850" s="4" t="s">
        <v>17</v>
      </c>
      <c r="E850" s="4" t="s">
        <v>58</v>
      </c>
      <c r="F850" s="4">
        <v>95.1</v>
      </c>
      <c r="G850" s="4">
        <v>76.72</v>
      </c>
      <c r="H850" s="4">
        <v>2.3086198528E10</v>
      </c>
      <c r="I850" s="4">
        <v>3.282581185E10</v>
      </c>
      <c r="J850" s="4" t="s">
        <v>1923</v>
      </c>
      <c r="K850" s="4" t="s">
        <v>1924</v>
      </c>
      <c r="L850" s="4">
        <v>9.47</v>
      </c>
      <c r="M850" s="4">
        <v>3899.12</v>
      </c>
      <c r="N850" s="4">
        <v>3899.0</v>
      </c>
      <c r="O850" s="4">
        <v>323617.0</v>
      </c>
      <c r="P850" s="4">
        <f t="shared" si="1"/>
        <v>113.3</v>
      </c>
      <c r="Q850" s="4" t="str">
        <f t="shared" si="2"/>
        <v>High</v>
      </c>
      <c r="R850" s="1" t="str">
        <f t="shared" si="3"/>
        <v>High</v>
      </c>
      <c r="S850" s="4">
        <f t="shared" si="4"/>
        <v>52.07211746</v>
      </c>
      <c r="T850" s="1" t="str">
        <f t="shared" si="5"/>
        <v>High Cost</v>
      </c>
      <c r="U850" s="4">
        <f t="shared" si="6"/>
        <v>0.02654681305</v>
      </c>
    </row>
    <row r="851">
      <c r="A851" s="4" t="s">
        <v>1925</v>
      </c>
      <c r="B851" s="4" t="s">
        <v>41</v>
      </c>
      <c r="C851" s="4">
        <v>57.3667</v>
      </c>
      <c r="D851" s="4" t="s">
        <v>42</v>
      </c>
      <c r="E851" s="4" t="s">
        <v>37</v>
      </c>
      <c r="F851" s="4">
        <v>5.5</v>
      </c>
      <c r="G851" s="4">
        <v>55.66</v>
      </c>
      <c r="H851" s="4">
        <v>2.0230884904E10</v>
      </c>
      <c r="I851" s="4">
        <v>2.1234631544E10</v>
      </c>
      <c r="J851" s="4" t="s">
        <v>1926</v>
      </c>
      <c r="K851" s="4" t="s">
        <v>315</v>
      </c>
      <c r="L851" s="4">
        <v>7.87</v>
      </c>
      <c r="M851" s="4">
        <v>451.48</v>
      </c>
      <c r="N851" s="4">
        <v>451.0</v>
      </c>
      <c r="O851" s="4">
        <v>37433.0</v>
      </c>
      <c r="P851" s="4">
        <f t="shared" si="1"/>
        <v>57.36666667</v>
      </c>
      <c r="Q851" s="4" t="str">
        <f t="shared" si="2"/>
        <v>Underutilized</v>
      </c>
      <c r="R851" s="1" t="str">
        <f t="shared" si="3"/>
        <v>Normal</v>
      </c>
      <c r="S851" s="4">
        <f t="shared" si="4"/>
        <v>38.61777154</v>
      </c>
      <c r="T851" s="1" t="str">
        <f t="shared" si="5"/>
        <v>Normal Cost</v>
      </c>
      <c r="U851" s="4">
        <f t="shared" si="6"/>
        <v>0.08169262416</v>
      </c>
    </row>
    <row r="852">
      <c r="A852" s="4" t="s">
        <v>1927</v>
      </c>
      <c r="B852" s="4" t="s">
        <v>122</v>
      </c>
      <c r="C852" s="4">
        <v>416.7408</v>
      </c>
      <c r="D852" s="4" t="s">
        <v>21</v>
      </c>
      <c r="E852" s="4" t="s">
        <v>155</v>
      </c>
      <c r="F852" s="4">
        <v>15.52</v>
      </c>
      <c r="G852" s="4">
        <v>37.1</v>
      </c>
      <c r="H852" s="4">
        <v>6.1889461542E10</v>
      </c>
      <c r="I852" s="4">
        <v>6.5781073688E10</v>
      </c>
      <c r="J852" s="5">
        <v>45573.26180555556</v>
      </c>
      <c r="K852" s="4" t="s">
        <v>1928</v>
      </c>
      <c r="L852" s="4">
        <v>6.63</v>
      </c>
      <c r="M852" s="4">
        <v>2762.99</v>
      </c>
      <c r="N852" s="4">
        <v>2763.0</v>
      </c>
      <c r="O852" s="4">
        <v>229329.0</v>
      </c>
      <c r="P852" s="4">
        <f t="shared" si="1"/>
        <v>120.6166667</v>
      </c>
      <c r="Q852" s="4" t="str">
        <f t="shared" si="2"/>
        <v>Underutilized</v>
      </c>
      <c r="R852" s="1" t="str">
        <f t="shared" si="3"/>
        <v>Underutilized</v>
      </c>
      <c r="S852" s="4">
        <f t="shared" si="4"/>
        <v>118.9024516</v>
      </c>
      <c r="T852" s="1" t="str">
        <f t="shared" si="5"/>
        <v>High Cost</v>
      </c>
      <c r="U852" s="4">
        <f t="shared" si="6"/>
        <v>0.0114726005</v>
      </c>
    </row>
    <row r="853">
      <c r="A853" s="4" t="s">
        <v>1929</v>
      </c>
      <c r="B853" s="4" t="s">
        <v>83</v>
      </c>
      <c r="C853" s="4">
        <v>109.3975</v>
      </c>
      <c r="D853" s="4" t="s">
        <v>17</v>
      </c>
      <c r="E853" s="4" t="s">
        <v>54</v>
      </c>
      <c r="F853" s="4">
        <v>61.56</v>
      </c>
      <c r="G853" s="4">
        <v>0.16</v>
      </c>
      <c r="H853" s="4">
        <v>9.5837221898E10</v>
      </c>
      <c r="I853" s="6">
        <v>1.00732E11</v>
      </c>
      <c r="J853" s="4" t="s">
        <v>1930</v>
      </c>
      <c r="K853" s="5">
        <v>45359.50555555556</v>
      </c>
      <c r="L853" s="4">
        <v>3.99</v>
      </c>
      <c r="M853" s="4">
        <v>436.5</v>
      </c>
      <c r="N853" s="4">
        <v>436.0</v>
      </c>
      <c r="O853" s="4">
        <v>36188.0</v>
      </c>
      <c r="P853" s="4">
        <f t="shared" si="1"/>
        <v>92.01666667</v>
      </c>
      <c r="Q853" s="4" t="str">
        <f t="shared" si="2"/>
        <v>Normal</v>
      </c>
      <c r="R853" s="1" t="str">
        <f t="shared" si="3"/>
        <v>Underutilized</v>
      </c>
      <c r="S853" s="6">
        <f t="shared" si="4"/>
        <v>183.0693538</v>
      </c>
      <c r="T853" s="1" t="str">
        <f t="shared" si="5"/>
        <v>Normal Cost</v>
      </c>
      <c r="U853" s="4">
        <f t="shared" si="6"/>
        <v>0.08527688737</v>
      </c>
    </row>
    <row r="854">
      <c r="A854" s="4" t="s">
        <v>1931</v>
      </c>
      <c r="B854" s="4" t="s">
        <v>169</v>
      </c>
      <c r="C854" s="4">
        <v>116.0494</v>
      </c>
      <c r="D854" s="4" t="s">
        <v>17</v>
      </c>
      <c r="E854" s="4" t="s">
        <v>27</v>
      </c>
      <c r="F854" s="4">
        <v>66.47</v>
      </c>
      <c r="G854" s="4">
        <v>81.04</v>
      </c>
      <c r="H854" s="4">
        <v>3.3771852558E10</v>
      </c>
      <c r="I854" s="4">
        <v>3.736921359E10</v>
      </c>
      <c r="J854" s="5">
        <v>45358.118055555555</v>
      </c>
      <c r="K854" s="5">
        <v>45480.20486111111</v>
      </c>
      <c r="L854" s="4">
        <v>8.94</v>
      </c>
      <c r="M854" s="4">
        <v>1037.48</v>
      </c>
      <c r="N854" s="4">
        <v>1037.0</v>
      </c>
      <c r="O854" s="4">
        <v>86071.0</v>
      </c>
      <c r="P854" s="4">
        <f t="shared" si="1"/>
        <v>98.08333333</v>
      </c>
      <c r="Q854" s="4" t="str">
        <f t="shared" si="2"/>
        <v>Normal</v>
      </c>
      <c r="R854" s="1" t="str">
        <f t="shared" si="3"/>
        <v>High</v>
      </c>
      <c r="S854" s="4">
        <f t="shared" si="4"/>
        <v>66.25528089</v>
      </c>
      <c r="T854" s="1" t="str">
        <f t="shared" si="5"/>
        <v>Normal Cost</v>
      </c>
      <c r="U854" s="4">
        <f t="shared" si="6"/>
        <v>0.08569088311</v>
      </c>
    </row>
    <row r="855">
      <c r="A855" s="4" t="s">
        <v>1932</v>
      </c>
      <c r="B855" s="4" t="s">
        <v>166</v>
      </c>
      <c r="C855" s="4">
        <v>742.8148</v>
      </c>
      <c r="D855" s="4" t="s">
        <v>17</v>
      </c>
      <c r="E855" s="4" t="s">
        <v>105</v>
      </c>
      <c r="F855" s="4">
        <v>56.03</v>
      </c>
      <c r="G855" s="4">
        <v>6.02</v>
      </c>
      <c r="H855" s="4">
        <v>3.4351732282E10</v>
      </c>
      <c r="I855" s="4">
        <v>3.4678750344E10</v>
      </c>
      <c r="J855" s="4" t="s">
        <v>1933</v>
      </c>
      <c r="K855" s="4" t="s">
        <v>1934</v>
      </c>
      <c r="L855" s="4">
        <v>4.87</v>
      </c>
      <c r="M855" s="4">
        <v>3617.51</v>
      </c>
      <c r="N855" s="4">
        <v>3618.0</v>
      </c>
      <c r="O855" s="4">
        <v>300294.0</v>
      </c>
      <c r="P855" s="4">
        <f t="shared" si="1"/>
        <v>49.41666667</v>
      </c>
      <c r="Q855" s="4" t="str">
        <f t="shared" si="2"/>
        <v>Normal</v>
      </c>
      <c r="R855" s="1" t="str">
        <f t="shared" si="3"/>
        <v>Underutilized</v>
      </c>
      <c r="S855" s="4">
        <f t="shared" si="4"/>
        <v>64.28964681</v>
      </c>
      <c r="T855" s="1" t="str">
        <f t="shared" si="5"/>
        <v>High Cost</v>
      </c>
      <c r="U855" s="4">
        <f t="shared" si="6"/>
        <v>0.01033154176</v>
      </c>
    </row>
    <row r="856">
      <c r="A856" s="4" t="s">
        <v>1935</v>
      </c>
      <c r="B856" s="4" t="s">
        <v>66</v>
      </c>
      <c r="C856" s="4">
        <v>375.4176</v>
      </c>
      <c r="D856" s="4" t="s">
        <v>17</v>
      </c>
      <c r="E856" s="4" t="s">
        <v>70</v>
      </c>
      <c r="F856" s="4">
        <v>65.57</v>
      </c>
      <c r="G856" s="4">
        <v>87.62</v>
      </c>
      <c r="H856" s="4">
        <v>9.560016786E10</v>
      </c>
      <c r="I856" s="4">
        <v>9.8586324009E10</v>
      </c>
      <c r="J856" s="4" t="s">
        <v>1936</v>
      </c>
      <c r="K856" s="5">
        <v>45358.09375</v>
      </c>
      <c r="L856" s="4">
        <v>3.08</v>
      </c>
      <c r="M856" s="4">
        <v>1156.29</v>
      </c>
      <c r="N856" s="4">
        <v>1156.0</v>
      </c>
      <c r="O856" s="4">
        <v>95948.0</v>
      </c>
      <c r="P856" s="4">
        <f t="shared" si="1"/>
        <v>50.61666667</v>
      </c>
      <c r="Q856" s="4" t="str">
        <f t="shared" si="2"/>
        <v>Normal</v>
      </c>
      <c r="R856" s="1" t="str">
        <f t="shared" si="3"/>
        <v>High</v>
      </c>
      <c r="S856" s="4">
        <f t="shared" si="4"/>
        <v>180.8502636</v>
      </c>
      <c r="T856" s="1" t="str">
        <f t="shared" si="5"/>
        <v>Normal Cost</v>
      </c>
      <c r="U856" s="4">
        <f t="shared" si="6"/>
        <v>0.07982969942</v>
      </c>
    </row>
    <row r="857">
      <c r="A857" s="4" t="s">
        <v>1937</v>
      </c>
      <c r="B857" s="4" t="s">
        <v>79</v>
      </c>
      <c r="C857" s="4">
        <v>31.2755</v>
      </c>
      <c r="D857" s="4" t="s">
        <v>17</v>
      </c>
      <c r="E857" s="4" t="s">
        <v>18</v>
      </c>
      <c r="F857" s="4">
        <v>22.99</v>
      </c>
      <c r="G857" s="4">
        <v>75.22</v>
      </c>
      <c r="H857" s="4">
        <v>6.5622960511E10</v>
      </c>
      <c r="I857" s="4">
        <v>6.6341293879E10</v>
      </c>
      <c r="J857" s="5">
        <v>45572.37152777778</v>
      </c>
      <c r="K857" s="4" t="s">
        <v>1938</v>
      </c>
      <c r="L857" s="4">
        <v>3.65</v>
      </c>
      <c r="M857" s="4">
        <v>114.16</v>
      </c>
      <c r="N857" s="4">
        <v>114.0</v>
      </c>
      <c r="O857" s="4">
        <v>9462.0</v>
      </c>
      <c r="P857" s="4">
        <f t="shared" si="1"/>
        <v>93.01666667</v>
      </c>
      <c r="Q857" s="4" t="str">
        <f t="shared" si="2"/>
        <v>Underutilized</v>
      </c>
      <c r="R857" s="1" t="str">
        <f t="shared" si="3"/>
        <v>High</v>
      </c>
      <c r="S857" s="4">
        <f t="shared" si="4"/>
        <v>122.9012892</v>
      </c>
      <c r="T857" s="1" t="str">
        <f t="shared" si="5"/>
        <v>Normal Cost</v>
      </c>
      <c r="U857" s="4">
        <f t="shared" si="6"/>
        <v>0.5189706193</v>
      </c>
    </row>
    <row r="858">
      <c r="A858" s="4" t="s">
        <v>1939</v>
      </c>
      <c r="B858" s="4" t="s">
        <v>41</v>
      </c>
      <c r="C858" s="4">
        <v>35.4333</v>
      </c>
      <c r="D858" s="4" t="s">
        <v>42</v>
      </c>
      <c r="E858" s="4" t="s">
        <v>54</v>
      </c>
      <c r="F858" s="4">
        <v>25.89</v>
      </c>
      <c r="G858" s="4">
        <v>96.14</v>
      </c>
      <c r="H858" s="4">
        <v>6.8898788478E10</v>
      </c>
      <c r="I858" s="4">
        <v>7.4470389472E10</v>
      </c>
      <c r="J858" s="4" t="s">
        <v>1940</v>
      </c>
      <c r="K858" s="5">
        <v>45329.15694444445</v>
      </c>
      <c r="L858" s="4">
        <v>4.02</v>
      </c>
      <c r="M858" s="4">
        <v>142.44</v>
      </c>
      <c r="N858" s="4">
        <v>142.0</v>
      </c>
      <c r="O858" s="4">
        <v>11786.0</v>
      </c>
      <c r="P858" s="4">
        <f t="shared" si="1"/>
        <v>35.43333333</v>
      </c>
      <c r="Q858" s="4" t="str">
        <f t="shared" si="2"/>
        <v>Underutilized</v>
      </c>
      <c r="R858" s="1" t="str">
        <f t="shared" si="3"/>
        <v>High</v>
      </c>
      <c r="S858" s="4">
        <f t="shared" si="4"/>
        <v>133.5229519</v>
      </c>
      <c r="T858" s="1" t="str">
        <f t="shared" si="5"/>
        <v>Normal Cost</v>
      </c>
      <c r="U858" s="4">
        <f t="shared" si="6"/>
        <v>0.5176904802</v>
      </c>
    </row>
    <row r="859">
      <c r="A859" s="4" t="s">
        <v>1941</v>
      </c>
      <c r="B859" s="4" t="s">
        <v>122</v>
      </c>
      <c r="C859" s="4">
        <v>777.8178</v>
      </c>
      <c r="D859" s="4" t="s">
        <v>17</v>
      </c>
      <c r="E859" s="4" t="s">
        <v>54</v>
      </c>
      <c r="F859" s="4">
        <v>35.39</v>
      </c>
      <c r="G859" s="4">
        <v>32.36</v>
      </c>
      <c r="H859" s="4">
        <v>6.3884403409E10</v>
      </c>
      <c r="I859" s="4">
        <v>6.5177513275E10</v>
      </c>
      <c r="J859" s="5">
        <v>45634.30416666667</v>
      </c>
      <c r="K859" s="4" t="s">
        <v>1942</v>
      </c>
      <c r="L859" s="4">
        <v>5.76</v>
      </c>
      <c r="M859" s="4">
        <v>4480.23</v>
      </c>
      <c r="N859" s="4">
        <v>4480.0</v>
      </c>
      <c r="O859" s="4">
        <v>371840.0</v>
      </c>
      <c r="P859" s="4">
        <f t="shared" si="1"/>
        <v>137.2</v>
      </c>
      <c r="Q859" s="4" t="str">
        <f t="shared" si="2"/>
        <v>Normal</v>
      </c>
      <c r="R859" s="1" t="str">
        <f t="shared" si="3"/>
        <v>Underutilized</v>
      </c>
      <c r="S859" s="4">
        <f t="shared" si="4"/>
        <v>120.1982765</v>
      </c>
      <c r="T859" s="1" t="str">
        <f t="shared" si="5"/>
        <v>High Cost</v>
      </c>
      <c r="U859" s="4">
        <f t="shared" si="6"/>
        <v>0.009110101119</v>
      </c>
    </row>
    <row r="860">
      <c r="A860" s="4" t="s">
        <v>1943</v>
      </c>
      <c r="B860" s="4" t="s">
        <v>350</v>
      </c>
      <c r="C860" s="4">
        <v>216.1677</v>
      </c>
      <c r="D860" s="4" t="s">
        <v>17</v>
      </c>
      <c r="E860" s="4" t="s">
        <v>18</v>
      </c>
      <c r="F860" s="4">
        <v>53.52</v>
      </c>
      <c r="G860" s="4">
        <v>54.18</v>
      </c>
      <c r="H860" s="4">
        <v>6.8550645302E10</v>
      </c>
      <c r="I860" s="4">
        <v>7.6772333973E10</v>
      </c>
      <c r="J860" s="5">
        <v>45389.71388888889</v>
      </c>
      <c r="K860" s="5">
        <v>45542.572916666664</v>
      </c>
      <c r="L860" s="4">
        <v>9.74</v>
      </c>
      <c r="M860" s="4">
        <v>2105.47</v>
      </c>
      <c r="N860" s="4">
        <v>2105.0</v>
      </c>
      <c r="O860" s="4">
        <v>174715.0</v>
      </c>
      <c r="P860" s="4">
        <f t="shared" si="1"/>
        <v>116.6166667</v>
      </c>
      <c r="Q860" s="4" t="str">
        <f t="shared" si="2"/>
        <v>Normal</v>
      </c>
      <c r="R860" s="1" t="str">
        <f t="shared" si="3"/>
        <v>Normal</v>
      </c>
      <c r="S860" s="4">
        <f t="shared" si="4"/>
        <v>135.3425712</v>
      </c>
      <c r="T860" s="1" t="str">
        <f t="shared" si="5"/>
        <v>High Cost</v>
      </c>
      <c r="U860" s="4">
        <f t="shared" si="6"/>
        <v>0.03082162379</v>
      </c>
    </row>
    <row r="861">
      <c r="A861" s="4" t="s">
        <v>1944</v>
      </c>
      <c r="B861" s="4" t="s">
        <v>350</v>
      </c>
      <c r="C861" s="4">
        <v>967.0035</v>
      </c>
      <c r="D861" s="4" t="s">
        <v>17</v>
      </c>
      <c r="E861" s="4" t="s">
        <v>155</v>
      </c>
      <c r="F861" s="4">
        <v>7.96</v>
      </c>
      <c r="G861" s="4">
        <v>10.82</v>
      </c>
      <c r="H861" s="4">
        <v>6.5566056958E10</v>
      </c>
      <c r="I861" s="4">
        <v>6.9139290269E10</v>
      </c>
      <c r="J861" s="5">
        <v>45390.28194444445</v>
      </c>
      <c r="K861" s="5">
        <v>45512.23541666667</v>
      </c>
      <c r="L861" s="4">
        <v>8.99</v>
      </c>
      <c r="M861" s="4">
        <v>8693.36</v>
      </c>
      <c r="N861" s="4">
        <v>8693.0</v>
      </c>
      <c r="O861" s="4">
        <v>721519.0</v>
      </c>
      <c r="P861" s="4">
        <f t="shared" si="1"/>
        <v>94.88333333</v>
      </c>
      <c r="Q861" s="4" t="str">
        <f t="shared" si="2"/>
        <v>Underutilized</v>
      </c>
      <c r="R861" s="1" t="str">
        <f t="shared" si="3"/>
        <v>Underutilized</v>
      </c>
      <c r="S861" s="4">
        <f t="shared" si="4"/>
        <v>125.4541308</v>
      </c>
      <c r="T861" s="1" t="str">
        <f t="shared" si="5"/>
        <v>High Cost</v>
      </c>
      <c r="U861" s="4">
        <f t="shared" si="6"/>
        <v>0.00130142103</v>
      </c>
    </row>
    <row r="862">
      <c r="A862" s="4" t="s">
        <v>1945</v>
      </c>
      <c r="B862" s="4" t="s">
        <v>53</v>
      </c>
      <c r="C862" s="4">
        <v>614.1449</v>
      </c>
      <c r="D862" s="4" t="s">
        <v>17</v>
      </c>
      <c r="E862" s="4" t="s">
        <v>74</v>
      </c>
      <c r="F862" s="4">
        <v>49.41</v>
      </c>
      <c r="G862" s="4">
        <v>60.54</v>
      </c>
      <c r="H862" s="4">
        <v>7.1938574379E10</v>
      </c>
      <c r="I862" s="4">
        <v>7.4911332182E10</v>
      </c>
      <c r="J862" s="5">
        <v>45604.73055555556</v>
      </c>
      <c r="K862" s="4" t="s">
        <v>1946</v>
      </c>
      <c r="L862" s="4">
        <v>3.05</v>
      </c>
      <c r="M862" s="4">
        <v>1873.14</v>
      </c>
      <c r="N862" s="4">
        <v>1873.0</v>
      </c>
      <c r="O862" s="4">
        <v>155459.0</v>
      </c>
      <c r="P862" s="4">
        <f t="shared" si="1"/>
        <v>142.4</v>
      </c>
      <c r="Q862" s="4" t="str">
        <f t="shared" si="2"/>
        <v>Normal</v>
      </c>
      <c r="R862" s="1" t="str">
        <f t="shared" si="3"/>
        <v>Normal</v>
      </c>
      <c r="S862" s="4">
        <f t="shared" si="4"/>
        <v>136.7646331</v>
      </c>
      <c r="T862" s="1" t="str">
        <f t="shared" si="5"/>
        <v>Normal Cost</v>
      </c>
      <c r="U862" s="4">
        <f t="shared" si="6"/>
        <v>0.03536302176</v>
      </c>
    </row>
    <row r="863">
      <c r="A863" s="4" t="s">
        <v>1947</v>
      </c>
      <c r="B863" s="4" t="s">
        <v>273</v>
      </c>
      <c r="C863" s="4">
        <v>700.1031</v>
      </c>
      <c r="D863" s="4" t="s">
        <v>17</v>
      </c>
      <c r="E863" s="4" t="s">
        <v>27</v>
      </c>
      <c r="F863" s="4">
        <v>37.22</v>
      </c>
      <c r="G863" s="4">
        <v>58.66</v>
      </c>
      <c r="H863" s="4">
        <v>8.887048064E10</v>
      </c>
      <c r="I863" s="4">
        <v>9.0559922778E10</v>
      </c>
      <c r="J863" s="5">
        <v>45603.46111111111</v>
      </c>
      <c r="K863" s="4" t="s">
        <v>1948</v>
      </c>
      <c r="L863" s="4">
        <v>9.16</v>
      </c>
      <c r="M863" s="4">
        <v>6412.94</v>
      </c>
      <c r="N863" s="4">
        <v>6413.0</v>
      </c>
      <c r="O863" s="4">
        <v>532279.0</v>
      </c>
      <c r="P863" s="4">
        <f t="shared" si="1"/>
        <v>67.08333333</v>
      </c>
      <c r="Q863" s="4" t="str">
        <f t="shared" si="2"/>
        <v>Normal</v>
      </c>
      <c r="R863" s="1" t="str">
        <f t="shared" si="3"/>
        <v>Normal</v>
      </c>
      <c r="S863" s="4">
        <f t="shared" si="4"/>
        <v>167.1075853</v>
      </c>
      <c r="T863" s="1" t="str">
        <f t="shared" si="5"/>
        <v>High Cost</v>
      </c>
      <c r="U863" s="4">
        <f t="shared" si="6"/>
        <v>0.009006554833</v>
      </c>
    </row>
    <row r="864">
      <c r="A864" s="4" t="s">
        <v>1949</v>
      </c>
      <c r="B864" s="4" t="s">
        <v>99</v>
      </c>
      <c r="C864" s="4">
        <v>749.4753</v>
      </c>
      <c r="D864" s="4" t="s">
        <v>17</v>
      </c>
      <c r="E864" s="4" t="s">
        <v>105</v>
      </c>
      <c r="F864" s="4">
        <v>85.61</v>
      </c>
      <c r="G864" s="4">
        <v>27.21</v>
      </c>
      <c r="H864" s="4">
        <v>3.4512266113E10</v>
      </c>
      <c r="I864" s="4">
        <v>4.2396858117E10</v>
      </c>
      <c r="J864" s="5">
        <v>45298.84097222222</v>
      </c>
      <c r="K864" s="5">
        <v>45480.152083333334</v>
      </c>
      <c r="L864" s="4">
        <v>6.92</v>
      </c>
      <c r="M864" s="4">
        <v>5186.37</v>
      </c>
      <c r="N864" s="4">
        <v>5186.0</v>
      </c>
      <c r="O864" s="4">
        <v>430438.0</v>
      </c>
      <c r="P864" s="4">
        <f t="shared" si="1"/>
        <v>127.4666667</v>
      </c>
      <c r="Q864" s="4" t="str">
        <f t="shared" si="2"/>
        <v>High</v>
      </c>
      <c r="R864" s="1" t="str">
        <f t="shared" si="3"/>
        <v>Underutilized</v>
      </c>
      <c r="S864" s="4">
        <f t="shared" si="4"/>
        <v>71.62720359</v>
      </c>
      <c r="T864" s="1" t="str">
        <f t="shared" si="5"/>
        <v>High Cost</v>
      </c>
      <c r="U864" s="4">
        <f t="shared" si="6"/>
        <v>0.01310525558</v>
      </c>
    </row>
    <row r="865">
      <c r="A865" s="4" t="s">
        <v>1950</v>
      </c>
      <c r="B865" s="4" t="s">
        <v>36</v>
      </c>
      <c r="C865" s="4">
        <v>647.1712</v>
      </c>
      <c r="D865" s="4" t="s">
        <v>21</v>
      </c>
      <c r="E865" s="4" t="s">
        <v>58</v>
      </c>
      <c r="F865" s="4">
        <v>12.38</v>
      </c>
      <c r="G865" s="4">
        <v>39.08</v>
      </c>
      <c r="H865" s="4">
        <v>1.0175153127E10</v>
      </c>
      <c r="I865" s="4">
        <v>1.7016011208E10</v>
      </c>
      <c r="J865" s="4" t="s">
        <v>1951</v>
      </c>
      <c r="K865" s="4" t="s">
        <v>1952</v>
      </c>
      <c r="L865" s="4">
        <v>9.65</v>
      </c>
      <c r="M865" s="4">
        <v>6245.2</v>
      </c>
      <c r="N865" s="4">
        <v>6245.0</v>
      </c>
      <c r="O865" s="4">
        <v>518335.0</v>
      </c>
      <c r="P865" s="4">
        <f t="shared" si="1"/>
        <v>69.38333333</v>
      </c>
      <c r="Q865" s="4" t="str">
        <f t="shared" si="2"/>
        <v>Underutilized</v>
      </c>
      <c r="R865" s="1" t="str">
        <f t="shared" si="3"/>
        <v>Underutilized</v>
      </c>
      <c r="S865" s="4">
        <f t="shared" si="4"/>
        <v>25.32374518</v>
      </c>
      <c r="T865" s="1" t="str">
        <f t="shared" si="5"/>
        <v>High Cost</v>
      </c>
      <c r="U865" s="4">
        <f t="shared" si="6"/>
        <v>0.004963971177</v>
      </c>
    </row>
    <row r="866">
      <c r="A866" s="4" t="s">
        <v>1953</v>
      </c>
      <c r="B866" s="4" t="s">
        <v>31</v>
      </c>
      <c r="C866" s="4">
        <v>609.1025</v>
      </c>
      <c r="D866" s="4" t="s">
        <v>17</v>
      </c>
      <c r="E866" s="4" t="s">
        <v>123</v>
      </c>
      <c r="F866" s="4">
        <v>62.06</v>
      </c>
      <c r="G866" s="4">
        <v>35.75</v>
      </c>
      <c r="H866" s="4">
        <v>7.8808451311E10</v>
      </c>
      <c r="I866" s="4">
        <v>7.9516684243E10</v>
      </c>
      <c r="J866" s="4" t="s">
        <v>1954</v>
      </c>
      <c r="K866" s="4" t="s">
        <v>1955</v>
      </c>
      <c r="L866" s="4">
        <v>6.62</v>
      </c>
      <c r="M866" s="4">
        <v>4032.26</v>
      </c>
      <c r="N866" s="4">
        <v>4032.0</v>
      </c>
      <c r="O866" s="4">
        <v>334656.0</v>
      </c>
      <c r="P866" s="4">
        <f t="shared" si="1"/>
        <v>48.51666667</v>
      </c>
      <c r="Q866" s="4" t="str">
        <f t="shared" si="2"/>
        <v>Normal</v>
      </c>
      <c r="R866" s="1" t="str">
        <f t="shared" si="3"/>
        <v>Underutilized</v>
      </c>
      <c r="S866" s="4">
        <f t="shared" si="4"/>
        <v>147.4517729</v>
      </c>
      <c r="T866" s="1" t="str">
        <f t="shared" si="5"/>
        <v>High Cost</v>
      </c>
      <c r="U866" s="4">
        <f t="shared" si="6"/>
        <v>0.01461351358</v>
      </c>
    </row>
    <row r="867">
      <c r="A867" s="4" t="s">
        <v>1956</v>
      </c>
      <c r="B867" s="4" t="s">
        <v>53</v>
      </c>
      <c r="C867" s="4">
        <v>804.0664</v>
      </c>
      <c r="D867" s="4" t="s">
        <v>21</v>
      </c>
      <c r="E867" s="4" t="s">
        <v>54</v>
      </c>
      <c r="F867" s="4">
        <v>75.7</v>
      </c>
      <c r="G867" s="4">
        <v>97.66</v>
      </c>
      <c r="H867" s="4">
        <v>7.7064605414E10</v>
      </c>
      <c r="I867" s="4">
        <v>8.1678867817E10</v>
      </c>
      <c r="J867" s="5">
        <v>45572.316666666666</v>
      </c>
      <c r="K867" s="4" t="s">
        <v>1957</v>
      </c>
      <c r="L867" s="4">
        <v>4.28</v>
      </c>
      <c r="M867" s="4">
        <v>3441.4</v>
      </c>
      <c r="N867" s="4">
        <v>3441.0</v>
      </c>
      <c r="O867" s="4">
        <v>285603.0</v>
      </c>
      <c r="P867" s="4">
        <f t="shared" si="1"/>
        <v>115.5666667</v>
      </c>
      <c r="Q867" s="4" t="str">
        <f t="shared" si="2"/>
        <v>High</v>
      </c>
      <c r="R867" s="1" t="str">
        <f t="shared" si="3"/>
        <v>High</v>
      </c>
      <c r="S867" s="4">
        <f t="shared" si="4"/>
        <v>147.8413802</v>
      </c>
      <c r="T867" s="1" t="str">
        <f t="shared" si="5"/>
        <v>High Cost</v>
      </c>
      <c r="U867" s="4">
        <f t="shared" si="6"/>
        <v>0.03034982126</v>
      </c>
    </row>
    <row r="868">
      <c r="A868" s="4" t="s">
        <v>1958</v>
      </c>
      <c r="B868" s="4" t="s">
        <v>46</v>
      </c>
      <c r="C868" s="4">
        <v>187.2887</v>
      </c>
      <c r="D868" s="4" t="s">
        <v>17</v>
      </c>
      <c r="E868" s="4" t="s">
        <v>18</v>
      </c>
      <c r="F868" s="4">
        <v>81.86</v>
      </c>
      <c r="G868" s="4">
        <v>14.13</v>
      </c>
      <c r="H868" s="4">
        <v>3.2806148614E10</v>
      </c>
      <c r="I868" s="4">
        <v>4.0584125808E10</v>
      </c>
      <c r="J868" s="5">
        <v>45419.811111111114</v>
      </c>
      <c r="K868" s="5">
        <v>45480.1125</v>
      </c>
      <c r="L868" s="4">
        <v>8.83</v>
      </c>
      <c r="M868" s="4">
        <v>1653.76</v>
      </c>
      <c r="N868" s="4">
        <v>1654.0</v>
      </c>
      <c r="O868" s="4">
        <v>137282.0</v>
      </c>
      <c r="P868" s="4">
        <f t="shared" si="1"/>
        <v>31.23333333</v>
      </c>
      <c r="Q868" s="4" t="str">
        <f t="shared" si="2"/>
        <v>High</v>
      </c>
      <c r="R868" s="1" t="str">
        <f t="shared" si="3"/>
        <v>Underutilized</v>
      </c>
      <c r="S868" s="4">
        <f t="shared" si="4"/>
        <v>68.35001933</v>
      </c>
      <c r="T868" s="1" t="str">
        <f t="shared" si="5"/>
        <v>Normal Cost</v>
      </c>
      <c r="U868" s="4">
        <f t="shared" si="6"/>
        <v>0.03496088344</v>
      </c>
    </row>
    <row r="869">
      <c r="A869" s="4" t="s">
        <v>1959</v>
      </c>
      <c r="B869" s="4" t="s">
        <v>66</v>
      </c>
      <c r="C869" s="4">
        <v>377.6054</v>
      </c>
      <c r="D869" s="4" t="s">
        <v>21</v>
      </c>
      <c r="E869" s="4" t="s">
        <v>22</v>
      </c>
      <c r="F869" s="4">
        <v>31.21</v>
      </c>
      <c r="G869" s="4">
        <v>54.64</v>
      </c>
      <c r="H869" s="4">
        <v>2.5009594193E10</v>
      </c>
      <c r="I869" s="4">
        <v>3.4804350306E10</v>
      </c>
      <c r="J869" s="5">
        <v>45358.839583333334</v>
      </c>
      <c r="K869" s="5">
        <v>45450.54236111111</v>
      </c>
      <c r="L869" s="4">
        <v>5.68</v>
      </c>
      <c r="M869" s="4">
        <v>2144.8</v>
      </c>
      <c r="N869" s="4">
        <v>2145.0</v>
      </c>
      <c r="O869" s="4">
        <v>178035.0</v>
      </c>
      <c r="P869" s="4">
        <f t="shared" si="1"/>
        <v>64.86666667</v>
      </c>
      <c r="Q869" s="4" t="str">
        <f t="shared" si="2"/>
        <v>Normal</v>
      </c>
      <c r="R869" s="1" t="str">
        <f t="shared" si="3"/>
        <v>Normal</v>
      </c>
      <c r="S869" s="4">
        <f t="shared" si="4"/>
        <v>55.70607679</v>
      </c>
      <c r="T869" s="1" t="str">
        <f t="shared" si="5"/>
        <v>High Cost</v>
      </c>
      <c r="U869" s="4">
        <f t="shared" si="6"/>
        <v>0.02411042772</v>
      </c>
    </row>
    <row r="870">
      <c r="A870" s="4" t="s">
        <v>1960</v>
      </c>
      <c r="B870" s="4" t="s">
        <v>147</v>
      </c>
      <c r="C870" s="4">
        <v>67.7333</v>
      </c>
      <c r="D870" s="4" t="s">
        <v>42</v>
      </c>
      <c r="E870" s="4" t="s">
        <v>155</v>
      </c>
      <c r="F870" s="4">
        <v>95.83</v>
      </c>
      <c r="G870" s="4">
        <v>41.85</v>
      </c>
      <c r="H870" s="4">
        <v>7.8440748612E10</v>
      </c>
      <c r="I870" s="4">
        <v>8.5486927373E10</v>
      </c>
      <c r="J870" s="5">
        <v>45633.680555555555</v>
      </c>
      <c r="K870" s="4" t="s">
        <v>1961</v>
      </c>
      <c r="L870" s="4">
        <v>8.84</v>
      </c>
      <c r="M870" s="4">
        <v>598.76</v>
      </c>
      <c r="N870" s="4">
        <v>599.0</v>
      </c>
      <c r="O870" s="4">
        <v>49717.0</v>
      </c>
      <c r="P870" s="4">
        <f t="shared" si="1"/>
        <v>67.73333333</v>
      </c>
      <c r="Q870" s="4" t="str">
        <f t="shared" si="2"/>
        <v>High</v>
      </c>
      <c r="R870" s="1" t="str">
        <f t="shared" si="3"/>
        <v>Normal</v>
      </c>
      <c r="S870" s="4">
        <f t="shared" si="4"/>
        <v>152.6695452</v>
      </c>
      <c r="T870" s="1" t="str">
        <f t="shared" si="5"/>
        <v>Normal Cost</v>
      </c>
      <c r="U870" s="4">
        <f t="shared" si="6"/>
        <v>0.1384637046</v>
      </c>
    </row>
    <row r="871">
      <c r="A871" s="4" t="s">
        <v>1962</v>
      </c>
      <c r="B871" s="4" t="s">
        <v>147</v>
      </c>
      <c r="C871" s="4">
        <v>73.95</v>
      </c>
      <c r="D871" s="4" t="s">
        <v>42</v>
      </c>
      <c r="E871" s="4" t="s">
        <v>70</v>
      </c>
      <c r="F871" s="4">
        <v>93.44</v>
      </c>
      <c r="G871" s="4">
        <v>68.76</v>
      </c>
      <c r="H871" s="4">
        <v>1.2456947603E10</v>
      </c>
      <c r="I871" s="4">
        <v>1.6300754614E10</v>
      </c>
      <c r="J871" s="5">
        <v>45481.22777777778</v>
      </c>
      <c r="K871" s="5">
        <v>45573.30902777778</v>
      </c>
      <c r="L871" s="4">
        <v>5.24</v>
      </c>
      <c r="M871" s="4">
        <v>387.5</v>
      </c>
      <c r="N871" s="4">
        <v>388.0</v>
      </c>
      <c r="O871" s="4">
        <v>32204.0</v>
      </c>
      <c r="P871" s="4">
        <f t="shared" si="1"/>
        <v>73.95</v>
      </c>
      <c r="Q871" s="4" t="str">
        <f t="shared" si="2"/>
        <v>High</v>
      </c>
      <c r="R871" s="1" t="str">
        <f t="shared" si="3"/>
        <v>Normal</v>
      </c>
      <c r="S871" s="4">
        <f t="shared" si="4"/>
        <v>26.78269727</v>
      </c>
      <c r="T871" s="1" t="str">
        <f t="shared" si="5"/>
        <v>Normal Cost</v>
      </c>
      <c r="U871" s="4">
        <f t="shared" si="6"/>
        <v>0.2518320706</v>
      </c>
    </row>
    <row r="872">
      <c r="A872" s="4" t="s">
        <v>1963</v>
      </c>
      <c r="B872" s="4" t="s">
        <v>46</v>
      </c>
      <c r="C872" s="4">
        <v>568.7916</v>
      </c>
      <c r="D872" s="4" t="s">
        <v>21</v>
      </c>
      <c r="E872" s="4" t="s">
        <v>32</v>
      </c>
      <c r="F872" s="4">
        <v>70.05</v>
      </c>
      <c r="G872" s="4">
        <v>67.12</v>
      </c>
      <c r="H872" s="4">
        <v>6.1148063721E10</v>
      </c>
      <c r="I872" s="4">
        <v>7.0111111358E10</v>
      </c>
      <c r="J872" s="4" t="s">
        <v>1964</v>
      </c>
      <c r="K872" s="4" t="s">
        <v>1965</v>
      </c>
      <c r="L872" s="4">
        <v>2.61</v>
      </c>
      <c r="M872" s="4">
        <v>1484.55</v>
      </c>
      <c r="N872" s="4">
        <v>1485.0</v>
      </c>
      <c r="O872" s="4">
        <v>123255.0</v>
      </c>
      <c r="P872" s="4">
        <f t="shared" si="1"/>
        <v>133.4333333</v>
      </c>
      <c r="Q872" s="4" t="str">
        <f t="shared" si="2"/>
        <v>High</v>
      </c>
      <c r="R872" s="1" t="str">
        <f t="shared" si="3"/>
        <v>Normal</v>
      </c>
      <c r="S872" s="4">
        <f t="shared" si="4"/>
        <v>122.2446329</v>
      </c>
      <c r="T872" s="1" t="str">
        <f t="shared" si="5"/>
        <v>Normal Cost</v>
      </c>
      <c r="U872" s="4">
        <f t="shared" si="6"/>
        <v>0.05564480143</v>
      </c>
    </row>
    <row r="873">
      <c r="A873" s="4" t="s">
        <v>1966</v>
      </c>
      <c r="B873" s="4" t="s">
        <v>112</v>
      </c>
      <c r="C873" s="4">
        <v>36.25</v>
      </c>
      <c r="D873" s="4" t="s">
        <v>42</v>
      </c>
      <c r="E873" s="4" t="s">
        <v>18</v>
      </c>
      <c r="F873" s="4">
        <v>57.77</v>
      </c>
      <c r="G873" s="4">
        <v>5.48</v>
      </c>
      <c r="H873" s="4">
        <v>8.0117113469E10</v>
      </c>
      <c r="I873" s="4">
        <v>8.015357633E10</v>
      </c>
      <c r="J873" s="4" t="s">
        <v>1967</v>
      </c>
      <c r="K873" s="4" t="s">
        <v>1968</v>
      </c>
      <c r="L873" s="4">
        <v>4.19</v>
      </c>
      <c r="M873" s="4">
        <v>151.89</v>
      </c>
      <c r="N873" s="4">
        <v>152.0</v>
      </c>
      <c r="O873" s="4">
        <v>12616.0</v>
      </c>
      <c r="P873" s="4">
        <f t="shared" si="1"/>
        <v>36.25</v>
      </c>
      <c r="Q873" s="4" t="str">
        <f t="shared" si="2"/>
        <v>Normal</v>
      </c>
      <c r="R873" s="1" t="str">
        <f t="shared" si="3"/>
        <v>Underutilized</v>
      </c>
      <c r="S873" s="4">
        <f t="shared" si="4"/>
        <v>149.2637115</v>
      </c>
      <c r="T873" s="1" t="str">
        <f t="shared" si="5"/>
        <v>Normal Cost</v>
      </c>
      <c r="U873" s="4">
        <f t="shared" si="6"/>
        <v>0.2506737476</v>
      </c>
    </row>
    <row r="874">
      <c r="A874" s="4" t="s">
        <v>1969</v>
      </c>
      <c r="B874" s="4" t="s">
        <v>57</v>
      </c>
      <c r="C874" s="4">
        <v>288.1675</v>
      </c>
      <c r="D874" s="4" t="s">
        <v>21</v>
      </c>
      <c r="E874" s="4" t="s">
        <v>155</v>
      </c>
      <c r="F874" s="4">
        <v>38.26</v>
      </c>
      <c r="G874" s="4">
        <v>33.25</v>
      </c>
      <c r="H874" s="4">
        <v>8.501476936E9</v>
      </c>
      <c r="I874" s="4">
        <v>1.5392500201E10</v>
      </c>
      <c r="J874" s="4" t="s">
        <v>1970</v>
      </c>
      <c r="K874" s="4" t="s">
        <v>1971</v>
      </c>
      <c r="L874" s="4">
        <v>4.1</v>
      </c>
      <c r="M874" s="4">
        <v>1181.49</v>
      </c>
      <c r="N874" s="4">
        <v>1181.0</v>
      </c>
      <c r="O874" s="4">
        <v>98023.0</v>
      </c>
      <c r="P874" s="4">
        <f t="shared" si="1"/>
        <v>82.88333333</v>
      </c>
      <c r="Q874" s="4" t="str">
        <f t="shared" si="2"/>
        <v>Normal</v>
      </c>
      <c r="R874" s="1" t="str">
        <f t="shared" si="3"/>
        <v>Underutilized</v>
      </c>
      <c r="S874" s="4">
        <f t="shared" si="4"/>
        <v>22.25300031</v>
      </c>
      <c r="T874" s="1" t="str">
        <f t="shared" si="5"/>
        <v>Normal Cost</v>
      </c>
      <c r="U874" s="4">
        <f t="shared" si="6"/>
        <v>0.03647613315</v>
      </c>
    </row>
    <row r="875">
      <c r="A875" s="4" t="s">
        <v>1972</v>
      </c>
      <c r="B875" s="4" t="s">
        <v>60</v>
      </c>
      <c r="C875" s="4">
        <v>48.75</v>
      </c>
      <c r="D875" s="4" t="s">
        <v>42</v>
      </c>
      <c r="E875" s="4" t="s">
        <v>70</v>
      </c>
      <c r="F875" s="4">
        <v>10.17</v>
      </c>
      <c r="G875" s="4">
        <v>93.94</v>
      </c>
      <c r="H875" s="4">
        <v>2.4435018446E10</v>
      </c>
      <c r="I875" s="4">
        <v>2.471043483E10</v>
      </c>
      <c r="J875" s="5">
        <v>45604.92569444444</v>
      </c>
      <c r="K875" s="4" t="s">
        <v>1973</v>
      </c>
      <c r="L875" s="4">
        <v>5.42</v>
      </c>
      <c r="M875" s="4">
        <v>264.23</v>
      </c>
      <c r="N875" s="4">
        <v>264.0</v>
      </c>
      <c r="O875" s="4">
        <v>21912.0</v>
      </c>
      <c r="P875" s="4">
        <f t="shared" si="1"/>
        <v>48.75</v>
      </c>
      <c r="Q875" s="4" t="str">
        <f t="shared" si="2"/>
        <v>Underutilized</v>
      </c>
      <c r="R875" s="1" t="str">
        <f t="shared" si="3"/>
        <v>High</v>
      </c>
      <c r="S875" s="4">
        <f t="shared" si="4"/>
        <v>45.77027008</v>
      </c>
      <c r="T875" s="1" t="str">
        <f t="shared" si="5"/>
        <v>Normal Cost</v>
      </c>
      <c r="U875" s="4">
        <f t="shared" si="6"/>
        <v>0.2375638919</v>
      </c>
    </row>
    <row r="876">
      <c r="A876" s="4" t="s">
        <v>1974</v>
      </c>
      <c r="B876" s="4" t="s">
        <v>112</v>
      </c>
      <c r="C876" s="4">
        <v>123.5333</v>
      </c>
      <c r="D876" s="4" t="s">
        <v>42</v>
      </c>
      <c r="E876" s="4" t="s">
        <v>22</v>
      </c>
      <c r="F876" s="4">
        <v>56.0</v>
      </c>
      <c r="G876" s="4">
        <v>45.03</v>
      </c>
      <c r="H876" s="4">
        <v>1.6460186813E10</v>
      </c>
      <c r="I876" s="4">
        <v>1.7852026452E10</v>
      </c>
      <c r="J876" s="4" t="s">
        <v>1975</v>
      </c>
      <c r="K876" s="4" t="s">
        <v>1976</v>
      </c>
      <c r="L876" s="4">
        <v>2.01</v>
      </c>
      <c r="M876" s="4">
        <v>248.3</v>
      </c>
      <c r="N876" s="4">
        <v>248.0</v>
      </c>
      <c r="O876" s="4">
        <v>20584.0</v>
      </c>
      <c r="P876" s="4">
        <f t="shared" si="1"/>
        <v>123.5333333</v>
      </c>
      <c r="Q876" s="4" t="str">
        <f t="shared" si="2"/>
        <v>Normal</v>
      </c>
      <c r="R876" s="1" t="str">
        <f t="shared" si="3"/>
        <v>Normal</v>
      </c>
      <c r="S876" s="4">
        <f t="shared" si="4"/>
        <v>31.9557388</v>
      </c>
      <c r="T876" s="1" t="str">
        <f t="shared" si="5"/>
        <v>Normal Cost</v>
      </c>
      <c r="U876" s="4">
        <f t="shared" si="6"/>
        <v>0.2454090556</v>
      </c>
    </row>
    <row r="877">
      <c r="A877" s="4" t="s">
        <v>1977</v>
      </c>
      <c r="B877" s="4" t="s">
        <v>66</v>
      </c>
      <c r="C877" s="4">
        <v>603.5435</v>
      </c>
      <c r="D877" s="4" t="s">
        <v>17</v>
      </c>
      <c r="E877" s="4" t="s">
        <v>105</v>
      </c>
      <c r="F877" s="4">
        <v>5.96</v>
      </c>
      <c r="G877" s="4">
        <v>31.13</v>
      </c>
      <c r="H877" s="4">
        <v>3.8527162678E10</v>
      </c>
      <c r="I877" s="4">
        <v>3.9635005557E10</v>
      </c>
      <c r="J877" s="4" t="s">
        <v>1978</v>
      </c>
      <c r="K877" s="4" t="s">
        <v>1979</v>
      </c>
      <c r="L877" s="4">
        <v>3.7</v>
      </c>
      <c r="M877" s="4">
        <v>2233.11</v>
      </c>
      <c r="N877" s="4">
        <v>2233.0</v>
      </c>
      <c r="O877" s="4">
        <v>185339.0</v>
      </c>
      <c r="P877" s="4">
        <f t="shared" si="1"/>
        <v>60.81666667</v>
      </c>
      <c r="Q877" s="4" t="str">
        <f t="shared" si="2"/>
        <v>Underutilized</v>
      </c>
      <c r="R877" s="1" t="str">
        <f t="shared" si="3"/>
        <v>Underutilized</v>
      </c>
      <c r="S877" s="4">
        <f t="shared" si="4"/>
        <v>72.79419176</v>
      </c>
      <c r="T877" s="1" t="str">
        <f t="shared" si="5"/>
        <v>High Cost</v>
      </c>
      <c r="U877" s="4">
        <f t="shared" si="6"/>
        <v>0.01000598903</v>
      </c>
    </row>
    <row r="878">
      <c r="A878" s="4" t="s">
        <v>1980</v>
      </c>
      <c r="B878" s="4" t="s">
        <v>20</v>
      </c>
      <c r="C878" s="4">
        <v>673.8625</v>
      </c>
      <c r="D878" s="4" t="s">
        <v>21</v>
      </c>
      <c r="E878" s="4" t="s">
        <v>70</v>
      </c>
      <c r="F878" s="4">
        <v>46.98</v>
      </c>
      <c r="G878" s="4">
        <v>68.94</v>
      </c>
      <c r="H878" s="4">
        <v>2.3560942202E10</v>
      </c>
      <c r="I878" s="4">
        <v>2.5252564605E10</v>
      </c>
      <c r="J878" s="4" t="s">
        <v>1981</v>
      </c>
      <c r="K878" s="4" t="s">
        <v>1982</v>
      </c>
      <c r="L878" s="4">
        <v>2.69</v>
      </c>
      <c r="M878" s="4">
        <v>1812.69</v>
      </c>
      <c r="N878" s="4">
        <v>1813.0</v>
      </c>
      <c r="O878" s="4">
        <v>150479.0</v>
      </c>
      <c r="P878" s="4">
        <f t="shared" si="1"/>
        <v>123.65</v>
      </c>
      <c r="Q878" s="4" t="str">
        <f t="shared" si="2"/>
        <v>Normal</v>
      </c>
      <c r="R878" s="1" t="str">
        <f t="shared" si="3"/>
        <v>Normal</v>
      </c>
      <c r="S878" s="4">
        <f t="shared" si="4"/>
        <v>45.46112084</v>
      </c>
      <c r="T878" s="1" t="str">
        <f t="shared" si="5"/>
        <v>Normal Cost</v>
      </c>
      <c r="U878" s="4">
        <f t="shared" si="6"/>
        <v>0.03851700237</v>
      </c>
    </row>
    <row r="879">
      <c r="A879" s="4" t="s">
        <v>1983</v>
      </c>
      <c r="B879" s="4" t="s">
        <v>57</v>
      </c>
      <c r="C879" s="4">
        <v>142.6776</v>
      </c>
      <c r="D879" s="4" t="s">
        <v>21</v>
      </c>
      <c r="E879" s="4" t="s">
        <v>32</v>
      </c>
      <c r="F879" s="4">
        <v>72.5</v>
      </c>
      <c r="G879" s="4">
        <v>75.43</v>
      </c>
      <c r="H879" s="4">
        <v>9.3728555055E10</v>
      </c>
      <c r="I879" s="4">
        <v>9.5810901292E10</v>
      </c>
      <c r="J879" s="4" t="s">
        <v>1984</v>
      </c>
      <c r="K879" s="4" t="s">
        <v>1985</v>
      </c>
      <c r="L879" s="4">
        <v>3.43</v>
      </c>
      <c r="M879" s="4">
        <v>489.38</v>
      </c>
      <c r="N879" s="4">
        <v>489.0</v>
      </c>
      <c r="O879" s="4">
        <v>40587.0</v>
      </c>
      <c r="P879" s="4">
        <f t="shared" si="1"/>
        <v>126.1333333</v>
      </c>
      <c r="Q879" s="4" t="str">
        <f t="shared" si="2"/>
        <v>High</v>
      </c>
      <c r="R879" s="1" t="str">
        <f t="shared" si="3"/>
        <v>High</v>
      </c>
      <c r="S879" s="4">
        <f t="shared" si="4"/>
        <v>176.5223745</v>
      </c>
      <c r="T879" s="1" t="str">
        <f t="shared" si="5"/>
        <v>Normal Cost</v>
      </c>
      <c r="U879" s="4">
        <f t="shared" si="6"/>
        <v>0.1822381551</v>
      </c>
    </row>
    <row r="880">
      <c r="A880" s="4" t="s">
        <v>1986</v>
      </c>
      <c r="B880" s="4" t="s">
        <v>66</v>
      </c>
      <c r="C880" s="4">
        <v>30.7914</v>
      </c>
      <c r="D880" s="4" t="s">
        <v>21</v>
      </c>
      <c r="E880" s="4" t="s">
        <v>70</v>
      </c>
      <c r="F880" s="4">
        <v>99.67</v>
      </c>
      <c r="G880" s="4">
        <v>25.22</v>
      </c>
      <c r="H880" s="4">
        <v>3.1693150202E10</v>
      </c>
      <c r="I880" s="4">
        <v>3.5848821301E10</v>
      </c>
      <c r="J880" s="5">
        <v>45420.52013888889</v>
      </c>
      <c r="K880" s="5">
        <v>45451.83472222222</v>
      </c>
      <c r="L880" s="4">
        <v>3.39</v>
      </c>
      <c r="M880" s="4">
        <v>104.38</v>
      </c>
      <c r="N880" s="4">
        <v>104.0</v>
      </c>
      <c r="O880" s="4">
        <v>8632.0</v>
      </c>
      <c r="P880" s="4">
        <f t="shared" si="1"/>
        <v>31.55</v>
      </c>
      <c r="Q880" s="4" t="str">
        <f t="shared" si="2"/>
        <v>High</v>
      </c>
      <c r="R880" s="1" t="str">
        <f t="shared" si="3"/>
        <v>Underutilized</v>
      </c>
      <c r="S880" s="4">
        <f t="shared" si="4"/>
        <v>62.90336279</v>
      </c>
      <c r="T880" s="1" t="str">
        <f t="shared" si="5"/>
        <v>Normal Cost</v>
      </c>
      <c r="U880" s="4">
        <f t="shared" si="6"/>
        <v>0.7234128823</v>
      </c>
    </row>
    <row r="881">
      <c r="A881" s="4" t="s">
        <v>1987</v>
      </c>
      <c r="B881" s="4" t="s">
        <v>60</v>
      </c>
      <c r="C881" s="4">
        <v>61.75</v>
      </c>
      <c r="D881" s="4" t="s">
        <v>42</v>
      </c>
      <c r="E881" s="4" t="s">
        <v>27</v>
      </c>
      <c r="F881" s="4">
        <v>21.01</v>
      </c>
      <c r="G881" s="4">
        <v>90.87</v>
      </c>
      <c r="H881" s="4">
        <v>2.2465469172E10</v>
      </c>
      <c r="I881" s="4">
        <v>3.1008980415E10</v>
      </c>
      <c r="J881" s="4" t="s">
        <v>1988</v>
      </c>
      <c r="K881" s="4" t="s">
        <v>1989</v>
      </c>
      <c r="L881" s="4">
        <v>8.82</v>
      </c>
      <c r="M881" s="4">
        <v>544.63</v>
      </c>
      <c r="N881" s="4">
        <v>545.0</v>
      </c>
      <c r="O881" s="4">
        <v>45235.0</v>
      </c>
      <c r="P881" s="4">
        <f t="shared" si="1"/>
        <v>61.75</v>
      </c>
      <c r="Q881" s="4" t="str">
        <f t="shared" si="2"/>
        <v>Underutilized</v>
      </c>
      <c r="R881" s="1" t="str">
        <f t="shared" si="3"/>
        <v>High</v>
      </c>
      <c r="S881" s="4">
        <f t="shared" si="4"/>
        <v>49.80196207</v>
      </c>
      <c r="T881" s="1" t="str">
        <f t="shared" si="5"/>
        <v>Normal Cost</v>
      </c>
      <c r="U881" s="4">
        <f t="shared" si="6"/>
        <v>0.1236653034</v>
      </c>
    </row>
    <row r="882">
      <c r="A882" s="4" t="s">
        <v>1990</v>
      </c>
      <c r="B882" s="4" t="s">
        <v>31</v>
      </c>
      <c r="C882" s="4">
        <v>98.7196</v>
      </c>
      <c r="D882" s="4" t="s">
        <v>17</v>
      </c>
      <c r="E882" s="4" t="s">
        <v>54</v>
      </c>
      <c r="F882" s="4">
        <v>81.91</v>
      </c>
      <c r="G882" s="4">
        <v>97.66</v>
      </c>
      <c r="H882" s="4">
        <v>6.9176118241E10</v>
      </c>
      <c r="I882" s="4">
        <v>7.0353669674E10</v>
      </c>
      <c r="J882" s="4" t="s">
        <v>1991</v>
      </c>
      <c r="K882" s="4" t="s">
        <v>1992</v>
      </c>
      <c r="L882" s="4">
        <v>9.02</v>
      </c>
      <c r="M882" s="4">
        <v>890.45</v>
      </c>
      <c r="N882" s="4">
        <v>890.0</v>
      </c>
      <c r="O882" s="4">
        <v>73870.0</v>
      </c>
      <c r="P882" s="4">
        <f t="shared" si="1"/>
        <v>107.8666667</v>
      </c>
      <c r="Q882" s="4" t="str">
        <f t="shared" si="2"/>
        <v>High</v>
      </c>
      <c r="R882" s="1" t="str">
        <f t="shared" si="3"/>
        <v>High</v>
      </c>
      <c r="S882" s="4">
        <f t="shared" si="4"/>
        <v>129.9472413</v>
      </c>
      <c r="T882" s="1" t="str">
        <f t="shared" si="5"/>
        <v>Normal Cost</v>
      </c>
      <c r="U882" s="4">
        <f t="shared" si="6"/>
        <v>0.1215446054</v>
      </c>
    </row>
    <row r="883">
      <c r="A883" s="4" t="s">
        <v>1993</v>
      </c>
      <c r="B883" s="4" t="s">
        <v>46</v>
      </c>
      <c r="C883" s="4">
        <v>598.3014</v>
      </c>
      <c r="D883" s="4" t="s">
        <v>17</v>
      </c>
      <c r="E883" s="4" t="s">
        <v>105</v>
      </c>
      <c r="F883" s="4">
        <v>43.99</v>
      </c>
      <c r="G883" s="4">
        <v>26.46</v>
      </c>
      <c r="H883" s="4">
        <v>8.4689113235E10</v>
      </c>
      <c r="I883" s="4">
        <v>9.102919115E10</v>
      </c>
      <c r="J883" s="5">
        <v>45419.316666666666</v>
      </c>
      <c r="K883" s="5">
        <v>45542.76875</v>
      </c>
      <c r="L883" s="4">
        <v>6.56</v>
      </c>
      <c r="M883" s="4">
        <v>3924.86</v>
      </c>
      <c r="N883" s="4">
        <v>3925.0</v>
      </c>
      <c r="O883" s="4">
        <v>325775.0</v>
      </c>
      <c r="P883" s="4">
        <f t="shared" si="1"/>
        <v>106.85</v>
      </c>
      <c r="Q883" s="4" t="str">
        <f t="shared" si="2"/>
        <v>Normal</v>
      </c>
      <c r="R883" s="1" t="str">
        <f t="shared" si="3"/>
        <v>Underutilized</v>
      </c>
      <c r="S883" s="4">
        <f t="shared" si="4"/>
        <v>163.6504236</v>
      </c>
      <c r="T883" s="1" t="str">
        <f t="shared" si="5"/>
        <v>High Cost</v>
      </c>
      <c r="U883" s="4">
        <f t="shared" si="6"/>
        <v>0.01081267746</v>
      </c>
    </row>
    <row r="884">
      <c r="A884" s="4" t="s">
        <v>1994</v>
      </c>
      <c r="B884" s="4" t="s">
        <v>31</v>
      </c>
      <c r="C884" s="4">
        <v>305.88</v>
      </c>
      <c r="D884" s="4" t="s">
        <v>17</v>
      </c>
      <c r="E884" s="4" t="s">
        <v>155</v>
      </c>
      <c r="F884" s="4">
        <v>62.24</v>
      </c>
      <c r="G884" s="4">
        <v>16.55</v>
      </c>
      <c r="H884" s="4">
        <v>7.7219204958E10</v>
      </c>
      <c r="I884" s="4">
        <v>8.2187842771E10</v>
      </c>
      <c r="J884" s="4" t="s">
        <v>1995</v>
      </c>
      <c r="K884" s="4" t="s">
        <v>305</v>
      </c>
      <c r="L884" s="4">
        <v>4.18</v>
      </c>
      <c r="M884" s="4">
        <v>1278.58</v>
      </c>
      <c r="N884" s="4">
        <v>1279.0</v>
      </c>
      <c r="O884" s="4">
        <v>106157.0</v>
      </c>
      <c r="P884" s="4">
        <f t="shared" si="1"/>
        <v>63.26666667</v>
      </c>
      <c r="Q884" s="4" t="str">
        <f t="shared" si="2"/>
        <v>Normal</v>
      </c>
      <c r="R884" s="1" t="str">
        <f t="shared" si="3"/>
        <v>Underutilized</v>
      </c>
      <c r="S884" s="4">
        <f t="shared" si="4"/>
        <v>148.4593821</v>
      </c>
      <c r="T884" s="1" t="str">
        <f t="shared" si="5"/>
        <v>Normal Cost</v>
      </c>
      <c r="U884" s="4">
        <f t="shared" si="6"/>
        <v>0.03711012934</v>
      </c>
    </row>
    <row r="885">
      <c r="A885" s="4" t="s">
        <v>1996</v>
      </c>
      <c r="B885" s="4" t="s">
        <v>112</v>
      </c>
      <c r="C885" s="4">
        <v>32.7667</v>
      </c>
      <c r="D885" s="4" t="s">
        <v>42</v>
      </c>
      <c r="E885" s="4" t="s">
        <v>37</v>
      </c>
      <c r="F885" s="4">
        <v>84.53</v>
      </c>
      <c r="G885" s="4">
        <v>65.92</v>
      </c>
      <c r="H885" s="4">
        <v>2.6796831999E10</v>
      </c>
      <c r="I885" s="4">
        <v>2.9749158947E10</v>
      </c>
      <c r="J885" s="4" t="s">
        <v>1997</v>
      </c>
      <c r="K885" s="4" t="s">
        <v>1998</v>
      </c>
      <c r="L885" s="4">
        <v>8.94</v>
      </c>
      <c r="M885" s="4">
        <v>292.93</v>
      </c>
      <c r="N885" s="4">
        <v>293.0</v>
      </c>
      <c r="O885" s="4">
        <v>24319.0</v>
      </c>
      <c r="P885" s="4">
        <f t="shared" si="1"/>
        <v>32.76666667</v>
      </c>
      <c r="Q885" s="4" t="str">
        <f t="shared" si="2"/>
        <v>High</v>
      </c>
      <c r="R885" s="1" t="str">
        <f t="shared" si="3"/>
        <v>Normal</v>
      </c>
      <c r="S885" s="4">
        <f t="shared" si="4"/>
        <v>52.66255787</v>
      </c>
      <c r="T885" s="1" t="str">
        <f t="shared" si="5"/>
        <v>Normal Cost</v>
      </c>
      <c r="U885" s="4">
        <f t="shared" si="6"/>
        <v>0.3093260414</v>
      </c>
    </row>
    <row r="886">
      <c r="A886" s="4" t="s">
        <v>1999</v>
      </c>
      <c r="B886" s="4" t="s">
        <v>83</v>
      </c>
      <c r="C886" s="4">
        <v>275.9775</v>
      </c>
      <c r="D886" s="4" t="s">
        <v>21</v>
      </c>
      <c r="E886" s="4" t="s">
        <v>32</v>
      </c>
      <c r="F886" s="4">
        <v>49.86</v>
      </c>
      <c r="G886" s="4">
        <v>71.17</v>
      </c>
      <c r="H886" s="4">
        <v>4.6776167891E10</v>
      </c>
      <c r="I886" s="4">
        <v>5.0808021282E10</v>
      </c>
      <c r="J886" s="4" t="s">
        <v>2000</v>
      </c>
      <c r="K886" s="4" t="s">
        <v>2001</v>
      </c>
      <c r="L886" s="4">
        <v>4.15</v>
      </c>
      <c r="M886" s="4">
        <v>1145.31</v>
      </c>
      <c r="N886" s="4">
        <v>1145.0</v>
      </c>
      <c r="O886" s="4">
        <v>95035.0</v>
      </c>
      <c r="P886" s="4">
        <f t="shared" si="1"/>
        <v>50.83333333</v>
      </c>
      <c r="Q886" s="4" t="str">
        <f t="shared" si="2"/>
        <v>Normal</v>
      </c>
      <c r="R886" s="1" t="str">
        <f t="shared" si="3"/>
        <v>Normal</v>
      </c>
      <c r="S886" s="4">
        <f t="shared" si="4"/>
        <v>90.8823583</v>
      </c>
      <c r="T886" s="1" t="str">
        <f t="shared" si="5"/>
        <v>Normal Cost</v>
      </c>
      <c r="U886" s="4">
        <f t="shared" si="6"/>
        <v>0.06367654022</v>
      </c>
    </row>
    <row r="887">
      <c r="A887" s="4" t="s">
        <v>2002</v>
      </c>
      <c r="B887" s="4" t="s">
        <v>20</v>
      </c>
      <c r="C887" s="4">
        <v>601.8522</v>
      </c>
      <c r="D887" s="4" t="s">
        <v>17</v>
      </c>
      <c r="E887" s="4" t="s">
        <v>70</v>
      </c>
      <c r="F887" s="4">
        <v>31.71</v>
      </c>
      <c r="G887" s="4">
        <v>70.24</v>
      </c>
      <c r="H887" s="4">
        <v>2.8038913731E10</v>
      </c>
      <c r="I887" s="4">
        <v>3.7441336007E10</v>
      </c>
      <c r="J887" s="5">
        <v>45299.21319444444</v>
      </c>
      <c r="K887" s="5">
        <v>45420.20347222222</v>
      </c>
      <c r="L887" s="4">
        <v>3.76</v>
      </c>
      <c r="M887" s="4">
        <v>2262.96</v>
      </c>
      <c r="N887" s="4">
        <v>2263.0</v>
      </c>
      <c r="O887" s="4">
        <v>187829.0</v>
      </c>
      <c r="P887" s="4">
        <f t="shared" si="1"/>
        <v>95.76666667</v>
      </c>
      <c r="Q887" s="4" t="str">
        <f t="shared" si="2"/>
        <v>Normal</v>
      </c>
      <c r="R887" s="1" t="str">
        <f t="shared" si="3"/>
        <v>Normal</v>
      </c>
      <c r="S887" s="4">
        <f t="shared" si="4"/>
        <v>60.98323477</v>
      </c>
      <c r="T887" s="1" t="str">
        <f t="shared" si="5"/>
        <v>High Cost</v>
      </c>
      <c r="U887" s="4">
        <f t="shared" si="6"/>
        <v>0.02713904669</v>
      </c>
    </row>
    <row r="888">
      <c r="A888" s="4" t="s">
        <v>2003</v>
      </c>
      <c r="B888" s="4" t="s">
        <v>147</v>
      </c>
      <c r="C888" s="4">
        <v>93.35</v>
      </c>
      <c r="D888" s="4" t="s">
        <v>42</v>
      </c>
      <c r="E888" s="4" t="s">
        <v>123</v>
      </c>
      <c r="F888" s="4">
        <v>39.94</v>
      </c>
      <c r="G888" s="4">
        <v>64.89</v>
      </c>
      <c r="H888" s="4">
        <v>4.4483443936E10</v>
      </c>
      <c r="I888" s="4">
        <v>5.2798878897E10</v>
      </c>
      <c r="J888" s="5">
        <v>45419.99791666667</v>
      </c>
      <c r="K888" s="5">
        <v>45542.8875</v>
      </c>
      <c r="L888" s="4">
        <v>6.69</v>
      </c>
      <c r="M888" s="4">
        <v>624.51</v>
      </c>
      <c r="N888" s="4">
        <v>625.0</v>
      </c>
      <c r="O888" s="4">
        <v>51875.0</v>
      </c>
      <c r="P888" s="4">
        <f t="shared" si="1"/>
        <v>93.35</v>
      </c>
      <c r="Q888" s="4" t="str">
        <f t="shared" si="2"/>
        <v>Normal</v>
      </c>
      <c r="R888" s="1" t="str">
        <f t="shared" si="3"/>
        <v>Normal</v>
      </c>
      <c r="S888" s="4">
        <f t="shared" si="4"/>
        <v>90.60122337</v>
      </c>
      <c r="T888" s="1" t="str">
        <f t="shared" si="5"/>
        <v>Normal Cost</v>
      </c>
      <c r="U888" s="4">
        <f t="shared" si="6"/>
        <v>0.1010409639</v>
      </c>
    </row>
    <row r="889">
      <c r="A889" s="4" t="s">
        <v>2004</v>
      </c>
      <c r="B889" s="4" t="s">
        <v>36</v>
      </c>
      <c r="C889" s="4">
        <v>746.6981</v>
      </c>
      <c r="D889" s="4" t="s">
        <v>17</v>
      </c>
      <c r="E889" s="4" t="s">
        <v>18</v>
      </c>
      <c r="F889" s="4">
        <v>7.34</v>
      </c>
      <c r="G889" s="4">
        <v>6.22</v>
      </c>
      <c r="H889" s="4">
        <v>6.6838551161E10</v>
      </c>
      <c r="I889" s="4">
        <v>7.542114392E10</v>
      </c>
      <c r="J889" s="4" t="s">
        <v>2005</v>
      </c>
      <c r="K889" s="4" t="s">
        <v>2006</v>
      </c>
      <c r="L889" s="4">
        <v>9.14</v>
      </c>
      <c r="M889" s="4">
        <v>6824.82</v>
      </c>
      <c r="N889" s="4">
        <v>6825.0</v>
      </c>
      <c r="O889" s="4">
        <v>566475.0</v>
      </c>
      <c r="P889" s="4">
        <f t="shared" si="1"/>
        <v>111.5</v>
      </c>
      <c r="Q889" s="4" t="str">
        <f t="shared" si="2"/>
        <v>Underutilized</v>
      </c>
      <c r="R889" s="1" t="str">
        <f t="shared" si="3"/>
        <v>Underutilized</v>
      </c>
      <c r="S889" s="4">
        <f t="shared" si="4"/>
        <v>132.4896655</v>
      </c>
      <c r="T889" s="1" t="str">
        <f t="shared" si="5"/>
        <v>High Cost</v>
      </c>
      <c r="U889" s="4">
        <f t="shared" si="6"/>
        <v>0.001196875414</v>
      </c>
    </row>
    <row r="890">
      <c r="A890" s="4" t="s">
        <v>2007</v>
      </c>
      <c r="B890" s="4" t="s">
        <v>36</v>
      </c>
      <c r="C890" s="4">
        <v>843.7141</v>
      </c>
      <c r="D890" s="4" t="s">
        <v>21</v>
      </c>
      <c r="E890" s="4" t="s">
        <v>18</v>
      </c>
      <c r="F890" s="4">
        <v>48.44</v>
      </c>
      <c r="G890" s="4">
        <v>33.53</v>
      </c>
      <c r="H890" s="4">
        <v>6.921910832E10</v>
      </c>
      <c r="I890" s="4">
        <v>7.5026706515E10</v>
      </c>
      <c r="J890" s="5">
        <v>45633.768055555556</v>
      </c>
      <c r="K890" s="4" t="s">
        <v>2008</v>
      </c>
      <c r="L890" s="4">
        <v>3.06</v>
      </c>
      <c r="M890" s="4">
        <v>2581.77</v>
      </c>
      <c r="N890" s="4">
        <v>2582.0</v>
      </c>
      <c r="O890" s="4">
        <v>214306.0</v>
      </c>
      <c r="P890" s="4">
        <f t="shared" si="1"/>
        <v>46.61666667</v>
      </c>
      <c r="Q890" s="4" t="str">
        <f t="shared" si="2"/>
        <v>Normal</v>
      </c>
      <c r="R890" s="1" t="str">
        <f t="shared" si="3"/>
        <v>Underutilized</v>
      </c>
      <c r="S890" s="4">
        <f t="shared" si="4"/>
        <v>134.3393836</v>
      </c>
      <c r="T890" s="1" t="str">
        <f t="shared" si="5"/>
        <v>High Cost</v>
      </c>
      <c r="U890" s="4">
        <f t="shared" si="6"/>
        <v>0.01912452288</v>
      </c>
    </row>
    <row r="891">
      <c r="A891" s="4" t="s">
        <v>2009</v>
      </c>
      <c r="B891" s="4" t="s">
        <v>20</v>
      </c>
      <c r="C891" s="4">
        <v>778.0122</v>
      </c>
      <c r="D891" s="4" t="s">
        <v>21</v>
      </c>
      <c r="E891" s="4" t="s">
        <v>54</v>
      </c>
      <c r="F891" s="4">
        <v>79.14</v>
      </c>
      <c r="G891" s="4">
        <v>83.42</v>
      </c>
      <c r="H891" s="4">
        <v>5.6450611354E10</v>
      </c>
      <c r="I891" s="4">
        <v>6.1528752233E10</v>
      </c>
      <c r="J891" s="5">
        <v>45481.563888888886</v>
      </c>
      <c r="K891" s="5">
        <v>45573.68194444444</v>
      </c>
      <c r="L891" s="4">
        <v>5.88</v>
      </c>
      <c r="M891" s="4">
        <v>4574.71</v>
      </c>
      <c r="N891" s="4">
        <v>4575.0</v>
      </c>
      <c r="O891" s="4">
        <v>379725.0</v>
      </c>
      <c r="P891" s="4">
        <f t="shared" si="1"/>
        <v>74.83333333</v>
      </c>
      <c r="Q891" s="4" t="str">
        <f t="shared" si="2"/>
        <v>High</v>
      </c>
      <c r="R891" s="1" t="str">
        <f t="shared" si="3"/>
        <v>High</v>
      </c>
      <c r="S891" s="4">
        <f t="shared" si="4"/>
        <v>109.8768446</v>
      </c>
      <c r="T891" s="1" t="str">
        <f t="shared" si="5"/>
        <v>High Cost</v>
      </c>
      <c r="U891" s="4">
        <f t="shared" si="6"/>
        <v>0.02140496412</v>
      </c>
    </row>
    <row r="892">
      <c r="A892" s="4" t="s">
        <v>2010</v>
      </c>
      <c r="B892" s="4" t="s">
        <v>183</v>
      </c>
      <c r="C892" s="4">
        <v>742.733</v>
      </c>
      <c r="D892" s="4" t="s">
        <v>21</v>
      </c>
      <c r="E892" s="4" t="s">
        <v>32</v>
      </c>
      <c r="F892" s="4">
        <v>53.62</v>
      </c>
      <c r="G892" s="4">
        <v>91.94</v>
      </c>
      <c r="H892" s="4">
        <v>4.275411203E10</v>
      </c>
      <c r="I892" s="4">
        <v>4.4947389011E10</v>
      </c>
      <c r="J892" s="4" t="s">
        <v>2011</v>
      </c>
      <c r="K892" s="4" t="s">
        <v>2012</v>
      </c>
      <c r="L892" s="4">
        <v>4.32</v>
      </c>
      <c r="M892" s="4">
        <v>3208.61</v>
      </c>
      <c r="N892" s="4">
        <v>3209.0</v>
      </c>
      <c r="O892" s="4">
        <v>266347.0</v>
      </c>
      <c r="P892" s="4">
        <f t="shared" si="1"/>
        <v>62.75</v>
      </c>
      <c r="Q892" s="4" t="str">
        <f t="shared" si="2"/>
        <v>Normal</v>
      </c>
      <c r="R892" s="1" t="str">
        <f t="shared" si="3"/>
        <v>High</v>
      </c>
      <c r="S892" s="4">
        <f t="shared" si="4"/>
        <v>81.67838775</v>
      </c>
      <c r="T892" s="1" t="str">
        <f t="shared" si="5"/>
        <v>High Cost</v>
      </c>
      <c r="U892" s="4">
        <f t="shared" si="6"/>
        <v>0.02732525615</v>
      </c>
    </row>
    <row r="893">
      <c r="A893" s="4" t="s">
        <v>2013</v>
      </c>
      <c r="B893" s="4" t="s">
        <v>112</v>
      </c>
      <c r="C893" s="4">
        <v>101.3667</v>
      </c>
      <c r="D893" s="4" t="s">
        <v>42</v>
      </c>
      <c r="E893" s="4" t="s">
        <v>105</v>
      </c>
      <c r="F893" s="4">
        <v>7.16</v>
      </c>
      <c r="G893" s="4">
        <v>26.61</v>
      </c>
      <c r="H893" s="4">
        <v>1.2038236912E10</v>
      </c>
      <c r="I893" s="4">
        <v>1.4962833377E10</v>
      </c>
      <c r="J893" s="4" t="s">
        <v>2014</v>
      </c>
      <c r="K893" s="4" t="s">
        <v>2015</v>
      </c>
      <c r="L893" s="4">
        <v>9.99</v>
      </c>
      <c r="M893" s="4">
        <v>1012.65</v>
      </c>
      <c r="N893" s="4">
        <v>1013.0</v>
      </c>
      <c r="O893" s="4">
        <v>84079.0</v>
      </c>
      <c r="P893" s="4">
        <f t="shared" si="1"/>
        <v>101.3666667</v>
      </c>
      <c r="Q893" s="4" t="str">
        <f t="shared" si="2"/>
        <v>Underutilized</v>
      </c>
      <c r="R893" s="1" t="str">
        <f t="shared" si="3"/>
        <v>Underutilized</v>
      </c>
      <c r="S893" s="4">
        <f t="shared" si="4"/>
        <v>25.1467063</v>
      </c>
      <c r="T893" s="1" t="str">
        <f t="shared" si="5"/>
        <v>Normal Cost</v>
      </c>
      <c r="U893" s="4">
        <f t="shared" si="6"/>
        <v>0.02008230355</v>
      </c>
    </row>
    <row r="894">
      <c r="A894" s="4" t="s">
        <v>2016</v>
      </c>
      <c r="B894" s="4" t="s">
        <v>53</v>
      </c>
      <c r="C894" s="4">
        <v>206.065</v>
      </c>
      <c r="D894" s="4" t="s">
        <v>17</v>
      </c>
      <c r="E894" s="4" t="s">
        <v>54</v>
      </c>
      <c r="F894" s="4">
        <v>71.06</v>
      </c>
      <c r="G894" s="4">
        <v>31.47</v>
      </c>
      <c r="H894" s="4">
        <v>4.7560830234E10</v>
      </c>
      <c r="I894" s="4">
        <v>5.623260772E10</v>
      </c>
      <c r="J894" s="4" t="s">
        <v>2017</v>
      </c>
      <c r="K894" s="4" t="s">
        <v>2018</v>
      </c>
      <c r="L894" s="4">
        <v>2.96</v>
      </c>
      <c r="M894" s="4">
        <v>609.95</v>
      </c>
      <c r="N894" s="4">
        <v>610.0</v>
      </c>
      <c r="O894" s="4">
        <v>50630.0</v>
      </c>
      <c r="P894" s="4">
        <f t="shared" si="1"/>
        <v>35.8</v>
      </c>
      <c r="Q894" s="4" t="str">
        <f t="shared" si="2"/>
        <v>High</v>
      </c>
      <c r="R894" s="1" t="str">
        <f t="shared" si="3"/>
        <v>Underutilized</v>
      </c>
      <c r="S894" s="4">
        <f t="shared" si="4"/>
        <v>96.66517186</v>
      </c>
      <c r="T894" s="1" t="str">
        <f t="shared" si="5"/>
        <v>Normal Cost</v>
      </c>
      <c r="U894" s="4">
        <f t="shared" si="6"/>
        <v>0.1012541971</v>
      </c>
    </row>
    <row r="895">
      <c r="A895" s="4" t="s">
        <v>2019</v>
      </c>
      <c r="B895" s="4" t="s">
        <v>62</v>
      </c>
      <c r="C895" s="4">
        <v>40.9833</v>
      </c>
      <c r="D895" s="4" t="s">
        <v>42</v>
      </c>
      <c r="E895" s="4" t="s">
        <v>22</v>
      </c>
      <c r="F895" s="4">
        <v>47.14</v>
      </c>
      <c r="G895" s="4">
        <v>18.34</v>
      </c>
      <c r="H895" s="4">
        <v>6.3610084029E10</v>
      </c>
      <c r="I895" s="4">
        <v>6.9417402995E10</v>
      </c>
      <c r="J895" s="5">
        <v>45481.64722222222</v>
      </c>
      <c r="K895" s="5">
        <v>45543.35486111111</v>
      </c>
      <c r="L895" s="4">
        <v>6.12</v>
      </c>
      <c r="M895" s="4">
        <v>250.82</v>
      </c>
      <c r="N895" s="4">
        <v>251.0</v>
      </c>
      <c r="O895" s="4">
        <v>20833.0</v>
      </c>
      <c r="P895" s="4">
        <f t="shared" si="1"/>
        <v>40.98333333</v>
      </c>
      <c r="Q895" s="4" t="str">
        <f t="shared" si="2"/>
        <v>Normal</v>
      </c>
      <c r="R895" s="1" t="str">
        <f t="shared" si="3"/>
        <v>Underutilized</v>
      </c>
      <c r="S895" s="4">
        <f t="shared" si="4"/>
        <v>123.8915017</v>
      </c>
      <c r="T895" s="1" t="str">
        <f t="shared" si="5"/>
        <v>Normal Cost</v>
      </c>
      <c r="U895" s="4">
        <f t="shared" si="6"/>
        <v>0.1571545145</v>
      </c>
    </row>
    <row r="896">
      <c r="A896" s="4" t="s">
        <v>2020</v>
      </c>
      <c r="B896" s="4" t="s">
        <v>26</v>
      </c>
      <c r="C896" s="4">
        <v>135.875</v>
      </c>
      <c r="D896" s="4" t="s">
        <v>21</v>
      </c>
      <c r="E896" s="4" t="s">
        <v>22</v>
      </c>
      <c r="F896" s="4">
        <v>58.92</v>
      </c>
      <c r="G896" s="4">
        <v>50.88</v>
      </c>
      <c r="H896" s="4">
        <v>8.4605460548E10</v>
      </c>
      <c r="I896" s="4">
        <v>9.0889118377E10</v>
      </c>
      <c r="J896" s="5">
        <v>45481.402083333334</v>
      </c>
      <c r="K896" s="5">
        <v>45604.32361111111</v>
      </c>
      <c r="L896" s="4">
        <v>2.97</v>
      </c>
      <c r="M896" s="4">
        <v>403.55</v>
      </c>
      <c r="N896" s="4">
        <v>404.0</v>
      </c>
      <c r="O896" s="4">
        <v>33532.0</v>
      </c>
      <c r="P896" s="4">
        <f t="shared" si="1"/>
        <v>94.11666667</v>
      </c>
      <c r="Q896" s="4" t="str">
        <f t="shared" si="2"/>
        <v>Normal</v>
      </c>
      <c r="R896" s="1" t="str">
        <f t="shared" si="3"/>
        <v>Normal</v>
      </c>
      <c r="S896" s="4">
        <f t="shared" si="4"/>
        <v>163.4420631</v>
      </c>
      <c r="T896" s="1" t="str">
        <f t="shared" si="5"/>
        <v>Normal Cost</v>
      </c>
      <c r="U896" s="4">
        <f t="shared" si="6"/>
        <v>0.1637242037</v>
      </c>
    </row>
    <row r="897">
      <c r="A897" s="4" t="s">
        <v>2021</v>
      </c>
      <c r="B897" s="4" t="s">
        <v>79</v>
      </c>
      <c r="C897" s="4">
        <v>475.9021</v>
      </c>
      <c r="D897" s="4" t="s">
        <v>17</v>
      </c>
      <c r="E897" s="4" t="s">
        <v>70</v>
      </c>
      <c r="F897" s="4">
        <v>52.04</v>
      </c>
      <c r="G897" s="4">
        <v>45.49</v>
      </c>
      <c r="H897" s="4">
        <v>1.3042409238E10</v>
      </c>
      <c r="I897" s="4">
        <v>1.9758151862E10</v>
      </c>
      <c r="J897" s="5">
        <v>45419.68472222222</v>
      </c>
      <c r="K897" s="5">
        <v>45511.038194444445</v>
      </c>
      <c r="L897" s="4">
        <v>6.33</v>
      </c>
      <c r="M897" s="4">
        <v>3012.46</v>
      </c>
      <c r="N897" s="4">
        <v>3012.0</v>
      </c>
      <c r="O897" s="4">
        <v>249996.0</v>
      </c>
      <c r="P897" s="4">
        <f t="shared" si="1"/>
        <v>56.48333333</v>
      </c>
      <c r="Q897" s="4" t="str">
        <f t="shared" si="2"/>
        <v>Normal</v>
      </c>
      <c r="R897" s="1" t="str">
        <f t="shared" si="3"/>
        <v>Normal</v>
      </c>
      <c r="S897" s="4">
        <f t="shared" si="4"/>
        <v>30.54790301</v>
      </c>
      <c r="T897" s="1" t="str">
        <f t="shared" si="5"/>
        <v>High Cost</v>
      </c>
      <c r="U897" s="4">
        <f t="shared" si="6"/>
        <v>0.0195063121</v>
      </c>
    </row>
    <row r="898">
      <c r="A898" s="4" t="s">
        <v>2022</v>
      </c>
      <c r="B898" s="4" t="s">
        <v>57</v>
      </c>
      <c r="C898" s="4">
        <v>366.7652</v>
      </c>
      <c r="D898" s="4" t="s">
        <v>17</v>
      </c>
      <c r="E898" s="4" t="s">
        <v>105</v>
      </c>
      <c r="F898" s="4">
        <v>39.2</v>
      </c>
      <c r="G898" s="4">
        <v>95.49</v>
      </c>
      <c r="H898" s="4">
        <v>7.3935149928E10</v>
      </c>
      <c r="I898" s="4">
        <v>7.6867013143E10</v>
      </c>
      <c r="J898" s="4" t="s">
        <v>2023</v>
      </c>
      <c r="K898" s="4" t="s">
        <v>2024</v>
      </c>
      <c r="L898" s="4">
        <v>8.88</v>
      </c>
      <c r="M898" s="4">
        <v>3256.87</v>
      </c>
      <c r="N898" s="4">
        <v>3257.0</v>
      </c>
      <c r="O898" s="4">
        <v>270331.0</v>
      </c>
      <c r="P898" s="4">
        <f t="shared" si="1"/>
        <v>70.73333333</v>
      </c>
      <c r="Q898" s="4" t="str">
        <f t="shared" si="2"/>
        <v>Normal</v>
      </c>
      <c r="R898" s="1" t="str">
        <f t="shared" si="3"/>
        <v>High</v>
      </c>
      <c r="S898" s="4">
        <f t="shared" si="4"/>
        <v>140.4454588</v>
      </c>
      <c r="T898" s="1" t="str">
        <f t="shared" si="5"/>
        <v>High Cost</v>
      </c>
      <c r="U898" s="4">
        <f t="shared" si="6"/>
        <v>0.02491205226</v>
      </c>
    </row>
    <row r="899">
      <c r="A899" s="4" t="s">
        <v>2025</v>
      </c>
      <c r="B899" s="4" t="s">
        <v>99</v>
      </c>
      <c r="C899" s="4">
        <v>78.1574</v>
      </c>
      <c r="D899" s="4" t="s">
        <v>21</v>
      </c>
      <c r="E899" s="4" t="s">
        <v>37</v>
      </c>
      <c r="F899" s="4">
        <v>28.77</v>
      </c>
      <c r="G899" s="4">
        <v>38.37</v>
      </c>
      <c r="H899" s="4">
        <v>6.8437908717E10</v>
      </c>
      <c r="I899" s="4">
        <v>7.3714272859E10</v>
      </c>
      <c r="J899" s="5">
        <v>45573.2375</v>
      </c>
      <c r="K899" s="4" t="s">
        <v>2026</v>
      </c>
      <c r="L899" s="4">
        <v>7.61</v>
      </c>
      <c r="M899" s="4">
        <v>594.78</v>
      </c>
      <c r="N899" s="4">
        <v>595.0</v>
      </c>
      <c r="O899" s="4">
        <v>49385.0</v>
      </c>
      <c r="P899" s="4">
        <f t="shared" si="1"/>
        <v>133.5666667</v>
      </c>
      <c r="Q899" s="4" t="str">
        <f t="shared" si="2"/>
        <v>Underutilized</v>
      </c>
      <c r="R899" s="1" t="str">
        <f t="shared" si="3"/>
        <v>Underutilized</v>
      </c>
      <c r="S899" s="4">
        <f t="shared" si="4"/>
        <v>132.3895357</v>
      </c>
      <c r="T899" s="1" t="str">
        <f t="shared" si="5"/>
        <v>Normal Cost</v>
      </c>
      <c r="U899" s="4">
        <f t="shared" si="6"/>
        <v>0.06797610611</v>
      </c>
    </row>
    <row r="900">
      <c r="A900" s="4" t="s">
        <v>2027</v>
      </c>
      <c r="B900" s="4" t="s">
        <v>16</v>
      </c>
      <c r="C900" s="4">
        <v>584.6599</v>
      </c>
      <c r="D900" s="4" t="s">
        <v>21</v>
      </c>
      <c r="E900" s="4" t="s">
        <v>27</v>
      </c>
      <c r="F900" s="4">
        <v>36.6</v>
      </c>
      <c r="G900" s="4">
        <v>44.59</v>
      </c>
      <c r="H900" s="4">
        <v>7.5693392103E10</v>
      </c>
      <c r="I900" s="4">
        <v>7.6796243104E10</v>
      </c>
      <c r="J900" s="4" t="s">
        <v>2028</v>
      </c>
      <c r="K900" s="4" t="s">
        <v>2029</v>
      </c>
      <c r="L900" s="4">
        <v>3.54</v>
      </c>
      <c r="M900" s="4">
        <v>2069.7</v>
      </c>
      <c r="N900" s="4">
        <v>2070.0</v>
      </c>
      <c r="O900" s="4">
        <v>171810.0</v>
      </c>
      <c r="P900" s="4">
        <f t="shared" si="1"/>
        <v>82.03333333</v>
      </c>
      <c r="Q900" s="4" t="str">
        <f t="shared" si="2"/>
        <v>Normal</v>
      </c>
      <c r="R900" s="1" t="str">
        <f t="shared" si="3"/>
        <v>Normal</v>
      </c>
      <c r="S900" s="4">
        <f t="shared" si="4"/>
        <v>142.0170397</v>
      </c>
      <c r="T900" s="1" t="str">
        <f t="shared" si="5"/>
        <v>Normal Cost</v>
      </c>
      <c r="U900" s="4">
        <f t="shared" si="6"/>
        <v>0.02362784471</v>
      </c>
    </row>
    <row r="901">
      <c r="A901" s="4" t="s">
        <v>2030</v>
      </c>
      <c r="B901" s="4" t="s">
        <v>46</v>
      </c>
      <c r="C901" s="4">
        <v>769.1603</v>
      </c>
      <c r="D901" s="4" t="s">
        <v>21</v>
      </c>
      <c r="E901" s="4" t="s">
        <v>54</v>
      </c>
      <c r="F901" s="4">
        <v>58.6</v>
      </c>
      <c r="G901" s="4">
        <v>13.0</v>
      </c>
      <c r="H901" s="4">
        <v>6.9124278905E10</v>
      </c>
      <c r="I901" s="4">
        <v>7.2811556803E10</v>
      </c>
      <c r="J901" s="5">
        <v>45603.15416666667</v>
      </c>
      <c r="K901" s="4" t="s">
        <v>1464</v>
      </c>
      <c r="L901" s="4">
        <v>9.74</v>
      </c>
      <c r="M901" s="4">
        <v>7491.62</v>
      </c>
      <c r="N901" s="4">
        <v>7492.0</v>
      </c>
      <c r="O901" s="4">
        <v>621836.0</v>
      </c>
      <c r="P901" s="4">
        <f t="shared" si="1"/>
        <v>81.61666667</v>
      </c>
      <c r="Q901" s="4" t="str">
        <f t="shared" si="2"/>
        <v>Normal</v>
      </c>
      <c r="R901" s="1" t="str">
        <f t="shared" si="3"/>
        <v>Underutilized</v>
      </c>
      <c r="S901" s="4">
        <f t="shared" si="4"/>
        <v>132.1880479</v>
      </c>
      <c r="T901" s="1" t="str">
        <f t="shared" si="5"/>
        <v>High Cost</v>
      </c>
      <c r="U901" s="4">
        <f t="shared" si="6"/>
        <v>0.005757144971</v>
      </c>
    </row>
    <row r="902">
      <c r="A902" s="4" t="s">
        <v>2031</v>
      </c>
      <c r="B902" s="4" t="s">
        <v>169</v>
      </c>
      <c r="C902" s="4">
        <v>950.8256</v>
      </c>
      <c r="D902" s="4" t="s">
        <v>21</v>
      </c>
      <c r="E902" s="4" t="s">
        <v>74</v>
      </c>
      <c r="F902" s="4">
        <v>59.17</v>
      </c>
      <c r="G902" s="4">
        <v>45.32</v>
      </c>
      <c r="H902" s="4">
        <v>3.9719777492E10</v>
      </c>
      <c r="I902" s="4">
        <v>4.0434031092E10</v>
      </c>
      <c r="J902" s="4" t="s">
        <v>2032</v>
      </c>
      <c r="K902" s="5">
        <v>45331.12847222222</v>
      </c>
      <c r="L902" s="4">
        <v>1.04</v>
      </c>
      <c r="M902" s="4">
        <v>988.86</v>
      </c>
      <c r="N902" s="4">
        <v>989.0</v>
      </c>
      <c r="O902" s="4">
        <v>82087.0</v>
      </c>
      <c r="P902" s="4">
        <f t="shared" si="1"/>
        <v>105.95</v>
      </c>
      <c r="Q902" s="4" t="str">
        <f t="shared" si="2"/>
        <v>Normal</v>
      </c>
      <c r="R902" s="1" t="str">
        <f t="shared" si="3"/>
        <v>Normal</v>
      </c>
      <c r="S902" s="4">
        <f t="shared" si="4"/>
        <v>74.64905138</v>
      </c>
      <c r="T902" s="1" t="str">
        <f t="shared" si="5"/>
        <v>Normal Cost</v>
      </c>
      <c r="U902" s="4">
        <f t="shared" si="6"/>
        <v>0.0636458879</v>
      </c>
    </row>
    <row r="903">
      <c r="A903" s="4" t="s">
        <v>2033</v>
      </c>
      <c r="B903" s="4" t="s">
        <v>273</v>
      </c>
      <c r="C903" s="4">
        <v>188.1814</v>
      </c>
      <c r="D903" s="4" t="s">
        <v>21</v>
      </c>
      <c r="E903" s="4" t="s">
        <v>32</v>
      </c>
      <c r="F903" s="4">
        <v>45.59</v>
      </c>
      <c r="G903" s="4">
        <v>0.74</v>
      </c>
      <c r="H903" s="4">
        <v>7.0986627818E10</v>
      </c>
      <c r="I903" s="4">
        <v>7.39578799E10</v>
      </c>
      <c r="J903" s="4" t="s">
        <v>2034</v>
      </c>
      <c r="K903" s="5">
        <v>45359.07638888889</v>
      </c>
      <c r="L903" s="4">
        <v>9.09</v>
      </c>
      <c r="M903" s="4">
        <v>1710.57</v>
      </c>
      <c r="N903" s="4">
        <v>1711.0</v>
      </c>
      <c r="O903" s="4">
        <v>142013.0</v>
      </c>
      <c r="P903" s="4">
        <f t="shared" si="1"/>
        <v>52.58333333</v>
      </c>
      <c r="Q903" s="4" t="str">
        <f t="shared" si="2"/>
        <v>Normal</v>
      </c>
      <c r="R903" s="1" t="str">
        <f t="shared" si="3"/>
        <v>Underutilized</v>
      </c>
      <c r="S903" s="4">
        <f t="shared" si="4"/>
        <v>134.9900921</v>
      </c>
      <c r="T903" s="1" t="str">
        <f t="shared" si="5"/>
        <v>Normal Cost</v>
      </c>
      <c r="U903" s="4">
        <f t="shared" si="6"/>
        <v>0.01631188694</v>
      </c>
    </row>
    <row r="904">
      <c r="A904" s="4" t="s">
        <v>2035</v>
      </c>
      <c r="B904" s="4" t="s">
        <v>60</v>
      </c>
      <c r="C904" s="4">
        <v>133.2167</v>
      </c>
      <c r="D904" s="4" t="s">
        <v>42</v>
      </c>
      <c r="E904" s="4" t="s">
        <v>70</v>
      </c>
      <c r="F904" s="4">
        <v>29.46</v>
      </c>
      <c r="G904" s="4">
        <v>43.02</v>
      </c>
      <c r="H904" s="4">
        <v>6.4428427437E10</v>
      </c>
      <c r="I904" s="4">
        <v>6.980754162E10</v>
      </c>
      <c r="J904" s="4" t="s">
        <v>2036</v>
      </c>
      <c r="K904" s="4" t="s">
        <v>2037</v>
      </c>
      <c r="L904" s="4">
        <v>6.73</v>
      </c>
      <c r="M904" s="4">
        <v>896.55</v>
      </c>
      <c r="N904" s="4">
        <v>897.0</v>
      </c>
      <c r="O904" s="4">
        <v>74451.0</v>
      </c>
      <c r="P904" s="4">
        <f t="shared" si="1"/>
        <v>133.2166667</v>
      </c>
      <c r="Q904" s="4" t="str">
        <f t="shared" si="2"/>
        <v>Underutilized</v>
      </c>
      <c r="R904" s="1" t="str">
        <f t="shared" si="3"/>
        <v>Normal</v>
      </c>
      <c r="S904" s="4">
        <f t="shared" si="4"/>
        <v>125.0169883</v>
      </c>
      <c r="T904" s="1" t="str">
        <f t="shared" si="5"/>
        <v>Normal Cost</v>
      </c>
      <c r="U904" s="4">
        <f t="shared" si="6"/>
        <v>0.04867631059</v>
      </c>
    </row>
    <row r="905">
      <c r="A905" s="4" t="s">
        <v>2038</v>
      </c>
      <c r="B905" s="4" t="s">
        <v>53</v>
      </c>
      <c r="C905" s="4">
        <v>580.6282</v>
      </c>
      <c r="D905" s="4" t="s">
        <v>17</v>
      </c>
      <c r="E905" s="4" t="s">
        <v>74</v>
      </c>
      <c r="F905" s="4">
        <v>53.45</v>
      </c>
      <c r="G905" s="4">
        <v>20.49</v>
      </c>
      <c r="H905" s="4">
        <v>5.8478050426E10</v>
      </c>
      <c r="I905" s="4">
        <v>6.1938156194E10</v>
      </c>
      <c r="J905" s="5">
        <v>45511.09722222222</v>
      </c>
      <c r="K905" s="4" t="s">
        <v>2039</v>
      </c>
      <c r="L905" s="4">
        <v>2.04</v>
      </c>
      <c r="M905" s="4">
        <v>1184.48</v>
      </c>
      <c r="N905" s="4">
        <v>1184.0</v>
      </c>
      <c r="O905" s="4">
        <v>98272.0</v>
      </c>
      <c r="P905" s="4">
        <f t="shared" si="1"/>
        <v>134.4333333</v>
      </c>
      <c r="Q905" s="4" t="str">
        <f t="shared" si="2"/>
        <v>Normal</v>
      </c>
      <c r="R905" s="1" t="str">
        <f t="shared" si="3"/>
        <v>Underutilized</v>
      </c>
      <c r="S905" s="4">
        <f t="shared" si="4"/>
        <v>112.1463316</v>
      </c>
      <c r="T905" s="1" t="str">
        <f t="shared" si="5"/>
        <v>Normal Cost</v>
      </c>
      <c r="U905" s="4">
        <f t="shared" si="6"/>
        <v>0.03762007489</v>
      </c>
    </row>
    <row r="906">
      <c r="A906" s="4" t="s">
        <v>2040</v>
      </c>
      <c r="B906" s="4" t="s">
        <v>31</v>
      </c>
      <c r="C906" s="4">
        <v>609.7804</v>
      </c>
      <c r="D906" s="4" t="s">
        <v>21</v>
      </c>
      <c r="E906" s="4" t="s">
        <v>27</v>
      </c>
      <c r="F906" s="4">
        <v>35.25</v>
      </c>
      <c r="G906" s="4">
        <v>47.74</v>
      </c>
      <c r="H906" s="4">
        <v>2.7794696694E10</v>
      </c>
      <c r="I906" s="4">
        <v>3.7505380535E10</v>
      </c>
      <c r="J906" s="4" t="s">
        <v>418</v>
      </c>
      <c r="K906" s="4" t="s">
        <v>2041</v>
      </c>
      <c r="L906" s="4">
        <v>8.38</v>
      </c>
      <c r="M906" s="4">
        <v>5109.96</v>
      </c>
      <c r="N906" s="4">
        <v>5110.0</v>
      </c>
      <c r="O906" s="4">
        <v>424130.0</v>
      </c>
      <c r="P906" s="4">
        <f t="shared" si="1"/>
        <v>131.3833333</v>
      </c>
      <c r="Q906" s="4" t="str">
        <f t="shared" si="2"/>
        <v>Normal</v>
      </c>
      <c r="R906" s="1" t="str">
        <f t="shared" si="3"/>
        <v>Normal</v>
      </c>
      <c r="S906" s="4">
        <f t="shared" si="4"/>
        <v>60.81543605</v>
      </c>
      <c r="T906" s="1" t="str">
        <f t="shared" si="5"/>
        <v>High Cost</v>
      </c>
      <c r="U906" s="4">
        <f t="shared" si="6"/>
        <v>0.009783556928</v>
      </c>
    </row>
    <row r="907">
      <c r="A907" s="4" t="s">
        <v>2042</v>
      </c>
      <c r="B907" s="4" t="s">
        <v>31</v>
      </c>
      <c r="C907" s="4">
        <v>446.8464</v>
      </c>
      <c r="D907" s="4" t="s">
        <v>17</v>
      </c>
      <c r="E907" s="4" t="s">
        <v>32</v>
      </c>
      <c r="F907" s="4">
        <v>53.22</v>
      </c>
      <c r="G907" s="4">
        <v>40.17</v>
      </c>
      <c r="H907" s="4">
        <v>7.7665417376E10</v>
      </c>
      <c r="I907" s="4">
        <v>8.2152580105E10</v>
      </c>
      <c r="J907" s="5">
        <v>45450.010416666664</v>
      </c>
      <c r="K907" s="5">
        <v>45480.25</v>
      </c>
      <c r="L907" s="4">
        <v>7.93</v>
      </c>
      <c r="M907" s="4">
        <v>3543.49</v>
      </c>
      <c r="N907" s="4">
        <v>3543.0</v>
      </c>
      <c r="O907" s="4">
        <v>294069.0</v>
      </c>
      <c r="P907" s="4">
        <f t="shared" si="1"/>
        <v>29.75</v>
      </c>
      <c r="Q907" s="4" t="str">
        <f t="shared" si="2"/>
        <v>Normal</v>
      </c>
      <c r="R907" s="1" t="str">
        <f t="shared" si="3"/>
        <v>Normal</v>
      </c>
      <c r="S907" s="4">
        <f t="shared" si="4"/>
        <v>148.8421089</v>
      </c>
      <c r="T907" s="1" t="str">
        <f t="shared" si="5"/>
        <v>High Cost</v>
      </c>
      <c r="U907" s="4">
        <f t="shared" si="6"/>
        <v>0.01587892637</v>
      </c>
    </row>
    <row r="908">
      <c r="A908" s="4" t="s">
        <v>2043</v>
      </c>
      <c r="B908" s="4" t="s">
        <v>57</v>
      </c>
      <c r="C908" s="4">
        <v>821.4108</v>
      </c>
      <c r="D908" s="4" t="s">
        <v>17</v>
      </c>
      <c r="E908" s="4" t="s">
        <v>37</v>
      </c>
      <c r="F908" s="4">
        <v>95.03</v>
      </c>
      <c r="G908" s="4">
        <v>33.02</v>
      </c>
      <c r="H908" s="4">
        <v>3.1067732424E10</v>
      </c>
      <c r="I908" s="4">
        <v>3.1349574604E10</v>
      </c>
      <c r="J908" s="5">
        <v>45299.47152777778</v>
      </c>
      <c r="K908" s="5">
        <v>45420.38333333333</v>
      </c>
      <c r="L908" s="4">
        <v>4.18</v>
      </c>
      <c r="M908" s="4">
        <v>3433.5</v>
      </c>
      <c r="N908" s="4">
        <v>3434.0</v>
      </c>
      <c r="O908" s="4">
        <v>285022.0</v>
      </c>
      <c r="P908" s="4">
        <f t="shared" si="1"/>
        <v>93.88333333</v>
      </c>
      <c r="Q908" s="4" t="str">
        <f t="shared" si="2"/>
        <v>High</v>
      </c>
      <c r="R908" s="1" t="str">
        <f t="shared" si="3"/>
        <v>Underutilized</v>
      </c>
      <c r="S908" s="4">
        <f t="shared" si="4"/>
        <v>58.13064708</v>
      </c>
      <c r="T908" s="1" t="str">
        <f t="shared" si="5"/>
        <v>High Cost</v>
      </c>
      <c r="U908" s="4">
        <f t="shared" si="6"/>
        <v>0.02246317828</v>
      </c>
    </row>
    <row r="909">
      <c r="A909" s="4" t="s">
        <v>2044</v>
      </c>
      <c r="B909" s="4" t="s">
        <v>60</v>
      </c>
      <c r="C909" s="4">
        <v>48.8667</v>
      </c>
      <c r="D909" s="4" t="s">
        <v>42</v>
      </c>
      <c r="E909" s="4" t="s">
        <v>18</v>
      </c>
      <c r="F909" s="4">
        <v>64.12</v>
      </c>
      <c r="G909" s="4">
        <v>10.05</v>
      </c>
      <c r="H909" s="4">
        <v>9.3693705011E10</v>
      </c>
      <c r="I909" s="4">
        <v>9.5493533688E10</v>
      </c>
      <c r="J909" s="4" t="s">
        <v>2045</v>
      </c>
      <c r="K909" s="4" t="s">
        <v>2046</v>
      </c>
      <c r="L909" s="4">
        <v>2.91</v>
      </c>
      <c r="M909" s="4">
        <v>142.2</v>
      </c>
      <c r="N909" s="4">
        <v>142.0</v>
      </c>
      <c r="O909" s="4">
        <v>11786.0</v>
      </c>
      <c r="P909" s="4">
        <f t="shared" si="1"/>
        <v>48.86666667</v>
      </c>
      <c r="Q909" s="4" t="str">
        <f t="shared" si="2"/>
        <v>Normal</v>
      </c>
      <c r="R909" s="1" t="str">
        <f t="shared" si="3"/>
        <v>Underutilized</v>
      </c>
      <c r="S909" s="4">
        <f t="shared" si="4"/>
        <v>176.1943462</v>
      </c>
      <c r="T909" s="1" t="str">
        <f t="shared" si="5"/>
        <v>Normal Cost</v>
      </c>
      <c r="U909" s="4">
        <f t="shared" si="6"/>
        <v>0.3146529781</v>
      </c>
    </row>
    <row r="910">
      <c r="A910" s="4" t="s">
        <v>2047</v>
      </c>
      <c r="B910" s="4" t="s">
        <v>139</v>
      </c>
      <c r="C910" s="4">
        <v>65.75</v>
      </c>
      <c r="D910" s="4" t="s">
        <v>42</v>
      </c>
      <c r="E910" s="4" t="s">
        <v>54</v>
      </c>
      <c r="F910" s="4">
        <v>43.12</v>
      </c>
      <c r="G910" s="4">
        <v>83.74</v>
      </c>
      <c r="H910" s="4">
        <v>4.8923582697E10</v>
      </c>
      <c r="I910" s="4">
        <v>5.2412729114E10</v>
      </c>
      <c r="J910" s="4" t="s">
        <v>2048</v>
      </c>
      <c r="K910" s="4" t="s">
        <v>2049</v>
      </c>
      <c r="L910" s="4">
        <v>2.02</v>
      </c>
      <c r="M910" s="4">
        <v>132.81</v>
      </c>
      <c r="N910" s="4">
        <v>133.0</v>
      </c>
      <c r="O910" s="4">
        <v>11039.0</v>
      </c>
      <c r="P910" s="4">
        <f t="shared" si="1"/>
        <v>65.75</v>
      </c>
      <c r="Q910" s="4" t="str">
        <f t="shared" si="2"/>
        <v>Normal</v>
      </c>
      <c r="R910" s="1" t="str">
        <f t="shared" si="3"/>
        <v>High</v>
      </c>
      <c r="S910" s="4">
        <f t="shared" si="4"/>
        <v>94.37679482</v>
      </c>
      <c r="T910" s="1" t="str">
        <f t="shared" si="5"/>
        <v>Normal Cost</v>
      </c>
      <c r="U910" s="4">
        <f t="shared" si="6"/>
        <v>0.5745991485</v>
      </c>
    </row>
    <row r="911">
      <c r="A911" s="4" t="s">
        <v>2050</v>
      </c>
      <c r="B911" s="4" t="s">
        <v>66</v>
      </c>
      <c r="C911" s="4">
        <v>710.9828</v>
      </c>
      <c r="D911" s="4" t="s">
        <v>17</v>
      </c>
      <c r="E911" s="4" t="s">
        <v>123</v>
      </c>
      <c r="F911" s="4">
        <v>51.03</v>
      </c>
      <c r="G911" s="4">
        <v>44.13</v>
      </c>
      <c r="H911" s="4">
        <v>1.3274532433E10</v>
      </c>
      <c r="I911" s="4">
        <v>1.5347515493E10</v>
      </c>
      <c r="J911" s="4" t="s">
        <v>2051</v>
      </c>
      <c r="K911" s="4" t="s">
        <v>2052</v>
      </c>
      <c r="L911" s="4">
        <v>7.54</v>
      </c>
      <c r="M911" s="4">
        <v>5360.81</v>
      </c>
      <c r="N911" s="4">
        <v>5361.0</v>
      </c>
      <c r="O911" s="4">
        <v>444963.0</v>
      </c>
      <c r="P911" s="4">
        <f t="shared" si="1"/>
        <v>38.45</v>
      </c>
      <c r="Q911" s="4" t="str">
        <f t="shared" si="2"/>
        <v>Normal</v>
      </c>
      <c r="R911" s="1" t="str">
        <f t="shared" si="3"/>
        <v>Normal</v>
      </c>
      <c r="S911" s="4">
        <f t="shared" si="4"/>
        <v>26.65635937</v>
      </c>
      <c r="T911" s="1" t="str">
        <f t="shared" si="5"/>
        <v>High Cost</v>
      </c>
      <c r="U911" s="4">
        <f t="shared" si="6"/>
        <v>0.01069302391</v>
      </c>
    </row>
    <row r="912">
      <c r="A912" s="4" t="s">
        <v>2053</v>
      </c>
      <c r="B912" s="4" t="s">
        <v>26</v>
      </c>
      <c r="C912" s="4">
        <v>351.7877</v>
      </c>
      <c r="D912" s="4" t="s">
        <v>21</v>
      </c>
      <c r="E912" s="4" t="s">
        <v>18</v>
      </c>
      <c r="F912" s="4">
        <v>68.52</v>
      </c>
      <c r="G912" s="4">
        <v>82.26</v>
      </c>
      <c r="H912" s="4">
        <v>4.2224157865E10</v>
      </c>
      <c r="I912" s="4">
        <v>4.9430532269E10</v>
      </c>
      <c r="J912" s="4" t="s">
        <v>2054</v>
      </c>
      <c r="K912" s="5">
        <v>45331.40833333333</v>
      </c>
      <c r="L912" s="4">
        <v>8.43</v>
      </c>
      <c r="M912" s="4">
        <v>2965.57</v>
      </c>
      <c r="N912" s="4">
        <v>2966.0</v>
      </c>
      <c r="O912" s="4">
        <v>246178.0</v>
      </c>
      <c r="P912" s="4">
        <f t="shared" si="1"/>
        <v>103.85</v>
      </c>
      <c r="Q912" s="4" t="str">
        <f t="shared" si="2"/>
        <v>Normal</v>
      </c>
      <c r="R912" s="1" t="str">
        <f t="shared" si="3"/>
        <v>High</v>
      </c>
      <c r="S912" s="4">
        <f t="shared" si="4"/>
        <v>85.36008199</v>
      </c>
      <c r="T912" s="1" t="str">
        <f t="shared" si="5"/>
        <v>High Cost</v>
      </c>
      <c r="U912" s="4">
        <f t="shared" si="6"/>
        <v>0.0306241825</v>
      </c>
    </row>
    <row r="913">
      <c r="A913" s="4" t="s">
        <v>2055</v>
      </c>
      <c r="B913" s="4" t="s">
        <v>169</v>
      </c>
      <c r="C913" s="4">
        <v>107.1353</v>
      </c>
      <c r="D913" s="4" t="s">
        <v>17</v>
      </c>
      <c r="E913" s="4" t="s">
        <v>22</v>
      </c>
      <c r="F913" s="4">
        <v>59.21</v>
      </c>
      <c r="G913" s="4">
        <v>69.65</v>
      </c>
      <c r="H913" s="4">
        <v>8.7437657385E10</v>
      </c>
      <c r="I913" s="4">
        <v>8.9558952845E10</v>
      </c>
      <c r="J913" s="4" t="s">
        <v>2056</v>
      </c>
      <c r="K913" s="4" t="s">
        <v>2057</v>
      </c>
      <c r="L913" s="4">
        <v>2.82</v>
      </c>
      <c r="M913" s="4">
        <v>302.12</v>
      </c>
      <c r="N913" s="4">
        <v>302.0</v>
      </c>
      <c r="O913" s="4">
        <v>25066.0</v>
      </c>
      <c r="P913" s="4">
        <f t="shared" si="1"/>
        <v>34.01666667</v>
      </c>
      <c r="Q913" s="4" t="str">
        <f t="shared" si="2"/>
        <v>Normal</v>
      </c>
      <c r="R913" s="1" t="str">
        <f t="shared" si="3"/>
        <v>Normal</v>
      </c>
      <c r="S913" s="4">
        <f t="shared" si="4"/>
        <v>164.8409387</v>
      </c>
      <c r="T913" s="1" t="str">
        <f t="shared" si="5"/>
        <v>Normal Cost</v>
      </c>
      <c r="U913" s="4">
        <f t="shared" si="6"/>
        <v>0.2570414107</v>
      </c>
    </row>
    <row r="914">
      <c r="A914" s="4" t="s">
        <v>2058</v>
      </c>
      <c r="B914" s="4" t="s">
        <v>166</v>
      </c>
      <c r="C914" s="4">
        <v>856.7478</v>
      </c>
      <c r="D914" s="4" t="s">
        <v>17</v>
      </c>
      <c r="E914" s="4" t="s">
        <v>54</v>
      </c>
      <c r="F914" s="4">
        <v>2.61</v>
      </c>
      <c r="G914" s="4">
        <v>7.63</v>
      </c>
      <c r="H914" s="4">
        <v>3.4237954862E10</v>
      </c>
      <c r="I914" s="4">
        <v>3.8120936455E10</v>
      </c>
      <c r="J914" s="5">
        <v>45603.106944444444</v>
      </c>
      <c r="K914" s="4" t="s">
        <v>2059</v>
      </c>
      <c r="L914" s="4">
        <v>2.61</v>
      </c>
      <c r="M914" s="4">
        <v>2236.11</v>
      </c>
      <c r="N914" s="4">
        <v>2236.0</v>
      </c>
      <c r="O914" s="4">
        <v>185588.0</v>
      </c>
      <c r="P914" s="4">
        <f t="shared" si="1"/>
        <v>60.73333333</v>
      </c>
      <c r="Q914" s="4" t="str">
        <f t="shared" si="2"/>
        <v>Underutilized</v>
      </c>
      <c r="R914" s="1" t="str">
        <f t="shared" si="3"/>
        <v>Underutilized</v>
      </c>
      <c r="S914" s="4">
        <f t="shared" si="4"/>
        <v>67.38946896</v>
      </c>
      <c r="T914" s="1" t="str">
        <f t="shared" si="5"/>
        <v>High Cost</v>
      </c>
      <c r="U914" s="4">
        <f t="shared" si="6"/>
        <v>0.00275879906</v>
      </c>
    </row>
    <row r="915">
      <c r="A915" s="4" t="s">
        <v>2060</v>
      </c>
      <c r="B915" s="4" t="s">
        <v>128</v>
      </c>
      <c r="C915" s="4">
        <v>194.1528</v>
      </c>
      <c r="D915" s="4" t="s">
        <v>21</v>
      </c>
      <c r="E915" s="4" t="s">
        <v>123</v>
      </c>
      <c r="F915" s="4">
        <v>87.72</v>
      </c>
      <c r="G915" s="4">
        <v>47.91</v>
      </c>
      <c r="H915" s="4">
        <v>4.4611513293E10</v>
      </c>
      <c r="I915" s="4">
        <v>4.7028070582E10</v>
      </c>
      <c r="J915" s="4" t="s">
        <v>2061</v>
      </c>
      <c r="K915" s="4" t="s">
        <v>2062</v>
      </c>
      <c r="L915" s="4">
        <v>5.32</v>
      </c>
      <c r="M915" s="4">
        <v>1032.89</v>
      </c>
      <c r="N915" s="4">
        <v>1033.0</v>
      </c>
      <c r="O915" s="4">
        <v>85739.0</v>
      </c>
      <c r="P915" s="4">
        <f t="shared" si="1"/>
        <v>96.98333333</v>
      </c>
      <c r="Q915" s="4" t="str">
        <f t="shared" si="2"/>
        <v>High</v>
      </c>
      <c r="R915" s="1" t="str">
        <f t="shared" si="3"/>
        <v>Normal</v>
      </c>
      <c r="S915" s="4">
        <f t="shared" si="4"/>
        <v>85.34601319</v>
      </c>
      <c r="T915" s="1" t="str">
        <f t="shared" si="5"/>
        <v>Normal Cost</v>
      </c>
      <c r="U915" s="4">
        <f t="shared" si="6"/>
        <v>0.07909469436</v>
      </c>
    </row>
    <row r="916">
      <c r="A916" s="4" t="s">
        <v>2063</v>
      </c>
      <c r="B916" s="4" t="s">
        <v>57</v>
      </c>
      <c r="C916" s="4">
        <v>337.1101</v>
      </c>
      <c r="D916" s="4" t="s">
        <v>21</v>
      </c>
      <c r="E916" s="4" t="s">
        <v>105</v>
      </c>
      <c r="F916" s="4">
        <v>5.54</v>
      </c>
      <c r="G916" s="4">
        <v>13.21</v>
      </c>
      <c r="H916" s="4">
        <v>2.2917240264E10</v>
      </c>
      <c r="I916" s="4">
        <v>2.95313031E10</v>
      </c>
      <c r="J916" s="5">
        <v>45634.90694444445</v>
      </c>
      <c r="K916" s="4" t="s">
        <v>2064</v>
      </c>
      <c r="L916" s="4">
        <v>7.83</v>
      </c>
      <c r="M916" s="4">
        <v>2639.57</v>
      </c>
      <c r="N916" s="4">
        <v>2640.0</v>
      </c>
      <c r="O916" s="4">
        <v>219120.0</v>
      </c>
      <c r="P916" s="4">
        <f t="shared" si="1"/>
        <v>51.93333333</v>
      </c>
      <c r="Q916" s="4" t="str">
        <f t="shared" si="2"/>
        <v>Underutilized</v>
      </c>
      <c r="R916" s="1" t="str">
        <f t="shared" si="3"/>
        <v>Underutilized</v>
      </c>
      <c r="S916" s="4">
        <f t="shared" si="4"/>
        <v>48.84651244</v>
      </c>
      <c r="T916" s="1" t="str">
        <f t="shared" si="5"/>
        <v>High Cost</v>
      </c>
      <c r="U916" s="4">
        <f t="shared" si="6"/>
        <v>0.004278477547</v>
      </c>
    </row>
    <row r="917">
      <c r="A917" s="4" t="s">
        <v>2065</v>
      </c>
      <c r="B917" s="4" t="s">
        <v>57</v>
      </c>
      <c r="C917" s="4">
        <v>364.1758</v>
      </c>
      <c r="D917" s="4" t="s">
        <v>21</v>
      </c>
      <c r="E917" s="4" t="s">
        <v>70</v>
      </c>
      <c r="F917" s="4">
        <v>33.72</v>
      </c>
      <c r="G917" s="4">
        <v>86.85</v>
      </c>
      <c r="H917" s="4">
        <v>6.3912458976E10</v>
      </c>
      <c r="I917" s="4">
        <v>6.576297333E10</v>
      </c>
      <c r="J917" s="4" t="s">
        <v>2066</v>
      </c>
      <c r="K917" s="5">
        <v>45358.84375</v>
      </c>
      <c r="L917" s="4">
        <v>5.32</v>
      </c>
      <c r="M917" s="4">
        <v>1937.42</v>
      </c>
      <c r="N917" s="4">
        <v>1937.0</v>
      </c>
      <c r="O917" s="4">
        <v>160771.0</v>
      </c>
      <c r="P917" s="4">
        <f t="shared" si="1"/>
        <v>75.11666667</v>
      </c>
      <c r="Q917" s="4" t="str">
        <f t="shared" si="2"/>
        <v>Normal</v>
      </c>
      <c r="R917" s="1" t="str">
        <f t="shared" si="3"/>
        <v>High</v>
      </c>
      <c r="S917" s="4">
        <f t="shared" si="4"/>
        <v>120.7696575</v>
      </c>
      <c r="T917" s="1" t="str">
        <f t="shared" si="5"/>
        <v>Normal Cost</v>
      </c>
      <c r="U917" s="4">
        <f t="shared" si="6"/>
        <v>0.03749743424</v>
      </c>
    </row>
    <row r="918">
      <c r="A918" s="4" t="s">
        <v>2067</v>
      </c>
      <c r="B918" s="4" t="s">
        <v>183</v>
      </c>
      <c r="C918" s="4">
        <v>850.293</v>
      </c>
      <c r="D918" s="4" t="s">
        <v>17</v>
      </c>
      <c r="E918" s="4" t="s">
        <v>32</v>
      </c>
      <c r="F918" s="4">
        <v>51.19</v>
      </c>
      <c r="G918" s="4">
        <v>96.26</v>
      </c>
      <c r="H918" s="4">
        <v>8.6579004283E10</v>
      </c>
      <c r="I918" s="4">
        <v>8.6783415504E10</v>
      </c>
      <c r="J918" s="4" t="s">
        <v>2068</v>
      </c>
      <c r="K918" s="4" t="s">
        <v>2069</v>
      </c>
      <c r="L918" s="4">
        <v>6.08</v>
      </c>
      <c r="M918" s="4">
        <v>5169.78</v>
      </c>
      <c r="N918" s="4">
        <v>5170.0</v>
      </c>
      <c r="O918" s="4">
        <v>429110.0</v>
      </c>
      <c r="P918" s="4">
        <f t="shared" si="1"/>
        <v>62.26666667</v>
      </c>
      <c r="Q918" s="4" t="str">
        <f t="shared" si="2"/>
        <v>Normal</v>
      </c>
      <c r="R918" s="1" t="str">
        <f t="shared" si="3"/>
        <v>High</v>
      </c>
      <c r="S918" s="4">
        <f t="shared" si="4"/>
        <v>161.4563351</v>
      </c>
      <c r="T918" s="1" t="str">
        <f t="shared" si="5"/>
        <v>High Cost</v>
      </c>
      <c r="U918" s="4">
        <f t="shared" si="6"/>
        <v>0.01718090932</v>
      </c>
    </row>
    <row r="919">
      <c r="A919" s="4" t="s">
        <v>2070</v>
      </c>
      <c r="B919" s="4" t="s">
        <v>36</v>
      </c>
      <c r="C919" s="4">
        <v>358.3231</v>
      </c>
      <c r="D919" s="4" t="s">
        <v>17</v>
      </c>
      <c r="E919" s="4" t="s">
        <v>155</v>
      </c>
      <c r="F919" s="4">
        <v>59.61</v>
      </c>
      <c r="G919" s="4">
        <v>29.73</v>
      </c>
      <c r="H919" s="4">
        <v>4.720168247E9</v>
      </c>
      <c r="I919" s="4">
        <v>9.704777665E9</v>
      </c>
      <c r="J919" s="5">
        <v>45329.978472222225</v>
      </c>
      <c r="K919" s="5">
        <v>45389.44236111111</v>
      </c>
      <c r="L919" s="4">
        <v>6.24</v>
      </c>
      <c r="M919" s="4">
        <v>2235.94</v>
      </c>
      <c r="N919" s="4">
        <v>2236.0</v>
      </c>
      <c r="O919" s="4">
        <v>185588.0</v>
      </c>
      <c r="P919" s="4">
        <f t="shared" si="1"/>
        <v>35.13333333</v>
      </c>
      <c r="Q919" s="4" t="str">
        <f t="shared" si="2"/>
        <v>Normal</v>
      </c>
      <c r="R919" s="1" t="str">
        <f t="shared" si="3"/>
        <v>Underutilized</v>
      </c>
      <c r="S919" s="4">
        <f t="shared" si="4"/>
        <v>13.43427777</v>
      </c>
      <c r="T919" s="1" t="str">
        <f t="shared" si="5"/>
        <v>High Cost</v>
      </c>
      <c r="U919" s="4">
        <f t="shared" si="6"/>
        <v>0.02406944415</v>
      </c>
    </row>
    <row r="920">
      <c r="A920" s="4" t="s">
        <v>2071</v>
      </c>
      <c r="B920" s="4" t="s">
        <v>139</v>
      </c>
      <c r="C920" s="4">
        <v>70.9167</v>
      </c>
      <c r="D920" s="4" t="s">
        <v>42</v>
      </c>
      <c r="E920" s="4" t="s">
        <v>32</v>
      </c>
      <c r="F920" s="4">
        <v>67.07</v>
      </c>
      <c r="G920" s="4">
        <v>34.07</v>
      </c>
      <c r="H920" s="4">
        <v>7.7185072905E10</v>
      </c>
      <c r="I920" s="4">
        <v>7.7870473879E10</v>
      </c>
      <c r="J920" s="4" t="s">
        <v>2072</v>
      </c>
      <c r="K920" s="4" t="s">
        <v>2073</v>
      </c>
      <c r="L920" s="4">
        <v>6.3</v>
      </c>
      <c r="M920" s="4">
        <v>446.78</v>
      </c>
      <c r="N920" s="4">
        <v>447.0</v>
      </c>
      <c r="O920" s="4">
        <v>37101.0</v>
      </c>
      <c r="P920" s="4">
        <f t="shared" si="1"/>
        <v>70.91666667</v>
      </c>
      <c r="Q920" s="4" t="str">
        <f t="shared" si="2"/>
        <v>Normal</v>
      </c>
      <c r="R920" s="1" t="str">
        <f t="shared" si="3"/>
        <v>Underutilized</v>
      </c>
      <c r="S920" s="4">
        <f t="shared" si="4"/>
        <v>144.406731</v>
      </c>
      <c r="T920" s="1" t="str">
        <f t="shared" si="5"/>
        <v>Normal Cost</v>
      </c>
      <c r="U920" s="4">
        <f t="shared" si="6"/>
        <v>0.1363036037</v>
      </c>
    </row>
    <row r="921">
      <c r="A921" s="4" t="s">
        <v>2074</v>
      </c>
      <c r="B921" s="4" t="s">
        <v>79</v>
      </c>
      <c r="C921" s="4">
        <v>359.6147</v>
      </c>
      <c r="D921" s="4" t="s">
        <v>21</v>
      </c>
      <c r="E921" s="4" t="s">
        <v>155</v>
      </c>
      <c r="F921" s="4">
        <v>15.22</v>
      </c>
      <c r="G921" s="4">
        <v>33.29</v>
      </c>
      <c r="H921" s="4">
        <v>7.4126443926E10</v>
      </c>
      <c r="I921" s="4">
        <v>8.3900514981E10</v>
      </c>
      <c r="J921" s="5">
        <v>45329.80069444444</v>
      </c>
      <c r="K921" s="5">
        <v>45389.83888888889</v>
      </c>
      <c r="L921" s="4">
        <v>3.06</v>
      </c>
      <c r="M921" s="4">
        <v>1100.42</v>
      </c>
      <c r="N921" s="4">
        <v>1100.0</v>
      </c>
      <c r="O921" s="4">
        <v>91300.0</v>
      </c>
      <c r="P921" s="4">
        <f t="shared" si="1"/>
        <v>48.91666667</v>
      </c>
      <c r="Q921" s="4" t="str">
        <f t="shared" si="2"/>
        <v>Underutilized</v>
      </c>
      <c r="R921" s="1" t="str">
        <f t="shared" si="3"/>
        <v>Underutilized</v>
      </c>
      <c r="S921" s="4">
        <f t="shared" si="4"/>
        <v>147.1740742</v>
      </c>
      <c r="T921" s="1" t="str">
        <f t="shared" si="5"/>
        <v>Normal Cost</v>
      </c>
      <c r="U921" s="4">
        <f t="shared" si="6"/>
        <v>0.02656626506</v>
      </c>
    </row>
    <row r="922">
      <c r="A922" s="4" t="s">
        <v>2075</v>
      </c>
      <c r="B922" s="4" t="s">
        <v>66</v>
      </c>
      <c r="C922" s="4">
        <v>65.8491</v>
      </c>
      <c r="D922" s="4" t="s">
        <v>21</v>
      </c>
      <c r="E922" s="4" t="s">
        <v>123</v>
      </c>
      <c r="F922" s="4">
        <v>63.27</v>
      </c>
      <c r="G922" s="4">
        <v>81.93</v>
      </c>
      <c r="H922" s="4">
        <v>6.1395456923E10</v>
      </c>
      <c r="I922" s="4">
        <v>6.9442456383E10</v>
      </c>
      <c r="J922" s="4" t="s">
        <v>2076</v>
      </c>
      <c r="K922" s="4" t="s">
        <v>2077</v>
      </c>
      <c r="L922" s="4">
        <v>6.63</v>
      </c>
      <c r="M922" s="4">
        <v>436.58</v>
      </c>
      <c r="N922" s="4">
        <v>437.0</v>
      </c>
      <c r="O922" s="4">
        <v>36271.0</v>
      </c>
      <c r="P922" s="4">
        <f t="shared" si="1"/>
        <v>58.61666667</v>
      </c>
      <c r="Q922" s="4" t="str">
        <f t="shared" si="2"/>
        <v>Normal</v>
      </c>
      <c r="R922" s="1" t="str">
        <f t="shared" si="3"/>
        <v>High</v>
      </c>
      <c r="S922" s="4">
        <f t="shared" si="4"/>
        <v>121.8523023</v>
      </c>
      <c r="T922" s="1" t="str">
        <f t="shared" si="5"/>
        <v>Normal Cost</v>
      </c>
      <c r="U922" s="4">
        <f t="shared" si="6"/>
        <v>0.2001599074</v>
      </c>
    </row>
    <row r="923">
      <c r="A923" s="4" t="s">
        <v>2078</v>
      </c>
      <c r="B923" s="4" t="s">
        <v>147</v>
      </c>
      <c r="C923" s="4">
        <v>111.4167</v>
      </c>
      <c r="D923" s="4" t="s">
        <v>42</v>
      </c>
      <c r="E923" s="4" t="s">
        <v>22</v>
      </c>
      <c r="F923" s="4">
        <v>29.83</v>
      </c>
      <c r="G923" s="4">
        <v>54.6</v>
      </c>
      <c r="H923" s="4">
        <v>8.1505567289E10</v>
      </c>
      <c r="I923" s="4">
        <v>8.37071853E10</v>
      </c>
      <c r="J923" s="5">
        <v>45299.18472222222</v>
      </c>
      <c r="K923" s="5">
        <v>45420.82708333333</v>
      </c>
      <c r="L923" s="4">
        <v>7.29</v>
      </c>
      <c r="M923" s="4">
        <v>812.23</v>
      </c>
      <c r="N923" s="4">
        <v>812.0</v>
      </c>
      <c r="O923" s="4">
        <v>67396.0</v>
      </c>
      <c r="P923" s="4">
        <f t="shared" si="1"/>
        <v>111.4166667</v>
      </c>
      <c r="Q923" s="4" t="str">
        <f t="shared" si="2"/>
        <v>Underutilized</v>
      </c>
      <c r="R923" s="1" t="str">
        <f t="shared" si="3"/>
        <v>Normal</v>
      </c>
      <c r="S923" s="4">
        <f t="shared" si="4"/>
        <v>153.8663661</v>
      </c>
      <c r="T923" s="1" t="str">
        <f t="shared" si="5"/>
        <v>Normal Cost</v>
      </c>
      <c r="U923" s="4">
        <f t="shared" si="6"/>
        <v>0.0626372485</v>
      </c>
    </row>
    <row r="924">
      <c r="A924" s="4" t="s">
        <v>2079</v>
      </c>
      <c r="B924" s="4" t="s">
        <v>53</v>
      </c>
      <c r="C924" s="4">
        <v>77.1615</v>
      </c>
      <c r="D924" s="4" t="s">
        <v>17</v>
      </c>
      <c r="E924" s="4" t="s">
        <v>22</v>
      </c>
      <c r="F924" s="4">
        <v>14.81</v>
      </c>
      <c r="G924" s="4">
        <v>29.94</v>
      </c>
      <c r="H924" s="4">
        <v>9.66648289E9</v>
      </c>
      <c r="I924" s="4">
        <v>1.299592397E10</v>
      </c>
      <c r="J924" s="5">
        <v>45572.978472222225</v>
      </c>
      <c r="K924" s="4" t="s">
        <v>126</v>
      </c>
      <c r="L924" s="4">
        <v>8.18</v>
      </c>
      <c r="M924" s="4">
        <v>631.18</v>
      </c>
      <c r="N924" s="4">
        <v>631.0</v>
      </c>
      <c r="O924" s="4">
        <v>52373.0</v>
      </c>
      <c r="P924" s="4">
        <f t="shared" si="1"/>
        <v>143.9833333</v>
      </c>
      <c r="Q924" s="4" t="str">
        <f t="shared" si="2"/>
        <v>Underutilized</v>
      </c>
      <c r="R924" s="1" t="str">
        <f t="shared" si="3"/>
        <v>Underutilized</v>
      </c>
      <c r="S924" s="4">
        <f t="shared" si="4"/>
        <v>21.1060111</v>
      </c>
      <c r="T924" s="1" t="str">
        <f t="shared" si="5"/>
        <v>Normal Cost</v>
      </c>
      <c r="U924" s="4">
        <f t="shared" si="6"/>
        <v>0.04272239513</v>
      </c>
    </row>
    <row r="925">
      <c r="A925" s="4" t="s">
        <v>2080</v>
      </c>
      <c r="B925" s="4" t="s">
        <v>26</v>
      </c>
      <c r="C925" s="4">
        <v>296.8281</v>
      </c>
      <c r="D925" s="4" t="s">
        <v>21</v>
      </c>
      <c r="E925" s="4" t="s">
        <v>27</v>
      </c>
      <c r="F925" s="4">
        <v>7.52</v>
      </c>
      <c r="G925" s="4">
        <v>70.95</v>
      </c>
      <c r="H925" s="4">
        <v>6.7249581572E10</v>
      </c>
      <c r="I925" s="4">
        <v>6.8679044281E10</v>
      </c>
      <c r="J925" s="5">
        <v>45358.49722222222</v>
      </c>
      <c r="K925" s="5">
        <v>45542.47152777778</v>
      </c>
      <c r="L925" s="4">
        <v>7.83</v>
      </c>
      <c r="M925" s="4">
        <v>2324.16</v>
      </c>
      <c r="N925" s="4">
        <v>2324.0</v>
      </c>
      <c r="O925" s="4">
        <v>192892.0</v>
      </c>
      <c r="P925" s="4">
        <f t="shared" si="1"/>
        <v>143.3833333</v>
      </c>
      <c r="Q925" s="4" t="str">
        <f t="shared" si="2"/>
        <v>Underutilized</v>
      </c>
      <c r="R925" s="1" t="str">
        <f t="shared" si="3"/>
        <v>Normal</v>
      </c>
      <c r="S925" s="4">
        <f t="shared" si="4"/>
        <v>126.5933978</v>
      </c>
      <c r="T925" s="1" t="str">
        <f t="shared" si="5"/>
        <v>High Cost</v>
      </c>
      <c r="U925" s="4">
        <f t="shared" si="6"/>
        <v>0.02034039774</v>
      </c>
    </row>
    <row r="926">
      <c r="A926" s="4" t="s">
        <v>2081</v>
      </c>
      <c r="B926" s="4" t="s">
        <v>57</v>
      </c>
      <c r="C926" s="4">
        <v>809.9885</v>
      </c>
      <c r="D926" s="4" t="s">
        <v>21</v>
      </c>
      <c r="E926" s="4" t="s">
        <v>54</v>
      </c>
      <c r="F926" s="4">
        <v>4.19</v>
      </c>
      <c r="G926" s="4">
        <v>66.7</v>
      </c>
      <c r="H926" s="4">
        <v>6.8201830951E10</v>
      </c>
      <c r="I926" s="4">
        <v>7.2712157558E10</v>
      </c>
      <c r="J926" s="5">
        <v>45511.71319444444</v>
      </c>
      <c r="K926" s="4" t="s">
        <v>2082</v>
      </c>
      <c r="L926" s="4">
        <v>6.19</v>
      </c>
      <c r="M926" s="4">
        <v>5013.83</v>
      </c>
      <c r="N926" s="4">
        <v>5014.0</v>
      </c>
      <c r="O926" s="4">
        <v>416162.0</v>
      </c>
      <c r="P926" s="4">
        <f t="shared" si="1"/>
        <v>119.1</v>
      </c>
      <c r="Q926" s="4" t="str">
        <f t="shared" si="2"/>
        <v>Underutilized</v>
      </c>
      <c r="R926" s="1" t="str">
        <f t="shared" si="3"/>
        <v>Normal</v>
      </c>
      <c r="S926" s="4">
        <f t="shared" si="4"/>
        <v>131.2363786</v>
      </c>
      <c r="T926" s="1" t="str">
        <f t="shared" si="5"/>
        <v>High Cost</v>
      </c>
      <c r="U926" s="4">
        <f t="shared" si="6"/>
        <v>0.008517115931</v>
      </c>
    </row>
    <row r="927">
      <c r="A927" s="4" t="s">
        <v>2083</v>
      </c>
      <c r="B927" s="4" t="s">
        <v>79</v>
      </c>
      <c r="C927" s="4">
        <v>175.2578</v>
      </c>
      <c r="D927" s="4" t="s">
        <v>21</v>
      </c>
      <c r="E927" s="4" t="s">
        <v>70</v>
      </c>
      <c r="F927" s="4">
        <v>8.17</v>
      </c>
      <c r="G927" s="4">
        <v>50.76</v>
      </c>
      <c r="H927" s="4">
        <v>6.1712058967E10</v>
      </c>
      <c r="I927" s="4">
        <v>6.742447419E10</v>
      </c>
      <c r="J927" s="5">
        <v>45604.63333333333</v>
      </c>
      <c r="K927" s="4" t="s">
        <v>2084</v>
      </c>
      <c r="L927" s="4">
        <v>7.14</v>
      </c>
      <c r="M927" s="4">
        <v>1251.34</v>
      </c>
      <c r="N927" s="4">
        <v>1251.0</v>
      </c>
      <c r="O927" s="4">
        <v>103833.0</v>
      </c>
      <c r="P927" s="4">
        <f t="shared" si="1"/>
        <v>103.8333333</v>
      </c>
      <c r="Q927" s="4" t="str">
        <f t="shared" si="2"/>
        <v>Underutilized</v>
      </c>
      <c r="R927" s="1" t="str">
        <f t="shared" si="3"/>
        <v>Normal</v>
      </c>
      <c r="S927" s="4">
        <f t="shared" si="4"/>
        <v>120.2677685</v>
      </c>
      <c r="T927" s="1" t="str">
        <f t="shared" si="5"/>
        <v>Normal Cost</v>
      </c>
      <c r="U927" s="4">
        <f t="shared" si="6"/>
        <v>0.02837729816</v>
      </c>
    </row>
    <row r="928">
      <c r="A928" s="4" t="s">
        <v>2085</v>
      </c>
      <c r="B928" s="4" t="s">
        <v>66</v>
      </c>
      <c r="C928" s="4">
        <v>229.21</v>
      </c>
      <c r="D928" s="4" t="s">
        <v>17</v>
      </c>
      <c r="E928" s="4" t="s">
        <v>74</v>
      </c>
      <c r="F928" s="4">
        <v>52.18</v>
      </c>
      <c r="G928" s="4">
        <v>35.2</v>
      </c>
      <c r="H928" s="4">
        <v>1.8929284329E10</v>
      </c>
      <c r="I928" s="4">
        <v>2.7071360698E10</v>
      </c>
      <c r="J928" s="4" t="s">
        <v>2086</v>
      </c>
      <c r="K928" s="4" t="s">
        <v>2087</v>
      </c>
      <c r="L928" s="4">
        <v>5.05</v>
      </c>
      <c r="M928" s="4">
        <v>1157.51</v>
      </c>
      <c r="N928" s="4">
        <v>1158.0</v>
      </c>
      <c r="O928" s="4">
        <v>96114.0</v>
      </c>
      <c r="P928" s="4">
        <f t="shared" si="1"/>
        <v>136.8166667</v>
      </c>
      <c r="Q928" s="4" t="str">
        <f t="shared" si="2"/>
        <v>Normal</v>
      </c>
      <c r="R928" s="1" t="str">
        <f t="shared" si="3"/>
        <v>Underutilized</v>
      </c>
      <c r="S928" s="4">
        <f t="shared" si="4"/>
        <v>42.84143916</v>
      </c>
      <c r="T928" s="1" t="str">
        <f t="shared" si="5"/>
        <v>Normal Cost</v>
      </c>
      <c r="U928" s="4">
        <f t="shared" si="6"/>
        <v>0.04545643715</v>
      </c>
    </row>
    <row r="929">
      <c r="A929" s="4" t="s">
        <v>2088</v>
      </c>
      <c r="B929" s="4" t="s">
        <v>60</v>
      </c>
      <c r="C929" s="4">
        <v>110.6333</v>
      </c>
      <c r="D929" s="4" t="s">
        <v>42</v>
      </c>
      <c r="E929" s="4" t="s">
        <v>18</v>
      </c>
      <c r="F929" s="4">
        <v>96.41</v>
      </c>
      <c r="G929" s="4">
        <v>93.46</v>
      </c>
      <c r="H929" s="4">
        <v>4.3249983996E10</v>
      </c>
      <c r="I929" s="4">
        <v>4.727714321E10</v>
      </c>
      <c r="J929" s="5">
        <v>45633.955555555556</v>
      </c>
      <c r="K929" s="4" t="s">
        <v>2089</v>
      </c>
      <c r="L929" s="4">
        <v>5.17</v>
      </c>
      <c r="M929" s="4">
        <v>571.97</v>
      </c>
      <c r="N929" s="4">
        <v>572.0</v>
      </c>
      <c r="O929" s="4">
        <v>47476.0</v>
      </c>
      <c r="P929" s="4">
        <f t="shared" si="1"/>
        <v>110.6333333</v>
      </c>
      <c r="Q929" s="4" t="str">
        <f t="shared" si="2"/>
        <v>High</v>
      </c>
      <c r="R929" s="1" t="str">
        <f t="shared" si="3"/>
        <v>High</v>
      </c>
      <c r="S929" s="4">
        <f t="shared" si="4"/>
        <v>84.30995718</v>
      </c>
      <c r="T929" s="1" t="str">
        <f t="shared" si="5"/>
        <v>Normal Cost</v>
      </c>
      <c r="U929" s="4">
        <f t="shared" si="6"/>
        <v>0.1999641924</v>
      </c>
    </row>
    <row r="930">
      <c r="A930" s="4" t="s">
        <v>2090</v>
      </c>
      <c r="B930" s="4" t="s">
        <v>147</v>
      </c>
      <c r="C930" s="4">
        <v>32.3667</v>
      </c>
      <c r="D930" s="4" t="s">
        <v>42</v>
      </c>
      <c r="E930" s="4" t="s">
        <v>105</v>
      </c>
      <c r="F930" s="4">
        <v>51.62</v>
      </c>
      <c r="G930" s="4">
        <v>84.34</v>
      </c>
      <c r="H930" s="4">
        <v>3.2651886748E10</v>
      </c>
      <c r="I930" s="4">
        <v>3.8114080646E10</v>
      </c>
      <c r="J930" s="4" t="s">
        <v>2091</v>
      </c>
      <c r="K930" s="4" t="s">
        <v>2092</v>
      </c>
      <c r="L930" s="4">
        <v>1.88</v>
      </c>
      <c r="M930" s="4">
        <v>60.85</v>
      </c>
      <c r="N930" s="4">
        <v>61.0</v>
      </c>
      <c r="O930" s="4">
        <v>5063.0</v>
      </c>
      <c r="P930" s="4">
        <f t="shared" si="1"/>
        <v>32.36666667</v>
      </c>
      <c r="Q930" s="4" t="str">
        <f t="shared" si="2"/>
        <v>Normal</v>
      </c>
      <c r="R930" s="1" t="str">
        <f t="shared" si="3"/>
        <v>High</v>
      </c>
      <c r="S930" s="4">
        <f t="shared" si="4"/>
        <v>65.90594295</v>
      </c>
      <c r="T930" s="1" t="str">
        <f t="shared" si="5"/>
        <v>Normal Cost</v>
      </c>
      <c r="U930" s="4">
        <f t="shared" si="6"/>
        <v>1.342682204</v>
      </c>
    </row>
    <row r="931">
      <c r="A931" s="4" t="s">
        <v>2093</v>
      </c>
      <c r="B931" s="4" t="s">
        <v>46</v>
      </c>
      <c r="C931" s="4">
        <v>202.9644</v>
      </c>
      <c r="D931" s="4" t="s">
        <v>21</v>
      </c>
      <c r="E931" s="4" t="s">
        <v>37</v>
      </c>
      <c r="F931" s="4">
        <v>65.39</v>
      </c>
      <c r="G931" s="4">
        <v>96.46</v>
      </c>
      <c r="H931" s="4">
        <v>3.9527760122E10</v>
      </c>
      <c r="I931" s="4">
        <v>4.5152662232E10</v>
      </c>
      <c r="J931" s="5">
        <v>45543.11319444444</v>
      </c>
      <c r="K931" s="5">
        <v>45634.06875</v>
      </c>
      <c r="L931" s="4">
        <v>2.17</v>
      </c>
      <c r="M931" s="4">
        <v>440.43</v>
      </c>
      <c r="N931" s="4">
        <v>440.0</v>
      </c>
      <c r="O931" s="4">
        <v>36520.0</v>
      </c>
      <c r="P931" s="4">
        <f t="shared" si="1"/>
        <v>70.93333333</v>
      </c>
      <c r="Q931" s="4" t="str">
        <f t="shared" si="2"/>
        <v>Normal</v>
      </c>
      <c r="R931" s="1" t="str">
        <f t="shared" si="3"/>
        <v>High</v>
      </c>
      <c r="S931" s="4">
        <f t="shared" si="4"/>
        <v>78.86478897</v>
      </c>
      <c r="T931" s="1" t="str">
        <f t="shared" si="5"/>
        <v>Normal Cost</v>
      </c>
      <c r="U931" s="4">
        <f t="shared" si="6"/>
        <v>0.2215909091</v>
      </c>
    </row>
    <row r="932">
      <c r="A932" s="4" t="s">
        <v>2094</v>
      </c>
      <c r="B932" s="4" t="s">
        <v>169</v>
      </c>
      <c r="C932" s="4">
        <v>403.475</v>
      </c>
      <c r="D932" s="4" t="s">
        <v>21</v>
      </c>
      <c r="E932" s="4" t="s">
        <v>32</v>
      </c>
      <c r="F932" s="4">
        <v>78.52</v>
      </c>
      <c r="G932" s="4">
        <v>13.57</v>
      </c>
      <c r="H932" s="4">
        <v>9.1789708623E10</v>
      </c>
      <c r="I932" s="4">
        <v>9.2577225266E10</v>
      </c>
      <c r="J932" s="4" t="s">
        <v>2095</v>
      </c>
      <c r="K932" s="4" t="s">
        <v>2096</v>
      </c>
      <c r="L932" s="4">
        <v>6.73</v>
      </c>
      <c r="M932" s="4">
        <v>2715.39</v>
      </c>
      <c r="N932" s="4">
        <v>2715.0</v>
      </c>
      <c r="O932" s="4">
        <v>225345.0</v>
      </c>
      <c r="P932" s="4">
        <f t="shared" si="1"/>
        <v>56.28333333</v>
      </c>
      <c r="Q932" s="4" t="str">
        <f t="shared" si="2"/>
        <v>High</v>
      </c>
      <c r="R932" s="1" t="str">
        <f t="shared" si="3"/>
        <v>Underutilized</v>
      </c>
      <c r="S932" s="4">
        <f t="shared" si="4"/>
        <v>171.7050875</v>
      </c>
      <c r="T932" s="1" t="str">
        <f t="shared" si="5"/>
        <v>High Cost</v>
      </c>
      <c r="U932" s="4">
        <f t="shared" si="6"/>
        <v>0.02043311367</v>
      </c>
    </row>
    <row r="933">
      <c r="A933" s="4" t="s">
        <v>2097</v>
      </c>
      <c r="B933" s="4" t="s">
        <v>169</v>
      </c>
      <c r="C933" s="4">
        <v>658.4138</v>
      </c>
      <c r="D933" s="4" t="s">
        <v>21</v>
      </c>
      <c r="E933" s="4" t="s">
        <v>54</v>
      </c>
      <c r="F933" s="4">
        <v>9.38</v>
      </c>
      <c r="G933" s="4">
        <v>29.91</v>
      </c>
      <c r="H933" s="4">
        <v>5.5784219171E10</v>
      </c>
      <c r="I933" s="4">
        <v>6.1664429785E10</v>
      </c>
      <c r="J933" s="4" t="s">
        <v>2098</v>
      </c>
      <c r="K933" s="4" t="s">
        <v>2099</v>
      </c>
      <c r="L933" s="4">
        <v>5.3</v>
      </c>
      <c r="M933" s="4">
        <v>3489.59</v>
      </c>
      <c r="N933" s="4">
        <v>3490.0</v>
      </c>
      <c r="O933" s="4">
        <v>289670.0</v>
      </c>
      <c r="P933" s="4">
        <f t="shared" si="1"/>
        <v>104.2</v>
      </c>
      <c r="Q933" s="4" t="str">
        <f t="shared" si="2"/>
        <v>Underutilized</v>
      </c>
      <c r="R933" s="1" t="str">
        <f t="shared" si="3"/>
        <v>Underutilized</v>
      </c>
      <c r="S933" s="4">
        <f t="shared" si="4"/>
        <v>109.3825781</v>
      </c>
      <c r="T933" s="1" t="str">
        <f t="shared" si="5"/>
        <v>High Cost</v>
      </c>
      <c r="U933" s="4">
        <f t="shared" si="6"/>
        <v>0.006781855215</v>
      </c>
    </row>
    <row r="934">
      <c r="A934" s="4" t="s">
        <v>2100</v>
      </c>
      <c r="B934" s="4" t="s">
        <v>26</v>
      </c>
      <c r="C934" s="4">
        <v>687.2747</v>
      </c>
      <c r="D934" s="4" t="s">
        <v>21</v>
      </c>
      <c r="E934" s="4" t="s">
        <v>37</v>
      </c>
      <c r="F934" s="4">
        <v>66.96</v>
      </c>
      <c r="G934" s="4">
        <v>5.11</v>
      </c>
      <c r="H934" s="4">
        <v>4.5579791022E10</v>
      </c>
      <c r="I934" s="4">
        <v>4.6657905187E10</v>
      </c>
      <c r="J934" s="4" t="s">
        <v>2101</v>
      </c>
      <c r="K934" s="4" t="s">
        <v>2102</v>
      </c>
      <c r="L934" s="4">
        <v>4.5</v>
      </c>
      <c r="M934" s="4">
        <v>3092.74</v>
      </c>
      <c r="N934" s="4">
        <v>3093.0</v>
      </c>
      <c r="O934" s="4">
        <v>256719.0</v>
      </c>
      <c r="P934" s="4">
        <f t="shared" si="1"/>
        <v>120.45</v>
      </c>
      <c r="Q934" s="4" t="str">
        <f t="shared" si="2"/>
        <v>Normal</v>
      </c>
      <c r="R934" s="1" t="str">
        <f t="shared" si="3"/>
        <v>Underutilized</v>
      </c>
      <c r="S934" s="4">
        <f t="shared" si="4"/>
        <v>85.90304871</v>
      </c>
      <c r="T934" s="1" t="str">
        <f t="shared" si="5"/>
        <v>High Cost</v>
      </c>
      <c r="U934" s="4">
        <f t="shared" si="6"/>
        <v>0.01403674835</v>
      </c>
    </row>
    <row r="935">
      <c r="A935" s="4" t="s">
        <v>2103</v>
      </c>
      <c r="B935" s="4" t="s">
        <v>16</v>
      </c>
      <c r="C935" s="4">
        <v>141.724</v>
      </c>
      <c r="D935" s="4" t="s">
        <v>17</v>
      </c>
      <c r="E935" s="4" t="s">
        <v>18</v>
      </c>
      <c r="F935" s="4">
        <v>55.0</v>
      </c>
      <c r="G935" s="4">
        <v>94.6</v>
      </c>
      <c r="H935" s="4">
        <v>1.387817396E10</v>
      </c>
      <c r="I935" s="4">
        <v>1.7590090093E10</v>
      </c>
      <c r="J935" s="4" t="s">
        <v>2104</v>
      </c>
      <c r="K935" s="4" t="s">
        <v>2105</v>
      </c>
      <c r="L935" s="4">
        <v>2.38</v>
      </c>
      <c r="M935" s="4">
        <v>337.3</v>
      </c>
      <c r="N935" s="4">
        <v>337.0</v>
      </c>
      <c r="O935" s="4">
        <v>27971.0</v>
      </c>
      <c r="P935" s="4">
        <f t="shared" si="1"/>
        <v>100.9666667</v>
      </c>
      <c r="Q935" s="4" t="str">
        <f t="shared" si="2"/>
        <v>Normal</v>
      </c>
      <c r="R935" s="1" t="str">
        <f t="shared" si="3"/>
        <v>High</v>
      </c>
      <c r="S935" s="4">
        <f t="shared" si="4"/>
        <v>29.3071047</v>
      </c>
      <c r="T935" s="1" t="str">
        <f t="shared" si="5"/>
        <v>Normal Cost</v>
      </c>
      <c r="U935" s="4">
        <f t="shared" si="6"/>
        <v>0.2674198277</v>
      </c>
    </row>
    <row r="936">
      <c r="A936" s="4" t="s">
        <v>2106</v>
      </c>
      <c r="B936" s="4" t="s">
        <v>128</v>
      </c>
      <c r="C936" s="4">
        <v>806.7405</v>
      </c>
      <c r="D936" s="4" t="s">
        <v>21</v>
      </c>
      <c r="E936" s="4" t="s">
        <v>22</v>
      </c>
      <c r="F936" s="4">
        <v>31.41</v>
      </c>
      <c r="G936" s="4">
        <v>66.93</v>
      </c>
      <c r="H936" s="4">
        <v>3.3910114913E10</v>
      </c>
      <c r="I936" s="4">
        <v>4.1233732659E10</v>
      </c>
      <c r="J936" s="5">
        <v>45480.825</v>
      </c>
      <c r="K936" s="5">
        <v>45542.47430555556</v>
      </c>
      <c r="L936" s="4">
        <v>8.45</v>
      </c>
      <c r="M936" s="4">
        <v>6816.96</v>
      </c>
      <c r="N936" s="4">
        <v>6817.0</v>
      </c>
      <c r="O936" s="4">
        <v>565811.0</v>
      </c>
      <c r="P936" s="4">
        <f t="shared" si="1"/>
        <v>39.58333333</v>
      </c>
      <c r="Q936" s="4" t="str">
        <f t="shared" si="2"/>
        <v>Normal</v>
      </c>
      <c r="R936" s="1" t="str">
        <f t="shared" si="3"/>
        <v>Normal</v>
      </c>
      <c r="S936" s="4">
        <f t="shared" si="4"/>
        <v>69.98316159</v>
      </c>
      <c r="T936" s="1" t="str">
        <f t="shared" si="5"/>
        <v>High Cost</v>
      </c>
      <c r="U936" s="4">
        <f t="shared" si="6"/>
        <v>0.008690180997</v>
      </c>
    </row>
    <row r="937">
      <c r="A937" s="4" t="s">
        <v>2107</v>
      </c>
      <c r="B937" s="4" t="s">
        <v>99</v>
      </c>
      <c r="C937" s="4">
        <v>420.3552</v>
      </c>
      <c r="D937" s="4" t="s">
        <v>17</v>
      </c>
      <c r="E937" s="4" t="s">
        <v>27</v>
      </c>
      <c r="F937" s="4">
        <v>89.81</v>
      </c>
      <c r="G937" s="4">
        <v>9.69</v>
      </c>
      <c r="H937" s="4">
        <v>2.4541098891E10</v>
      </c>
      <c r="I937" s="4">
        <v>2.7856259433E10</v>
      </c>
      <c r="J937" s="4" t="s">
        <v>2108</v>
      </c>
      <c r="K937" s="5">
        <v>45299.86875</v>
      </c>
      <c r="L937" s="4">
        <v>6.93</v>
      </c>
      <c r="M937" s="4">
        <v>2913.06</v>
      </c>
      <c r="N937" s="4">
        <v>2913.0</v>
      </c>
      <c r="O937" s="4">
        <v>241779.0</v>
      </c>
      <c r="P937" s="4">
        <f t="shared" si="1"/>
        <v>85.05</v>
      </c>
      <c r="Q937" s="4" t="str">
        <f t="shared" si="2"/>
        <v>High</v>
      </c>
      <c r="R937" s="1" t="str">
        <f t="shared" si="3"/>
        <v>Underutilized</v>
      </c>
      <c r="S937" s="4">
        <f t="shared" si="4"/>
        <v>48.79884266</v>
      </c>
      <c r="T937" s="1" t="str">
        <f t="shared" si="5"/>
        <v>High Cost</v>
      </c>
      <c r="U937" s="4">
        <f t="shared" si="6"/>
        <v>0.02057664231</v>
      </c>
    </row>
    <row r="938">
      <c r="A938" s="4" t="s">
        <v>2109</v>
      </c>
      <c r="B938" s="4" t="s">
        <v>122</v>
      </c>
      <c r="C938" s="4">
        <v>953.3639</v>
      </c>
      <c r="D938" s="4" t="s">
        <v>17</v>
      </c>
      <c r="E938" s="4" t="s">
        <v>18</v>
      </c>
      <c r="F938" s="4">
        <v>24.74</v>
      </c>
      <c r="G938" s="4">
        <v>87.26</v>
      </c>
      <c r="H938" s="4">
        <v>8.6477894088E10</v>
      </c>
      <c r="I938" s="4">
        <v>9.4732303065E10</v>
      </c>
      <c r="J938" s="4" t="s">
        <v>2110</v>
      </c>
      <c r="K938" s="4" t="s">
        <v>2111</v>
      </c>
      <c r="L938" s="4">
        <v>5.69</v>
      </c>
      <c r="M938" s="4">
        <v>5424.64</v>
      </c>
      <c r="N938" s="4">
        <v>5425.0</v>
      </c>
      <c r="O938" s="4">
        <v>450275.0</v>
      </c>
      <c r="P938" s="4">
        <f t="shared" si="1"/>
        <v>45.06666667</v>
      </c>
      <c r="Q938" s="4" t="str">
        <f t="shared" si="2"/>
        <v>Underutilized</v>
      </c>
      <c r="R938" s="1" t="str">
        <f t="shared" si="3"/>
        <v>High</v>
      </c>
      <c r="S938" s="4">
        <f t="shared" si="4"/>
        <v>168.7651474</v>
      </c>
      <c r="T938" s="1" t="str">
        <f t="shared" si="5"/>
        <v>High Cost</v>
      </c>
      <c r="U938" s="4">
        <f t="shared" si="6"/>
        <v>0.01243684415</v>
      </c>
    </row>
    <row r="939">
      <c r="A939" s="4" t="s">
        <v>2112</v>
      </c>
      <c r="B939" s="4" t="s">
        <v>36</v>
      </c>
      <c r="C939" s="4">
        <v>203.471</v>
      </c>
      <c r="D939" s="4" t="s">
        <v>17</v>
      </c>
      <c r="E939" s="4" t="s">
        <v>105</v>
      </c>
      <c r="F939" s="4">
        <v>25.97</v>
      </c>
      <c r="G939" s="4">
        <v>35.92</v>
      </c>
      <c r="H939" s="4">
        <v>5.4961037038E10</v>
      </c>
      <c r="I939" s="4">
        <v>6.4188062442E10</v>
      </c>
      <c r="J939" s="4" t="s">
        <v>2113</v>
      </c>
      <c r="K939" s="4" t="s">
        <v>2114</v>
      </c>
      <c r="L939" s="4">
        <v>9.28</v>
      </c>
      <c r="M939" s="4">
        <v>1888.21</v>
      </c>
      <c r="N939" s="4">
        <v>1888.0</v>
      </c>
      <c r="O939" s="4">
        <v>156704.0</v>
      </c>
      <c r="P939" s="4">
        <f t="shared" si="1"/>
        <v>96.4</v>
      </c>
      <c r="Q939" s="4" t="str">
        <f t="shared" si="2"/>
        <v>Underutilized</v>
      </c>
      <c r="R939" s="1" t="str">
        <f t="shared" si="3"/>
        <v>Underutilized</v>
      </c>
      <c r="S939" s="4">
        <f t="shared" si="4"/>
        <v>110.9662461</v>
      </c>
      <c r="T939" s="1" t="str">
        <f t="shared" si="5"/>
        <v>Normal Cost</v>
      </c>
      <c r="U939" s="4">
        <f t="shared" si="6"/>
        <v>0.01974742189</v>
      </c>
    </row>
    <row r="940">
      <c r="A940" s="4" t="s">
        <v>2115</v>
      </c>
      <c r="B940" s="4" t="s">
        <v>122</v>
      </c>
      <c r="C940" s="4">
        <v>178.9791</v>
      </c>
      <c r="D940" s="4" t="s">
        <v>21</v>
      </c>
      <c r="E940" s="4" t="s">
        <v>155</v>
      </c>
      <c r="F940" s="4">
        <v>74.45</v>
      </c>
      <c r="G940" s="4">
        <v>59.61</v>
      </c>
      <c r="H940" s="4">
        <v>5.1923213434E10</v>
      </c>
      <c r="I940" s="4">
        <v>6.1022206143E10</v>
      </c>
      <c r="J940" s="5">
        <v>45329.29861111111</v>
      </c>
      <c r="K940" s="5">
        <v>45480.040972222225</v>
      </c>
      <c r="L940" s="4">
        <v>2.1</v>
      </c>
      <c r="M940" s="4">
        <v>375.86</v>
      </c>
      <c r="N940" s="4">
        <v>376.0</v>
      </c>
      <c r="O940" s="4">
        <v>31208.0</v>
      </c>
      <c r="P940" s="4">
        <f t="shared" si="1"/>
        <v>113.8166667</v>
      </c>
      <c r="Q940" s="4" t="str">
        <f t="shared" si="2"/>
        <v>High</v>
      </c>
      <c r="R940" s="1" t="str">
        <f t="shared" si="3"/>
        <v>Normal</v>
      </c>
      <c r="S940" s="4">
        <f t="shared" si="4"/>
        <v>105.188619</v>
      </c>
      <c r="T940" s="1" t="str">
        <f t="shared" si="5"/>
        <v>Normal Cost</v>
      </c>
      <c r="U940" s="4">
        <f t="shared" si="6"/>
        <v>0.2147846706</v>
      </c>
    </row>
    <row r="941">
      <c r="A941" s="4" t="s">
        <v>2116</v>
      </c>
      <c r="B941" s="4" t="s">
        <v>139</v>
      </c>
      <c r="C941" s="4">
        <v>28.7833</v>
      </c>
      <c r="D941" s="4" t="s">
        <v>42</v>
      </c>
      <c r="E941" s="4" t="s">
        <v>54</v>
      </c>
      <c r="F941" s="4">
        <v>25.53</v>
      </c>
      <c r="G941" s="4">
        <v>26.24</v>
      </c>
      <c r="H941" s="4">
        <v>3.9254762176E10</v>
      </c>
      <c r="I941" s="4">
        <v>4.3503289304E10</v>
      </c>
      <c r="J941" s="5">
        <v>45358.175</v>
      </c>
      <c r="K941" s="5">
        <v>45389.37430555555</v>
      </c>
      <c r="L941" s="4">
        <v>8.12</v>
      </c>
      <c r="M941" s="4">
        <v>233.72</v>
      </c>
      <c r="N941" s="4">
        <v>234.0</v>
      </c>
      <c r="O941" s="4">
        <v>19422.0</v>
      </c>
      <c r="P941" s="4">
        <f t="shared" si="1"/>
        <v>28.78333333</v>
      </c>
      <c r="Q941" s="4" t="str">
        <f t="shared" si="2"/>
        <v>Underutilized</v>
      </c>
      <c r="R941" s="1" t="str">
        <f t="shared" si="3"/>
        <v>Underutilized</v>
      </c>
      <c r="S941" s="4">
        <f t="shared" si="4"/>
        <v>77.07444157</v>
      </c>
      <c r="T941" s="1" t="str">
        <f t="shared" si="5"/>
        <v>Normal Cost</v>
      </c>
      <c r="U941" s="4">
        <f t="shared" si="6"/>
        <v>0.1332766965</v>
      </c>
    </row>
    <row r="942">
      <c r="A942" s="4" t="s">
        <v>2117</v>
      </c>
      <c r="B942" s="4" t="s">
        <v>41</v>
      </c>
      <c r="C942" s="4">
        <v>37.6833</v>
      </c>
      <c r="D942" s="4" t="s">
        <v>42</v>
      </c>
      <c r="E942" s="4" t="s">
        <v>155</v>
      </c>
      <c r="F942" s="4">
        <v>40.96</v>
      </c>
      <c r="G942" s="4">
        <v>17.44</v>
      </c>
      <c r="H942" s="4">
        <v>5.3065520928E10</v>
      </c>
      <c r="I942" s="4">
        <v>5.8262181355E10</v>
      </c>
      <c r="J942" s="4" t="s">
        <v>2118</v>
      </c>
      <c r="K942" s="4" t="s">
        <v>2119</v>
      </c>
      <c r="L942" s="4">
        <v>5.57</v>
      </c>
      <c r="M942" s="4">
        <v>209.9</v>
      </c>
      <c r="N942" s="4">
        <v>210.0</v>
      </c>
      <c r="O942" s="4">
        <v>17430.0</v>
      </c>
      <c r="P942" s="4">
        <f t="shared" si="1"/>
        <v>37.68333333</v>
      </c>
      <c r="Q942" s="4" t="str">
        <f t="shared" si="2"/>
        <v>Normal</v>
      </c>
      <c r="R942" s="1" t="str">
        <f t="shared" si="3"/>
        <v>Underutilized</v>
      </c>
      <c r="S942" s="4">
        <f t="shared" si="4"/>
        <v>103.6820023</v>
      </c>
      <c r="T942" s="1" t="str">
        <f t="shared" si="5"/>
        <v>Normal Cost</v>
      </c>
      <c r="U942" s="4">
        <f t="shared" si="6"/>
        <v>0.1675272519</v>
      </c>
    </row>
    <row r="943">
      <c r="A943" s="4" t="s">
        <v>2120</v>
      </c>
      <c r="B943" s="4" t="s">
        <v>112</v>
      </c>
      <c r="C943" s="4">
        <v>82.5667</v>
      </c>
      <c r="D943" s="4" t="s">
        <v>42</v>
      </c>
      <c r="E943" s="4" t="s">
        <v>123</v>
      </c>
      <c r="F943" s="4">
        <v>12.74</v>
      </c>
      <c r="G943" s="4">
        <v>46.18</v>
      </c>
      <c r="H943" s="4">
        <v>7.6915170111E10</v>
      </c>
      <c r="I943" s="4">
        <v>7.8654273956E10</v>
      </c>
      <c r="J943" s="4" t="s">
        <v>2121</v>
      </c>
      <c r="K943" s="5">
        <v>45300.80138888889</v>
      </c>
      <c r="L943" s="4">
        <v>5.89</v>
      </c>
      <c r="M943" s="4">
        <v>486.32</v>
      </c>
      <c r="N943" s="4">
        <v>486.0</v>
      </c>
      <c r="O943" s="4">
        <v>40338.0</v>
      </c>
      <c r="P943" s="4">
        <f t="shared" si="1"/>
        <v>82.56666667</v>
      </c>
      <c r="Q943" s="4" t="str">
        <f t="shared" si="2"/>
        <v>Underutilized</v>
      </c>
      <c r="R943" s="1" t="str">
        <f t="shared" si="3"/>
        <v>Normal</v>
      </c>
      <c r="S943" s="4">
        <f t="shared" si="4"/>
        <v>144.8853352</v>
      </c>
      <c r="T943" s="1" t="str">
        <f t="shared" si="5"/>
        <v>Normal Cost</v>
      </c>
      <c r="U943" s="4">
        <f t="shared" si="6"/>
        <v>0.07303287223</v>
      </c>
    </row>
    <row r="944">
      <c r="A944" s="4" t="s">
        <v>2122</v>
      </c>
      <c r="B944" s="4" t="s">
        <v>112</v>
      </c>
      <c r="C944" s="4">
        <v>76.6833</v>
      </c>
      <c r="D944" s="4" t="s">
        <v>42</v>
      </c>
      <c r="E944" s="4" t="s">
        <v>155</v>
      </c>
      <c r="F944" s="4">
        <v>66.18</v>
      </c>
      <c r="G944" s="4">
        <v>54.39</v>
      </c>
      <c r="H944" s="4">
        <v>6.641579564E9</v>
      </c>
      <c r="I944" s="4">
        <v>6.709560828E9</v>
      </c>
      <c r="J944" s="5">
        <v>45420.597916666666</v>
      </c>
      <c r="K944" s="5">
        <v>45512.79305555556</v>
      </c>
      <c r="L944" s="4">
        <v>1.59</v>
      </c>
      <c r="M944" s="4">
        <v>121.93</v>
      </c>
      <c r="N944" s="4">
        <v>122.0</v>
      </c>
      <c r="O944" s="4">
        <v>10126.0</v>
      </c>
      <c r="P944" s="4">
        <f t="shared" si="1"/>
        <v>76.68333333</v>
      </c>
      <c r="Q944" s="4" t="str">
        <f t="shared" si="2"/>
        <v>Normal</v>
      </c>
      <c r="R944" s="1" t="str">
        <f t="shared" si="3"/>
        <v>Normal</v>
      </c>
      <c r="S944" s="4">
        <f t="shared" si="4"/>
        <v>12.43421844</v>
      </c>
      <c r="T944" s="1" t="str">
        <f t="shared" si="5"/>
        <v>Normal Cost</v>
      </c>
      <c r="U944" s="4">
        <f t="shared" si="6"/>
        <v>0.5953486075</v>
      </c>
    </row>
    <row r="945">
      <c r="A945" s="4" t="s">
        <v>2123</v>
      </c>
      <c r="B945" s="4" t="s">
        <v>41</v>
      </c>
      <c r="C945" s="4">
        <v>128.8</v>
      </c>
      <c r="D945" s="4" t="s">
        <v>42</v>
      </c>
      <c r="E945" s="4" t="s">
        <v>70</v>
      </c>
      <c r="F945" s="4">
        <v>63.58</v>
      </c>
      <c r="G945" s="4">
        <v>55.02</v>
      </c>
      <c r="H945" s="4">
        <v>4.1511369742E10</v>
      </c>
      <c r="I945" s="4">
        <v>4.5873428076E10</v>
      </c>
      <c r="J945" s="5">
        <v>45604.813888888886</v>
      </c>
      <c r="K945" s="4" t="s">
        <v>2124</v>
      </c>
      <c r="L945" s="4">
        <v>3.7</v>
      </c>
      <c r="M945" s="4">
        <v>476.56</v>
      </c>
      <c r="N945" s="4">
        <v>477.0</v>
      </c>
      <c r="O945" s="4">
        <v>39591.0</v>
      </c>
      <c r="P945" s="4">
        <f t="shared" si="1"/>
        <v>128.8</v>
      </c>
      <c r="Q945" s="4" t="str">
        <f t="shared" si="2"/>
        <v>Normal</v>
      </c>
      <c r="R945" s="1" t="str">
        <f t="shared" si="3"/>
        <v>Normal</v>
      </c>
      <c r="S945" s="4">
        <f t="shared" si="4"/>
        <v>81.38343489</v>
      </c>
      <c r="T945" s="1" t="str">
        <f t="shared" si="5"/>
        <v>Normal Cost</v>
      </c>
      <c r="U945" s="4">
        <f t="shared" si="6"/>
        <v>0.149781516</v>
      </c>
    </row>
    <row r="946">
      <c r="A946" s="4" t="s">
        <v>2125</v>
      </c>
      <c r="B946" s="4" t="s">
        <v>273</v>
      </c>
      <c r="C946" s="4">
        <v>414.6583</v>
      </c>
      <c r="D946" s="4" t="s">
        <v>17</v>
      </c>
      <c r="E946" s="4" t="s">
        <v>58</v>
      </c>
      <c r="F946" s="4">
        <v>18.21</v>
      </c>
      <c r="G946" s="4">
        <v>45.07</v>
      </c>
      <c r="H946" s="4">
        <v>7.6235665146E10</v>
      </c>
      <c r="I946" s="4">
        <v>8.4644895301E10</v>
      </c>
      <c r="J946" s="4" t="s">
        <v>2126</v>
      </c>
      <c r="K946" s="4" t="s">
        <v>2127</v>
      </c>
      <c r="L946" s="4">
        <v>4.56</v>
      </c>
      <c r="M946" s="4">
        <v>1890.84</v>
      </c>
      <c r="N946" s="4">
        <v>1891.0</v>
      </c>
      <c r="O946" s="4">
        <v>156953.0</v>
      </c>
      <c r="P946" s="4">
        <f t="shared" si="1"/>
        <v>39.55</v>
      </c>
      <c r="Q946" s="4" t="str">
        <f t="shared" si="2"/>
        <v>Underutilized</v>
      </c>
      <c r="R946" s="1" t="str">
        <f t="shared" si="3"/>
        <v>Normal</v>
      </c>
      <c r="S946" s="4">
        <f t="shared" si="4"/>
        <v>149.8316978</v>
      </c>
      <c r="T946" s="1" t="str">
        <f t="shared" si="5"/>
        <v>Normal Cost</v>
      </c>
      <c r="U946" s="4">
        <f t="shared" si="6"/>
        <v>0.02015890107</v>
      </c>
    </row>
    <row r="947">
      <c r="A947" s="4" t="s">
        <v>2128</v>
      </c>
      <c r="B947" s="4" t="s">
        <v>16</v>
      </c>
      <c r="C947" s="4">
        <v>630.7125</v>
      </c>
      <c r="D947" s="4" t="s">
        <v>17</v>
      </c>
      <c r="E947" s="4" t="s">
        <v>32</v>
      </c>
      <c r="F947" s="4">
        <v>54.68</v>
      </c>
      <c r="G947" s="4">
        <v>87.03</v>
      </c>
      <c r="H947" s="4">
        <v>8.786494055E9</v>
      </c>
      <c r="I947" s="4">
        <v>1.647132585E10</v>
      </c>
      <c r="J947" s="4" t="s">
        <v>2129</v>
      </c>
      <c r="K947" s="4" t="s">
        <v>2130</v>
      </c>
      <c r="L947" s="4">
        <v>1.85</v>
      </c>
      <c r="M947" s="4">
        <v>1166.82</v>
      </c>
      <c r="N947" s="4">
        <v>1167.0</v>
      </c>
      <c r="O947" s="4">
        <v>96861.0</v>
      </c>
      <c r="P947" s="4">
        <f t="shared" si="1"/>
        <v>40.75</v>
      </c>
      <c r="Q947" s="4" t="str">
        <f t="shared" si="2"/>
        <v>Normal</v>
      </c>
      <c r="R947" s="1" t="str">
        <f t="shared" si="3"/>
        <v>High</v>
      </c>
      <c r="S947" s="4">
        <f t="shared" si="4"/>
        <v>23.52317786</v>
      </c>
      <c r="T947" s="1" t="str">
        <f t="shared" si="5"/>
        <v>Normal Cost</v>
      </c>
      <c r="U947" s="4">
        <f t="shared" si="6"/>
        <v>0.07315121669</v>
      </c>
    </row>
    <row r="948">
      <c r="A948" s="4" t="s">
        <v>2131</v>
      </c>
      <c r="B948" s="4" t="s">
        <v>79</v>
      </c>
      <c r="C948" s="4">
        <v>49.8981</v>
      </c>
      <c r="D948" s="4" t="s">
        <v>17</v>
      </c>
      <c r="E948" s="4" t="s">
        <v>27</v>
      </c>
      <c r="F948" s="4">
        <v>6.38</v>
      </c>
      <c r="G948" s="4">
        <v>81.03</v>
      </c>
      <c r="H948" s="4">
        <v>2.5021911702E10</v>
      </c>
      <c r="I948" s="4">
        <v>3.0890344545E10</v>
      </c>
      <c r="J948" s="4" t="s">
        <v>2132</v>
      </c>
      <c r="K948" s="4" t="s">
        <v>2133</v>
      </c>
      <c r="L948" s="4">
        <v>6.35</v>
      </c>
      <c r="M948" s="4">
        <v>316.85</v>
      </c>
      <c r="N948" s="4">
        <v>317.0</v>
      </c>
      <c r="O948" s="4">
        <v>26311.0</v>
      </c>
      <c r="P948" s="4">
        <f t="shared" si="1"/>
        <v>38.78333333</v>
      </c>
      <c r="Q948" s="4" t="str">
        <f t="shared" si="2"/>
        <v>Underutilized</v>
      </c>
      <c r="R948" s="1" t="str">
        <f t="shared" si="3"/>
        <v>High</v>
      </c>
      <c r="S948" s="4">
        <f t="shared" si="4"/>
        <v>52.07234644</v>
      </c>
      <c r="T948" s="1" t="str">
        <f t="shared" si="5"/>
        <v>Normal Cost</v>
      </c>
      <c r="U948" s="4">
        <f t="shared" si="6"/>
        <v>0.1661092319</v>
      </c>
    </row>
    <row r="949">
      <c r="A949" s="4" t="s">
        <v>2134</v>
      </c>
      <c r="B949" s="4" t="s">
        <v>62</v>
      </c>
      <c r="C949" s="4">
        <v>116.4333</v>
      </c>
      <c r="D949" s="4" t="s">
        <v>42</v>
      </c>
      <c r="E949" s="4" t="s">
        <v>18</v>
      </c>
      <c r="F949" s="4">
        <v>5.17</v>
      </c>
      <c r="G949" s="4">
        <v>44.41</v>
      </c>
      <c r="H949" s="4">
        <v>3.2590764217E10</v>
      </c>
      <c r="I949" s="4">
        <v>3.4285952731E10</v>
      </c>
      <c r="J949" s="5">
        <v>45481.89791666667</v>
      </c>
      <c r="K949" s="5">
        <v>45634.74930555555</v>
      </c>
      <c r="L949" s="4">
        <v>2.3</v>
      </c>
      <c r="M949" s="4">
        <v>267.8</v>
      </c>
      <c r="N949" s="4">
        <v>268.0</v>
      </c>
      <c r="O949" s="4">
        <v>22244.0</v>
      </c>
      <c r="P949" s="4">
        <f t="shared" si="1"/>
        <v>116.4333333</v>
      </c>
      <c r="Q949" s="4" t="str">
        <f t="shared" si="2"/>
        <v>Underutilized</v>
      </c>
      <c r="R949" s="1" t="str">
        <f t="shared" si="3"/>
        <v>Normal</v>
      </c>
      <c r="S949" s="4">
        <f t="shared" si="4"/>
        <v>62.28379621</v>
      </c>
      <c r="T949" s="1" t="str">
        <f t="shared" si="5"/>
        <v>Normal Cost</v>
      </c>
      <c r="U949" s="4">
        <f t="shared" si="6"/>
        <v>0.1114457831</v>
      </c>
    </row>
    <row r="950">
      <c r="A950" s="4" t="s">
        <v>2135</v>
      </c>
      <c r="B950" s="4" t="s">
        <v>46</v>
      </c>
      <c r="C950" s="4">
        <v>502.9505</v>
      </c>
      <c r="D950" s="4" t="s">
        <v>17</v>
      </c>
      <c r="E950" s="4" t="s">
        <v>37</v>
      </c>
      <c r="F950" s="4">
        <v>87.46</v>
      </c>
      <c r="G950" s="4">
        <v>31.97</v>
      </c>
      <c r="H950" s="4">
        <v>9.878243182E9</v>
      </c>
      <c r="I950" s="4">
        <v>1.0546174477E10</v>
      </c>
      <c r="J950" s="5">
        <v>45572.00833333333</v>
      </c>
      <c r="K950" s="5">
        <v>45633.48541666667</v>
      </c>
      <c r="L950" s="4">
        <v>5.53</v>
      </c>
      <c r="M950" s="4">
        <v>2781.32</v>
      </c>
      <c r="N950" s="4">
        <v>2781.0</v>
      </c>
      <c r="O950" s="4">
        <v>230823.0</v>
      </c>
      <c r="P950" s="4">
        <f t="shared" si="1"/>
        <v>59.45</v>
      </c>
      <c r="Q950" s="4" t="str">
        <f t="shared" si="2"/>
        <v>High</v>
      </c>
      <c r="R950" s="1" t="str">
        <f t="shared" si="3"/>
        <v>Underutilized</v>
      </c>
      <c r="S950" s="4">
        <f t="shared" si="4"/>
        <v>19.02172124</v>
      </c>
      <c r="T950" s="1" t="str">
        <f t="shared" si="5"/>
        <v>High Cost</v>
      </c>
      <c r="U950" s="4">
        <f t="shared" si="6"/>
        <v>0.02587047218</v>
      </c>
    </row>
    <row r="951">
      <c r="A951" s="4" t="s">
        <v>2136</v>
      </c>
      <c r="B951" s="4" t="s">
        <v>16</v>
      </c>
      <c r="C951" s="4">
        <v>530.888</v>
      </c>
      <c r="D951" s="4" t="s">
        <v>17</v>
      </c>
      <c r="E951" s="4" t="s">
        <v>70</v>
      </c>
      <c r="F951" s="4">
        <v>19.48</v>
      </c>
      <c r="G951" s="4">
        <v>46.39</v>
      </c>
      <c r="H951" s="4">
        <v>9.7745158698E10</v>
      </c>
      <c r="I951" s="6">
        <v>1.02047E11</v>
      </c>
      <c r="J951" s="4" t="s">
        <v>2137</v>
      </c>
      <c r="K951" s="4" t="s">
        <v>2138</v>
      </c>
      <c r="L951" s="4">
        <v>4.2</v>
      </c>
      <c r="M951" s="4">
        <v>2229.73</v>
      </c>
      <c r="N951" s="4">
        <v>2230.0</v>
      </c>
      <c r="O951" s="4">
        <v>185090.0</v>
      </c>
      <c r="P951" s="4">
        <f t="shared" si="1"/>
        <v>70.35</v>
      </c>
      <c r="Q951" s="4" t="str">
        <f t="shared" si="2"/>
        <v>Underutilized</v>
      </c>
      <c r="R951" s="1" t="str">
        <f t="shared" si="3"/>
        <v>Normal</v>
      </c>
      <c r="S951" s="6">
        <f t="shared" si="4"/>
        <v>186.0709476</v>
      </c>
      <c r="T951" s="1" t="str">
        <f t="shared" si="5"/>
        <v>High Cost</v>
      </c>
      <c r="U951" s="4">
        <f t="shared" si="6"/>
        <v>0.01779404614</v>
      </c>
    </row>
    <row r="952">
      <c r="A952" s="4" t="s">
        <v>2139</v>
      </c>
      <c r="B952" s="4" t="s">
        <v>41</v>
      </c>
      <c r="C952" s="4">
        <v>47.15</v>
      </c>
      <c r="D952" s="4" t="s">
        <v>42</v>
      </c>
      <c r="E952" s="4" t="s">
        <v>54</v>
      </c>
      <c r="F952" s="4">
        <v>13.75</v>
      </c>
      <c r="G952" s="4">
        <v>88.12</v>
      </c>
      <c r="H952" s="4">
        <v>9.8525753914E10</v>
      </c>
      <c r="I952" s="4">
        <v>9.9984623576E10</v>
      </c>
      <c r="J952" s="4" t="s">
        <v>2140</v>
      </c>
      <c r="K952" s="4" t="s">
        <v>2141</v>
      </c>
      <c r="L952" s="4">
        <v>6.05</v>
      </c>
      <c r="M952" s="4">
        <v>285.26</v>
      </c>
      <c r="N952" s="4">
        <v>285.0</v>
      </c>
      <c r="O952" s="4">
        <v>23655.0</v>
      </c>
      <c r="P952" s="4">
        <f t="shared" si="1"/>
        <v>47.15</v>
      </c>
      <c r="Q952" s="4" t="str">
        <f t="shared" si="2"/>
        <v>Underutilized</v>
      </c>
      <c r="R952" s="1" t="str">
        <f t="shared" si="3"/>
        <v>High</v>
      </c>
      <c r="S952" s="4">
        <f t="shared" si="4"/>
        <v>184.8771959</v>
      </c>
      <c r="T952" s="1" t="str">
        <f t="shared" si="5"/>
        <v>Normal Cost</v>
      </c>
      <c r="U952" s="4">
        <f t="shared" si="6"/>
        <v>0.2153244557</v>
      </c>
    </row>
    <row r="953">
      <c r="A953" s="4" t="s">
        <v>2142</v>
      </c>
      <c r="B953" s="4" t="s">
        <v>57</v>
      </c>
      <c r="C953" s="4">
        <v>966.1292</v>
      </c>
      <c r="D953" s="4" t="s">
        <v>17</v>
      </c>
      <c r="E953" s="4" t="s">
        <v>54</v>
      </c>
      <c r="F953" s="4">
        <v>59.27</v>
      </c>
      <c r="G953" s="4">
        <v>52.16</v>
      </c>
      <c r="H953" s="4">
        <v>1.8658664146E10</v>
      </c>
      <c r="I953" s="4">
        <v>2.8407569512E10</v>
      </c>
      <c r="J953" s="4" t="s">
        <v>2143</v>
      </c>
      <c r="K953" s="4" t="s">
        <v>2144</v>
      </c>
      <c r="L953" s="4">
        <v>6.68</v>
      </c>
      <c r="M953" s="4">
        <v>6453.74</v>
      </c>
      <c r="N953" s="4">
        <v>6454.0</v>
      </c>
      <c r="O953" s="4">
        <v>535682.0</v>
      </c>
      <c r="P953" s="4">
        <f t="shared" si="1"/>
        <v>68.65</v>
      </c>
      <c r="Q953" s="4" t="str">
        <f t="shared" si="2"/>
        <v>Normal</v>
      </c>
      <c r="R953" s="1" t="str">
        <f t="shared" si="3"/>
        <v>Normal</v>
      </c>
      <c r="S953" s="4">
        <f t="shared" si="4"/>
        <v>43.83384591</v>
      </c>
      <c r="T953" s="1" t="str">
        <f t="shared" si="5"/>
        <v>High Cost</v>
      </c>
      <c r="U953" s="4">
        <f t="shared" si="6"/>
        <v>0.01040076015</v>
      </c>
    </row>
    <row r="954">
      <c r="A954" s="4" t="s">
        <v>2145</v>
      </c>
      <c r="B954" s="4" t="s">
        <v>62</v>
      </c>
      <c r="C954" s="4">
        <v>116.2833</v>
      </c>
      <c r="D954" s="4" t="s">
        <v>42</v>
      </c>
      <c r="E954" s="4" t="s">
        <v>22</v>
      </c>
      <c r="F954" s="4">
        <v>48.26</v>
      </c>
      <c r="G954" s="4">
        <v>76.22</v>
      </c>
      <c r="H954" s="4">
        <v>3.5653892189E10</v>
      </c>
      <c r="I954" s="4">
        <v>4.1713554786E10</v>
      </c>
      <c r="J954" s="4" t="s">
        <v>2146</v>
      </c>
      <c r="K954" s="4" t="s">
        <v>2147</v>
      </c>
      <c r="L954" s="4">
        <v>3.53</v>
      </c>
      <c r="M954" s="4">
        <v>410.48</v>
      </c>
      <c r="N954" s="4">
        <v>410.0</v>
      </c>
      <c r="O954" s="4">
        <v>34030.0</v>
      </c>
      <c r="P954" s="4">
        <f t="shared" si="1"/>
        <v>116.2833333</v>
      </c>
      <c r="Q954" s="4" t="str">
        <f t="shared" si="2"/>
        <v>Normal</v>
      </c>
      <c r="R954" s="1" t="str">
        <f t="shared" si="3"/>
        <v>High</v>
      </c>
      <c r="S954" s="4">
        <f t="shared" si="4"/>
        <v>72.05404991</v>
      </c>
      <c r="T954" s="1" t="str">
        <f t="shared" si="5"/>
        <v>Normal Cost</v>
      </c>
      <c r="U954" s="4">
        <f t="shared" si="6"/>
        <v>0.1828974434</v>
      </c>
    </row>
    <row r="955">
      <c r="A955" s="4" t="s">
        <v>2148</v>
      </c>
      <c r="B955" s="4" t="s">
        <v>41</v>
      </c>
      <c r="C955" s="4">
        <v>65.2833</v>
      </c>
      <c r="D955" s="4" t="s">
        <v>42</v>
      </c>
      <c r="E955" s="4" t="s">
        <v>18</v>
      </c>
      <c r="F955" s="4">
        <v>33.43</v>
      </c>
      <c r="G955" s="4">
        <v>98.81</v>
      </c>
      <c r="H955" s="4">
        <v>1.301237514E10</v>
      </c>
      <c r="I955" s="4">
        <v>2.2589729918E10</v>
      </c>
      <c r="J955" s="4" t="s">
        <v>2149</v>
      </c>
      <c r="K955" s="4" t="s">
        <v>2150</v>
      </c>
      <c r="L955" s="4">
        <v>1.53</v>
      </c>
      <c r="M955" s="4">
        <v>99.88</v>
      </c>
      <c r="N955" s="4">
        <v>100.0</v>
      </c>
      <c r="O955" s="4">
        <v>8300.0</v>
      </c>
      <c r="P955" s="4">
        <f t="shared" si="1"/>
        <v>65.28333333</v>
      </c>
      <c r="Q955" s="4" t="str">
        <f t="shared" si="2"/>
        <v>Normal</v>
      </c>
      <c r="R955" s="1" t="str">
        <f t="shared" si="3"/>
        <v>High</v>
      </c>
      <c r="S955" s="4">
        <f t="shared" si="4"/>
        <v>33.15704414</v>
      </c>
      <c r="T955" s="1" t="str">
        <f t="shared" si="5"/>
        <v>Normal Cost</v>
      </c>
      <c r="U955" s="4">
        <f t="shared" si="6"/>
        <v>0.796626506</v>
      </c>
    </row>
    <row r="956">
      <c r="A956" s="4" t="s">
        <v>2151</v>
      </c>
      <c r="B956" s="4" t="s">
        <v>60</v>
      </c>
      <c r="C956" s="4">
        <v>39.0333</v>
      </c>
      <c r="D956" s="4" t="s">
        <v>42</v>
      </c>
      <c r="E956" s="4" t="s">
        <v>70</v>
      </c>
      <c r="F956" s="4">
        <v>28.36</v>
      </c>
      <c r="G956" s="4">
        <v>60.41</v>
      </c>
      <c r="H956" s="4">
        <v>1.7071073345E10</v>
      </c>
      <c r="I956" s="4">
        <v>1.9720613386E10</v>
      </c>
      <c r="J956" s="5">
        <v>45330.76736111111</v>
      </c>
      <c r="K956" s="5">
        <v>45390.39375</v>
      </c>
      <c r="L956" s="4">
        <v>4.19</v>
      </c>
      <c r="M956" s="4">
        <v>163.55</v>
      </c>
      <c r="N956" s="4">
        <v>164.0</v>
      </c>
      <c r="O956" s="4">
        <v>13612.0</v>
      </c>
      <c r="P956" s="4">
        <f t="shared" si="1"/>
        <v>39.03333333</v>
      </c>
      <c r="Q956" s="4" t="str">
        <f t="shared" si="2"/>
        <v>Underutilized</v>
      </c>
      <c r="R956" s="1" t="str">
        <f t="shared" si="3"/>
        <v>Normal</v>
      </c>
      <c r="S956" s="4">
        <f t="shared" si="4"/>
        <v>34.26492841</v>
      </c>
      <c r="T956" s="1" t="str">
        <f t="shared" si="5"/>
        <v>Normal Cost</v>
      </c>
      <c r="U956" s="4">
        <f t="shared" si="6"/>
        <v>0.326072583</v>
      </c>
    </row>
    <row r="957">
      <c r="A957" s="4" t="s">
        <v>2152</v>
      </c>
      <c r="B957" s="4" t="s">
        <v>36</v>
      </c>
      <c r="C957" s="4">
        <v>125.9564</v>
      </c>
      <c r="D957" s="4" t="s">
        <v>21</v>
      </c>
      <c r="E957" s="4" t="s">
        <v>58</v>
      </c>
      <c r="F957" s="4">
        <v>7.24</v>
      </c>
      <c r="G957" s="4">
        <v>88.14</v>
      </c>
      <c r="H957" s="4">
        <v>7.0590233874E10</v>
      </c>
      <c r="I957" s="4">
        <v>7.4188874592E10</v>
      </c>
      <c r="J957" s="4" t="s">
        <v>2153</v>
      </c>
      <c r="K957" s="4" t="s">
        <v>2154</v>
      </c>
      <c r="L957" s="4">
        <v>6.81</v>
      </c>
      <c r="M957" s="4">
        <v>857.76</v>
      </c>
      <c r="N957" s="4">
        <v>858.0</v>
      </c>
      <c r="O957" s="4">
        <v>71214.0</v>
      </c>
      <c r="P957" s="4">
        <f t="shared" si="1"/>
        <v>28.26666667</v>
      </c>
      <c r="Q957" s="4" t="str">
        <f t="shared" si="2"/>
        <v>Underutilized</v>
      </c>
      <c r="R957" s="1" t="str">
        <f t="shared" si="3"/>
        <v>High</v>
      </c>
      <c r="S957" s="4">
        <f t="shared" si="4"/>
        <v>134.836052</v>
      </c>
      <c r="T957" s="1" t="str">
        <f t="shared" si="5"/>
        <v>Normal Cost</v>
      </c>
      <c r="U957" s="4">
        <f t="shared" si="6"/>
        <v>0.06696716938</v>
      </c>
    </row>
    <row r="958">
      <c r="A958" s="4" t="s">
        <v>2155</v>
      </c>
      <c r="B958" s="4" t="s">
        <v>46</v>
      </c>
      <c r="C958" s="4">
        <v>277.8297</v>
      </c>
      <c r="D958" s="4" t="s">
        <v>21</v>
      </c>
      <c r="E958" s="4" t="s">
        <v>58</v>
      </c>
      <c r="F958" s="4">
        <v>29.26</v>
      </c>
      <c r="G958" s="4">
        <v>5.84</v>
      </c>
      <c r="H958" s="4">
        <v>7.2137164877E10</v>
      </c>
      <c r="I958" s="4">
        <v>8.0001823378E10</v>
      </c>
      <c r="J958" s="5">
        <v>45481.066666666666</v>
      </c>
      <c r="K958" s="5">
        <v>45634.888194444444</v>
      </c>
      <c r="L958" s="4">
        <v>8.89</v>
      </c>
      <c r="M958" s="4">
        <v>2469.91</v>
      </c>
      <c r="N958" s="4">
        <v>2470.0</v>
      </c>
      <c r="O958" s="4">
        <v>205010.0</v>
      </c>
      <c r="P958" s="4">
        <f t="shared" si="1"/>
        <v>139.7166667</v>
      </c>
      <c r="Q958" s="4" t="str">
        <f t="shared" si="2"/>
        <v>Underutilized</v>
      </c>
      <c r="R958" s="1" t="str">
        <f t="shared" si="3"/>
        <v>Underutilized</v>
      </c>
      <c r="S958" s="4">
        <f t="shared" si="4"/>
        <v>141.6904742</v>
      </c>
      <c r="T958" s="1" t="str">
        <f t="shared" si="5"/>
        <v>High Cost</v>
      </c>
      <c r="U958" s="4">
        <f t="shared" si="6"/>
        <v>0.008560558022</v>
      </c>
    </row>
    <row r="959">
      <c r="A959" s="4" t="s">
        <v>2156</v>
      </c>
      <c r="B959" s="4" t="s">
        <v>79</v>
      </c>
      <c r="C959" s="4">
        <v>367.5864</v>
      </c>
      <c r="D959" s="4" t="s">
        <v>17</v>
      </c>
      <c r="E959" s="4" t="s">
        <v>22</v>
      </c>
      <c r="F959" s="4">
        <v>50.46</v>
      </c>
      <c r="G959" s="4">
        <v>15.86</v>
      </c>
      <c r="H959" s="4">
        <v>4.5875770508E10</v>
      </c>
      <c r="I959" s="4">
        <v>4.6494768677E10</v>
      </c>
      <c r="J959" s="4" t="s">
        <v>2157</v>
      </c>
      <c r="K959" s="4" t="s">
        <v>2158</v>
      </c>
      <c r="L959" s="4">
        <v>4.77</v>
      </c>
      <c r="M959" s="4">
        <v>1753.39</v>
      </c>
      <c r="N959" s="4">
        <v>1753.0</v>
      </c>
      <c r="O959" s="4">
        <v>145499.0</v>
      </c>
      <c r="P959" s="4">
        <f t="shared" si="1"/>
        <v>139.3333333</v>
      </c>
      <c r="Q959" s="4" t="str">
        <f t="shared" si="2"/>
        <v>Normal</v>
      </c>
      <c r="R959" s="1" t="str">
        <f t="shared" si="3"/>
        <v>Underutilized</v>
      </c>
      <c r="S959" s="4">
        <f t="shared" si="4"/>
        <v>86.02676837</v>
      </c>
      <c r="T959" s="1" t="str">
        <f t="shared" si="5"/>
        <v>Normal Cost</v>
      </c>
      <c r="U959" s="4">
        <f t="shared" si="6"/>
        <v>0.02279053464</v>
      </c>
    </row>
    <row r="960">
      <c r="A960" s="4" t="s">
        <v>2159</v>
      </c>
      <c r="B960" s="4" t="s">
        <v>169</v>
      </c>
      <c r="C960" s="4">
        <v>615.9233</v>
      </c>
      <c r="D960" s="4" t="s">
        <v>17</v>
      </c>
      <c r="E960" s="4" t="s">
        <v>37</v>
      </c>
      <c r="F960" s="4">
        <v>46.44</v>
      </c>
      <c r="G960" s="4">
        <v>26.05</v>
      </c>
      <c r="H960" s="4">
        <v>1.7512386922E10</v>
      </c>
      <c r="I960" s="4">
        <v>2.3892346198E10</v>
      </c>
      <c r="J960" s="5">
        <v>45573.850694444445</v>
      </c>
      <c r="K960" s="4" t="s">
        <v>2160</v>
      </c>
      <c r="L960" s="4">
        <v>1.31</v>
      </c>
      <c r="M960" s="4">
        <v>806.86</v>
      </c>
      <c r="N960" s="4">
        <v>807.0</v>
      </c>
      <c r="O960" s="4">
        <v>66981.0</v>
      </c>
      <c r="P960" s="4">
        <f t="shared" si="1"/>
        <v>90.31666667</v>
      </c>
      <c r="Q960" s="4" t="str">
        <f t="shared" si="2"/>
        <v>Normal</v>
      </c>
      <c r="R960" s="1" t="str">
        <f t="shared" si="3"/>
        <v>Underutilized</v>
      </c>
      <c r="S960" s="4">
        <f t="shared" si="4"/>
        <v>38.56116265</v>
      </c>
      <c r="T960" s="1" t="str">
        <f t="shared" si="5"/>
        <v>Normal Cost</v>
      </c>
      <c r="U960" s="4">
        <f t="shared" si="6"/>
        <v>0.05411236022</v>
      </c>
    </row>
    <row r="961">
      <c r="A961" s="4" t="s">
        <v>2161</v>
      </c>
      <c r="B961" s="4" t="s">
        <v>60</v>
      </c>
      <c r="C961" s="4">
        <v>127.7333</v>
      </c>
      <c r="D961" s="4" t="s">
        <v>42</v>
      </c>
      <c r="E961" s="4" t="s">
        <v>37</v>
      </c>
      <c r="F961" s="4">
        <v>14.64</v>
      </c>
      <c r="G961" s="4">
        <v>17.36</v>
      </c>
      <c r="H961" s="4">
        <v>5.838993983E9</v>
      </c>
      <c r="I961" s="4">
        <v>8.497442468E9</v>
      </c>
      <c r="J961" s="5">
        <v>45390.225694444445</v>
      </c>
      <c r="K961" s="5">
        <v>45543.54791666667</v>
      </c>
      <c r="L961" s="4">
        <v>7.8</v>
      </c>
      <c r="M961" s="4">
        <v>996.32</v>
      </c>
      <c r="N961" s="4">
        <v>996.0</v>
      </c>
      <c r="O961" s="4">
        <v>82668.0</v>
      </c>
      <c r="P961" s="4">
        <f t="shared" si="1"/>
        <v>127.7333333</v>
      </c>
      <c r="Q961" s="4" t="str">
        <f t="shared" si="2"/>
        <v>Underutilized</v>
      </c>
      <c r="R961" s="1" t="str">
        <f t="shared" si="3"/>
        <v>Underutilized</v>
      </c>
      <c r="S961" s="4">
        <f t="shared" si="4"/>
        <v>13.35184691</v>
      </c>
      <c r="T961" s="1" t="str">
        <f t="shared" si="5"/>
        <v>Normal Cost</v>
      </c>
      <c r="U961" s="4">
        <f t="shared" si="6"/>
        <v>0.01935452654</v>
      </c>
    </row>
    <row r="962">
      <c r="A962" s="4" t="s">
        <v>2162</v>
      </c>
      <c r="B962" s="4" t="s">
        <v>36</v>
      </c>
      <c r="C962" s="4">
        <v>759.7956</v>
      </c>
      <c r="D962" s="4" t="s">
        <v>17</v>
      </c>
      <c r="E962" s="4" t="s">
        <v>54</v>
      </c>
      <c r="F962" s="4">
        <v>43.68</v>
      </c>
      <c r="G962" s="4">
        <v>4.57</v>
      </c>
      <c r="H962" s="4">
        <v>1.8601085588E10</v>
      </c>
      <c r="I962" s="4">
        <v>2.2034078014E10</v>
      </c>
      <c r="J962" s="5">
        <v>45603.870833333334</v>
      </c>
      <c r="K962" s="4" t="s">
        <v>2163</v>
      </c>
      <c r="L962" s="4">
        <v>9.89</v>
      </c>
      <c r="M962" s="4">
        <v>7514.38</v>
      </c>
      <c r="N962" s="4">
        <v>7514.0</v>
      </c>
      <c r="O962" s="4">
        <v>623662.0</v>
      </c>
      <c r="P962" s="4">
        <f t="shared" si="1"/>
        <v>112.6666667</v>
      </c>
      <c r="Q962" s="4" t="str">
        <f t="shared" si="2"/>
        <v>Normal</v>
      </c>
      <c r="R962" s="1" t="str">
        <f t="shared" si="3"/>
        <v>Underutilized</v>
      </c>
      <c r="S962" s="4">
        <f t="shared" si="4"/>
        <v>37.84444519</v>
      </c>
      <c r="T962" s="1" t="str">
        <f t="shared" si="5"/>
        <v>High Cost</v>
      </c>
      <c r="U962" s="4">
        <f t="shared" si="6"/>
        <v>0.003868281216</v>
      </c>
    </row>
    <row r="963">
      <c r="A963" s="4" t="s">
        <v>2164</v>
      </c>
      <c r="B963" s="4" t="s">
        <v>36</v>
      </c>
      <c r="C963" s="4">
        <v>340.3693</v>
      </c>
      <c r="D963" s="4" t="s">
        <v>17</v>
      </c>
      <c r="E963" s="4" t="s">
        <v>37</v>
      </c>
      <c r="F963" s="4">
        <v>2.54</v>
      </c>
      <c r="G963" s="4">
        <v>73.14</v>
      </c>
      <c r="H963" s="4">
        <v>6.6907417382E10</v>
      </c>
      <c r="I963" s="4">
        <v>7.3738179228E10</v>
      </c>
      <c r="J963" s="4" t="s">
        <v>2165</v>
      </c>
      <c r="K963" s="4" t="s">
        <v>2166</v>
      </c>
      <c r="L963" s="4">
        <v>5.43</v>
      </c>
      <c r="M963" s="4">
        <v>1848.21</v>
      </c>
      <c r="N963" s="4">
        <v>1848.0</v>
      </c>
      <c r="O963" s="4">
        <v>153384.0</v>
      </c>
      <c r="P963" s="4">
        <f t="shared" si="1"/>
        <v>56.53333333</v>
      </c>
      <c r="Q963" s="4" t="str">
        <f t="shared" si="2"/>
        <v>Underutilized</v>
      </c>
      <c r="R963" s="1" t="str">
        <f t="shared" si="3"/>
        <v>Normal</v>
      </c>
      <c r="S963" s="4">
        <f t="shared" si="4"/>
        <v>130.9864191</v>
      </c>
      <c r="T963" s="1" t="str">
        <f t="shared" si="5"/>
        <v>Normal Cost</v>
      </c>
      <c r="U963" s="4">
        <f t="shared" si="6"/>
        <v>0.02467010901</v>
      </c>
    </row>
    <row r="964">
      <c r="A964" s="4" t="s">
        <v>2167</v>
      </c>
      <c r="B964" s="4" t="s">
        <v>36</v>
      </c>
      <c r="C964" s="4">
        <v>28.6273</v>
      </c>
      <c r="D964" s="4" t="s">
        <v>17</v>
      </c>
      <c r="E964" s="4" t="s">
        <v>37</v>
      </c>
      <c r="F964" s="4">
        <v>76.01</v>
      </c>
      <c r="G964" s="4">
        <v>55.07</v>
      </c>
      <c r="H964" s="4">
        <v>3.094239161E10</v>
      </c>
      <c r="I964" s="4">
        <v>3.8113531186E10</v>
      </c>
      <c r="J964" s="5">
        <v>45358.941666666666</v>
      </c>
      <c r="K964" s="5">
        <v>45450.58472222222</v>
      </c>
      <c r="L964" s="4">
        <v>4.9</v>
      </c>
      <c r="M964" s="4">
        <v>140.27</v>
      </c>
      <c r="N964" s="4">
        <v>140.0</v>
      </c>
      <c r="O964" s="4">
        <v>11620.0</v>
      </c>
      <c r="P964" s="4">
        <f t="shared" si="1"/>
        <v>63.43333333</v>
      </c>
      <c r="Q964" s="4" t="str">
        <f t="shared" si="2"/>
        <v>High</v>
      </c>
      <c r="R964" s="1" t="str">
        <f t="shared" si="3"/>
        <v>Normal</v>
      </c>
      <c r="S964" s="4">
        <f t="shared" si="4"/>
        <v>64.31333981</v>
      </c>
      <c r="T964" s="1" t="str">
        <f t="shared" si="5"/>
        <v>Normal Cost</v>
      </c>
      <c r="U964" s="4">
        <f t="shared" si="6"/>
        <v>0.5640275387</v>
      </c>
    </row>
    <row r="965">
      <c r="A965" s="4" t="s">
        <v>2168</v>
      </c>
      <c r="B965" s="4" t="s">
        <v>169</v>
      </c>
      <c r="C965" s="4">
        <v>556.4179</v>
      </c>
      <c r="D965" s="4" t="s">
        <v>21</v>
      </c>
      <c r="E965" s="4" t="s">
        <v>18</v>
      </c>
      <c r="F965" s="4">
        <v>44.75</v>
      </c>
      <c r="G965" s="4">
        <v>9.62</v>
      </c>
      <c r="H965" s="4">
        <v>5.672691082E10</v>
      </c>
      <c r="I965" s="4">
        <v>6.2964470066E10</v>
      </c>
      <c r="J965" s="4" t="s">
        <v>2169</v>
      </c>
      <c r="K965" s="4" t="s">
        <v>2170</v>
      </c>
      <c r="L965" s="4">
        <v>3.61</v>
      </c>
      <c r="M965" s="4">
        <v>2008.67</v>
      </c>
      <c r="N965" s="4">
        <v>2009.0</v>
      </c>
      <c r="O965" s="4">
        <v>166747.0</v>
      </c>
      <c r="P965" s="4">
        <f t="shared" si="1"/>
        <v>126.1666667</v>
      </c>
      <c r="Q965" s="4" t="str">
        <f t="shared" si="2"/>
        <v>Normal</v>
      </c>
      <c r="R965" s="1" t="str">
        <f t="shared" si="3"/>
        <v>Underutilized</v>
      </c>
      <c r="S965" s="4">
        <f t="shared" si="4"/>
        <v>111.471285</v>
      </c>
      <c r="T965" s="1" t="str">
        <f t="shared" si="5"/>
        <v>Normal Cost</v>
      </c>
      <c r="U965" s="4">
        <f t="shared" si="6"/>
        <v>0.01630314189</v>
      </c>
    </row>
    <row r="966">
      <c r="A966" s="4" t="s">
        <v>2171</v>
      </c>
      <c r="B966" s="4" t="s">
        <v>147</v>
      </c>
      <c r="C966" s="4">
        <v>108.4167</v>
      </c>
      <c r="D966" s="4" t="s">
        <v>42</v>
      </c>
      <c r="E966" s="4" t="s">
        <v>123</v>
      </c>
      <c r="F966" s="4">
        <v>57.84</v>
      </c>
      <c r="G966" s="4">
        <v>47.91</v>
      </c>
      <c r="H966" s="4">
        <v>4.7845396038E10</v>
      </c>
      <c r="I966" s="4">
        <v>5.0461064734E10</v>
      </c>
      <c r="J966" s="5">
        <v>45451.444444444445</v>
      </c>
      <c r="K966" s="5">
        <v>45573.961805555555</v>
      </c>
      <c r="L966" s="4">
        <v>8.94</v>
      </c>
      <c r="M966" s="4">
        <v>969.25</v>
      </c>
      <c r="N966" s="4">
        <v>969.0</v>
      </c>
      <c r="O966" s="4">
        <v>80427.0</v>
      </c>
      <c r="P966" s="4">
        <f t="shared" si="1"/>
        <v>108.4166667</v>
      </c>
      <c r="Q966" s="4" t="str">
        <f t="shared" si="2"/>
        <v>Normal</v>
      </c>
      <c r="R966" s="1" t="str">
        <f t="shared" si="3"/>
        <v>Normal</v>
      </c>
      <c r="S966" s="4">
        <f t="shared" si="4"/>
        <v>91.55502615</v>
      </c>
      <c r="T966" s="1" t="str">
        <f t="shared" si="5"/>
        <v>Normal Cost</v>
      </c>
      <c r="U966" s="4">
        <f t="shared" si="6"/>
        <v>0.06574284755</v>
      </c>
    </row>
    <row r="967">
      <c r="A967" s="4" t="s">
        <v>2172</v>
      </c>
      <c r="B967" s="4" t="s">
        <v>36</v>
      </c>
      <c r="C967" s="4">
        <v>40.2558</v>
      </c>
      <c r="D967" s="4" t="s">
        <v>17</v>
      </c>
      <c r="E967" s="4" t="s">
        <v>123</v>
      </c>
      <c r="F967" s="4">
        <v>86.68</v>
      </c>
      <c r="G967" s="4">
        <v>62.09</v>
      </c>
      <c r="H967" s="4">
        <v>9.1291091118E10</v>
      </c>
      <c r="I967" s="4">
        <v>9.4252055678E10</v>
      </c>
      <c r="J967" s="4" t="s">
        <v>2173</v>
      </c>
      <c r="K967" s="4" t="s">
        <v>2174</v>
      </c>
      <c r="L967" s="4">
        <v>3.76</v>
      </c>
      <c r="M967" s="4">
        <v>151.36</v>
      </c>
      <c r="N967" s="4">
        <v>151.0</v>
      </c>
      <c r="O967" s="4">
        <v>12533.0</v>
      </c>
      <c r="P967" s="4">
        <f t="shared" si="1"/>
        <v>125.4166667</v>
      </c>
      <c r="Q967" s="4" t="str">
        <f t="shared" si="2"/>
        <v>High</v>
      </c>
      <c r="R967" s="1" t="str">
        <f t="shared" si="3"/>
        <v>Normal</v>
      </c>
      <c r="S967" s="4">
        <f t="shared" si="4"/>
        <v>172.8005212</v>
      </c>
      <c r="T967" s="1" t="str">
        <f t="shared" si="5"/>
        <v>Normal Cost</v>
      </c>
      <c r="U967" s="4">
        <f t="shared" si="6"/>
        <v>0.5935131253</v>
      </c>
    </row>
    <row r="968">
      <c r="A968" s="4" t="s">
        <v>2175</v>
      </c>
      <c r="B968" s="4" t="s">
        <v>273</v>
      </c>
      <c r="C968" s="4">
        <v>432.8095</v>
      </c>
      <c r="D968" s="4" t="s">
        <v>17</v>
      </c>
      <c r="E968" s="4" t="s">
        <v>58</v>
      </c>
      <c r="F968" s="4">
        <v>12.13</v>
      </c>
      <c r="G968" s="4">
        <v>62.87</v>
      </c>
      <c r="H968" s="4">
        <v>2.9729140484E10</v>
      </c>
      <c r="I968" s="4">
        <v>3.7219298641E10</v>
      </c>
      <c r="J968" s="4" t="s">
        <v>2176</v>
      </c>
      <c r="K968" s="4" t="s">
        <v>2177</v>
      </c>
      <c r="L968" s="4">
        <v>2.52</v>
      </c>
      <c r="M968" s="4">
        <v>1090.68</v>
      </c>
      <c r="N968" s="4">
        <v>1091.0</v>
      </c>
      <c r="O968" s="4">
        <v>90553.0</v>
      </c>
      <c r="P968" s="4">
        <f t="shared" si="1"/>
        <v>64.96666667</v>
      </c>
      <c r="Q968" s="4" t="str">
        <f t="shared" si="2"/>
        <v>Underutilized</v>
      </c>
      <c r="R968" s="1" t="str">
        <f t="shared" si="3"/>
        <v>Normal</v>
      </c>
      <c r="S968" s="4">
        <f t="shared" si="4"/>
        <v>62.35059269</v>
      </c>
      <c r="T968" s="1" t="str">
        <f t="shared" si="5"/>
        <v>Normal Cost</v>
      </c>
      <c r="U968" s="4">
        <f t="shared" si="6"/>
        <v>0.04141221163</v>
      </c>
    </row>
    <row r="969">
      <c r="A969" s="4" t="s">
        <v>2178</v>
      </c>
      <c r="B969" s="4" t="s">
        <v>36</v>
      </c>
      <c r="C969" s="4">
        <v>218.0232</v>
      </c>
      <c r="D969" s="4" t="s">
        <v>21</v>
      </c>
      <c r="E969" s="4" t="s">
        <v>37</v>
      </c>
      <c r="F969" s="4">
        <v>57.86</v>
      </c>
      <c r="G969" s="4">
        <v>17.83</v>
      </c>
      <c r="H969" s="4">
        <v>7.54847515E9</v>
      </c>
      <c r="I969" s="4">
        <v>1.0109842689E10</v>
      </c>
      <c r="J969" s="4" t="s">
        <v>2179</v>
      </c>
      <c r="K969" s="5">
        <v>45300.04236111111</v>
      </c>
      <c r="L969" s="4">
        <v>9.43</v>
      </c>
      <c r="M969" s="4">
        <v>2055.96</v>
      </c>
      <c r="N969" s="4">
        <v>2056.0</v>
      </c>
      <c r="O969" s="4">
        <v>170648.0</v>
      </c>
      <c r="P969" s="4">
        <f t="shared" si="1"/>
        <v>105</v>
      </c>
      <c r="Q969" s="4" t="str">
        <f t="shared" si="2"/>
        <v>Normal</v>
      </c>
      <c r="R969" s="1" t="str">
        <f t="shared" si="3"/>
        <v>Underutilized</v>
      </c>
      <c r="S969" s="4">
        <f t="shared" si="4"/>
        <v>16.44559003</v>
      </c>
      <c r="T969" s="1" t="str">
        <f t="shared" si="5"/>
        <v>Normal Cost</v>
      </c>
      <c r="U969" s="4">
        <f t="shared" si="6"/>
        <v>0.02217723032</v>
      </c>
    </row>
    <row r="970">
      <c r="A970" s="4" t="s">
        <v>2180</v>
      </c>
      <c r="B970" s="4" t="s">
        <v>112</v>
      </c>
      <c r="C970" s="4">
        <v>93.2833</v>
      </c>
      <c r="D970" s="4" t="s">
        <v>42</v>
      </c>
      <c r="E970" s="4" t="s">
        <v>54</v>
      </c>
      <c r="F970" s="4">
        <v>68.85</v>
      </c>
      <c r="G970" s="4">
        <v>81.28</v>
      </c>
      <c r="H970" s="4">
        <v>5.0994971013E10</v>
      </c>
      <c r="I970" s="4">
        <v>5.6265355888E10</v>
      </c>
      <c r="J970" s="5">
        <v>45633.052083333336</v>
      </c>
      <c r="K970" s="4" t="s">
        <v>2181</v>
      </c>
      <c r="L970" s="4">
        <v>6.32</v>
      </c>
      <c r="M970" s="4">
        <v>589.55</v>
      </c>
      <c r="N970" s="4">
        <v>590.0</v>
      </c>
      <c r="O970" s="4">
        <v>48970.0</v>
      </c>
      <c r="P970" s="4">
        <f t="shared" si="1"/>
        <v>93.28333333</v>
      </c>
      <c r="Q970" s="4" t="str">
        <f t="shared" si="2"/>
        <v>Normal</v>
      </c>
      <c r="R970" s="1" t="str">
        <f t="shared" si="3"/>
        <v>High</v>
      </c>
      <c r="S970" s="4">
        <f t="shared" si="4"/>
        <v>99.8939638</v>
      </c>
      <c r="T970" s="1" t="str">
        <f t="shared" si="5"/>
        <v>Normal Cost</v>
      </c>
      <c r="U970" s="4">
        <f t="shared" si="6"/>
        <v>0.1532877272</v>
      </c>
    </row>
    <row r="971">
      <c r="A971" s="4" t="s">
        <v>2182</v>
      </c>
      <c r="B971" s="4" t="s">
        <v>169</v>
      </c>
      <c r="C971" s="4">
        <v>181.0234</v>
      </c>
      <c r="D971" s="4" t="s">
        <v>21</v>
      </c>
      <c r="E971" s="4" t="s">
        <v>70</v>
      </c>
      <c r="F971" s="4">
        <v>15.91</v>
      </c>
      <c r="G971" s="4">
        <v>64.82</v>
      </c>
      <c r="H971" s="4">
        <v>7.8680352164E10</v>
      </c>
      <c r="I971" s="4">
        <v>8.3877530111E10</v>
      </c>
      <c r="J971" s="5">
        <v>45634.88402777778</v>
      </c>
      <c r="K971" s="4" t="s">
        <v>2183</v>
      </c>
      <c r="L971" s="4">
        <v>5.72</v>
      </c>
      <c r="M971" s="4">
        <v>1035.45</v>
      </c>
      <c r="N971" s="4">
        <v>1035.0</v>
      </c>
      <c r="O971" s="4">
        <v>85905.0</v>
      </c>
      <c r="P971" s="4">
        <f t="shared" si="1"/>
        <v>49.4</v>
      </c>
      <c r="Q971" s="4" t="str">
        <f t="shared" si="2"/>
        <v>Underutilized</v>
      </c>
      <c r="R971" s="1" t="str">
        <f t="shared" si="3"/>
        <v>Normal</v>
      </c>
      <c r="S971" s="4">
        <f t="shared" si="4"/>
        <v>151.3938254</v>
      </c>
      <c r="T971" s="1" t="str">
        <f t="shared" si="5"/>
        <v>Normal Cost</v>
      </c>
      <c r="U971" s="4">
        <f t="shared" si="6"/>
        <v>0.04698795181</v>
      </c>
    </row>
    <row r="972">
      <c r="A972" s="4" t="s">
        <v>2184</v>
      </c>
      <c r="B972" s="4" t="s">
        <v>60</v>
      </c>
      <c r="C972" s="4">
        <v>142.4</v>
      </c>
      <c r="D972" s="4" t="s">
        <v>42</v>
      </c>
      <c r="E972" s="4" t="s">
        <v>18</v>
      </c>
      <c r="F972" s="4">
        <v>79.09</v>
      </c>
      <c r="G972" s="4">
        <v>39.55</v>
      </c>
      <c r="H972" s="4">
        <v>1.7147923298E10</v>
      </c>
      <c r="I972" s="4">
        <v>2.6292232458E10</v>
      </c>
      <c r="J972" s="4" t="s">
        <v>2185</v>
      </c>
      <c r="K972" s="4" t="s">
        <v>2186</v>
      </c>
      <c r="L972" s="4">
        <v>2.05</v>
      </c>
      <c r="M972" s="4">
        <v>291.92</v>
      </c>
      <c r="N972" s="4">
        <v>292.0</v>
      </c>
      <c r="O972" s="4">
        <v>24236.0</v>
      </c>
      <c r="P972" s="4">
        <f t="shared" si="1"/>
        <v>142.4</v>
      </c>
      <c r="Q972" s="4" t="str">
        <f t="shared" si="2"/>
        <v>High</v>
      </c>
      <c r="R972" s="1" t="str">
        <f t="shared" si="3"/>
        <v>Underutilized</v>
      </c>
      <c r="S972" s="4">
        <f t="shared" si="4"/>
        <v>40.4567977</v>
      </c>
      <c r="T972" s="1" t="str">
        <f t="shared" si="5"/>
        <v>Normal Cost</v>
      </c>
      <c r="U972" s="4">
        <f t="shared" si="6"/>
        <v>0.2447598614</v>
      </c>
    </row>
    <row r="973">
      <c r="A973" s="4" t="s">
        <v>2187</v>
      </c>
      <c r="B973" s="4" t="s">
        <v>20</v>
      </c>
      <c r="C973" s="4">
        <v>359.37</v>
      </c>
      <c r="D973" s="4" t="s">
        <v>21</v>
      </c>
      <c r="E973" s="4" t="s">
        <v>105</v>
      </c>
      <c r="F973" s="4">
        <v>17.02</v>
      </c>
      <c r="G973" s="4">
        <v>93.57</v>
      </c>
      <c r="H973" s="4">
        <v>5.3466679239E10</v>
      </c>
      <c r="I973" s="4">
        <v>5.6063842623E10</v>
      </c>
      <c r="J973" s="4" t="s">
        <v>2188</v>
      </c>
      <c r="K973" s="4" t="s">
        <v>2189</v>
      </c>
      <c r="L973" s="4">
        <v>6.86</v>
      </c>
      <c r="M973" s="4">
        <v>2465.28</v>
      </c>
      <c r="N973" s="4">
        <v>2465.0</v>
      </c>
      <c r="O973" s="4">
        <v>204595.0</v>
      </c>
      <c r="P973" s="4">
        <f t="shared" si="1"/>
        <v>112.6</v>
      </c>
      <c r="Q973" s="4" t="str">
        <f t="shared" si="2"/>
        <v>Underutilized</v>
      </c>
      <c r="R973" s="1" t="str">
        <f t="shared" si="3"/>
        <v>High</v>
      </c>
      <c r="S973" s="4">
        <f t="shared" si="4"/>
        <v>102.0082476</v>
      </c>
      <c r="T973" s="1" t="str">
        <f t="shared" si="5"/>
        <v>High Cost</v>
      </c>
      <c r="U973" s="4">
        <f t="shared" si="6"/>
        <v>0.02702656468</v>
      </c>
    </row>
    <row r="974">
      <c r="A974" s="4" t="s">
        <v>2190</v>
      </c>
      <c r="B974" s="4" t="s">
        <v>83</v>
      </c>
      <c r="C974" s="4">
        <v>117.2097</v>
      </c>
      <c r="D974" s="4" t="s">
        <v>21</v>
      </c>
      <c r="E974" s="4" t="s">
        <v>58</v>
      </c>
      <c r="F974" s="4">
        <v>13.75</v>
      </c>
      <c r="G974" s="4">
        <v>65.66</v>
      </c>
      <c r="H974" s="4">
        <v>1.943170511E10</v>
      </c>
      <c r="I974" s="4">
        <v>1.9965883148E10</v>
      </c>
      <c r="J974" s="4" t="s">
        <v>2191</v>
      </c>
      <c r="K974" s="5">
        <v>45331.98402777778</v>
      </c>
      <c r="L974" s="4">
        <v>2.15</v>
      </c>
      <c r="M974" s="4">
        <v>252.0</v>
      </c>
      <c r="N974" s="4">
        <v>252.0</v>
      </c>
      <c r="O974" s="4">
        <v>20916.0</v>
      </c>
      <c r="P974" s="4">
        <f t="shared" si="1"/>
        <v>124.4166667</v>
      </c>
      <c r="Q974" s="4" t="str">
        <f t="shared" si="2"/>
        <v>Underutilized</v>
      </c>
      <c r="R974" s="1" t="str">
        <f t="shared" si="3"/>
        <v>Normal</v>
      </c>
      <c r="S974" s="4">
        <f t="shared" si="4"/>
        <v>36.69186333</v>
      </c>
      <c r="T974" s="1" t="str">
        <f t="shared" si="5"/>
        <v>Normal Cost</v>
      </c>
      <c r="U974" s="4">
        <f t="shared" si="6"/>
        <v>0.1898307516</v>
      </c>
    </row>
    <row r="975">
      <c r="A975" s="4" t="s">
        <v>2192</v>
      </c>
      <c r="B975" s="4" t="s">
        <v>26</v>
      </c>
      <c r="C975" s="4">
        <v>757.7714</v>
      </c>
      <c r="D975" s="4" t="s">
        <v>17</v>
      </c>
      <c r="E975" s="4" t="s">
        <v>58</v>
      </c>
      <c r="F975" s="4">
        <v>34.57</v>
      </c>
      <c r="G975" s="4">
        <v>79.93</v>
      </c>
      <c r="H975" s="4">
        <v>5.3821049664E10</v>
      </c>
      <c r="I975" s="4">
        <v>5.4208234208E10</v>
      </c>
      <c r="J975" s="5">
        <v>45451.39791666667</v>
      </c>
      <c r="K975" s="5">
        <v>45604.475</v>
      </c>
      <c r="L975" s="4">
        <v>1.62</v>
      </c>
      <c r="M975" s="4">
        <v>1227.59</v>
      </c>
      <c r="N975" s="4">
        <v>1228.0</v>
      </c>
      <c r="O975" s="4">
        <v>101924.0</v>
      </c>
      <c r="P975" s="4">
        <f t="shared" si="1"/>
        <v>121.85</v>
      </c>
      <c r="Q975" s="4" t="str">
        <f t="shared" si="2"/>
        <v>Normal</v>
      </c>
      <c r="R975" s="1" t="str">
        <f t="shared" si="3"/>
        <v>High</v>
      </c>
      <c r="S975" s="4">
        <f t="shared" si="4"/>
        <v>100.6101108</v>
      </c>
      <c r="T975" s="1" t="str">
        <f t="shared" si="5"/>
        <v>Normal Cost</v>
      </c>
      <c r="U975" s="4">
        <f t="shared" si="6"/>
        <v>0.05616930262</v>
      </c>
    </row>
    <row r="976">
      <c r="A976" s="4" t="s">
        <v>2193</v>
      </c>
      <c r="B976" s="4" t="s">
        <v>46</v>
      </c>
      <c r="C976" s="4">
        <v>929.0325</v>
      </c>
      <c r="D976" s="4" t="s">
        <v>17</v>
      </c>
      <c r="E976" s="4" t="s">
        <v>27</v>
      </c>
      <c r="F976" s="4">
        <v>44.48</v>
      </c>
      <c r="G976" s="4">
        <v>83.85</v>
      </c>
      <c r="H976" s="4">
        <v>3.4811117985E10</v>
      </c>
      <c r="I976" s="4">
        <v>3.6999088065E10</v>
      </c>
      <c r="J976" s="4" t="s">
        <v>2194</v>
      </c>
      <c r="K976" s="4" t="s">
        <v>2195</v>
      </c>
      <c r="L976" s="4">
        <v>7.38</v>
      </c>
      <c r="M976" s="4">
        <v>6856.26</v>
      </c>
      <c r="N976" s="4">
        <v>6856.0</v>
      </c>
      <c r="O976" s="4">
        <v>569048.0</v>
      </c>
      <c r="P976" s="4">
        <f t="shared" si="1"/>
        <v>81.56666667</v>
      </c>
      <c r="Q976" s="4" t="str">
        <f t="shared" si="2"/>
        <v>Normal</v>
      </c>
      <c r="R976" s="1" t="str">
        <f t="shared" si="3"/>
        <v>High</v>
      </c>
      <c r="S976" s="4">
        <f t="shared" si="4"/>
        <v>66.87846598</v>
      </c>
      <c r="T976" s="1" t="str">
        <f t="shared" si="5"/>
        <v>High Cost</v>
      </c>
      <c r="U976" s="4">
        <f t="shared" si="6"/>
        <v>0.01127585019</v>
      </c>
    </row>
    <row r="977">
      <c r="A977" s="4" t="s">
        <v>2196</v>
      </c>
      <c r="B977" s="4" t="s">
        <v>166</v>
      </c>
      <c r="C977" s="4">
        <v>887.4779</v>
      </c>
      <c r="D977" s="4" t="s">
        <v>17</v>
      </c>
      <c r="E977" s="4" t="s">
        <v>123</v>
      </c>
      <c r="F977" s="4">
        <v>27.7</v>
      </c>
      <c r="G977" s="4">
        <v>44.05</v>
      </c>
      <c r="H977" s="4">
        <v>8.9755407669E10</v>
      </c>
      <c r="I977" s="4">
        <v>9.3295589515E10</v>
      </c>
      <c r="J977" s="4" t="s">
        <v>2197</v>
      </c>
      <c r="K977" s="4" t="s">
        <v>2198</v>
      </c>
      <c r="L977" s="4">
        <v>8.18</v>
      </c>
      <c r="M977" s="4">
        <v>7259.57</v>
      </c>
      <c r="N977" s="4">
        <v>7260.0</v>
      </c>
      <c r="O977" s="4">
        <v>602580.0</v>
      </c>
      <c r="P977" s="4">
        <f t="shared" si="1"/>
        <v>85.46666667</v>
      </c>
      <c r="Q977" s="4" t="str">
        <f t="shared" si="2"/>
        <v>Underutilized</v>
      </c>
      <c r="R977" s="1" t="str">
        <f t="shared" si="3"/>
        <v>Normal</v>
      </c>
      <c r="S977" s="4">
        <f t="shared" si="4"/>
        <v>170.479526</v>
      </c>
      <c r="T977" s="1" t="str">
        <f t="shared" si="5"/>
        <v>High Cost</v>
      </c>
      <c r="U977" s="4">
        <f t="shared" si="6"/>
        <v>0.005953566331</v>
      </c>
    </row>
    <row r="978">
      <c r="A978" s="4" t="s">
        <v>2199</v>
      </c>
      <c r="B978" s="4" t="s">
        <v>20</v>
      </c>
      <c r="C978" s="4">
        <v>845.9607</v>
      </c>
      <c r="D978" s="4" t="s">
        <v>17</v>
      </c>
      <c r="E978" s="4" t="s">
        <v>27</v>
      </c>
      <c r="F978" s="4">
        <v>54.45</v>
      </c>
      <c r="G978" s="4">
        <v>66.21</v>
      </c>
      <c r="H978" s="4">
        <v>6.1010448683E10</v>
      </c>
      <c r="I978" s="4">
        <v>6.7690112969E10</v>
      </c>
      <c r="J978" s="4" t="s">
        <v>2200</v>
      </c>
      <c r="K978" s="4" t="s">
        <v>2201</v>
      </c>
      <c r="L978" s="4">
        <v>2.47</v>
      </c>
      <c r="M978" s="4">
        <v>2089.52</v>
      </c>
      <c r="N978" s="4">
        <v>2090.0</v>
      </c>
      <c r="O978" s="4">
        <v>173470.0</v>
      </c>
      <c r="P978" s="4">
        <f t="shared" si="1"/>
        <v>61.23333333</v>
      </c>
      <c r="Q978" s="4" t="str">
        <f t="shared" si="2"/>
        <v>Normal</v>
      </c>
      <c r="R978" s="1" t="str">
        <f t="shared" si="3"/>
        <v>Normal</v>
      </c>
      <c r="S978" s="4">
        <f t="shared" si="4"/>
        <v>119.8617384</v>
      </c>
      <c r="T978" s="1" t="str">
        <f t="shared" si="5"/>
        <v>High Cost</v>
      </c>
      <c r="U978" s="4">
        <f t="shared" si="6"/>
        <v>0.03477834784</v>
      </c>
    </row>
    <row r="979">
      <c r="A979" s="4" t="s">
        <v>2202</v>
      </c>
      <c r="B979" s="4" t="s">
        <v>112</v>
      </c>
      <c r="C979" s="4">
        <v>52.7167</v>
      </c>
      <c r="D979" s="4" t="s">
        <v>42</v>
      </c>
      <c r="E979" s="4" t="s">
        <v>37</v>
      </c>
      <c r="F979" s="4">
        <v>26.77</v>
      </c>
      <c r="G979" s="4">
        <v>9.98</v>
      </c>
      <c r="H979" s="4">
        <v>9.3008645603E10</v>
      </c>
      <c r="I979" s="4">
        <v>9.706806654E10</v>
      </c>
      <c r="J979" s="4" t="s">
        <v>2203</v>
      </c>
      <c r="K979" s="4" t="s">
        <v>2204</v>
      </c>
      <c r="L979" s="4">
        <v>9.25</v>
      </c>
      <c r="M979" s="4">
        <v>487.63</v>
      </c>
      <c r="N979" s="4">
        <v>488.0</v>
      </c>
      <c r="O979" s="4">
        <v>40504.0</v>
      </c>
      <c r="P979" s="4">
        <f t="shared" si="1"/>
        <v>52.71666667</v>
      </c>
      <c r="Q979" s="4" t="str">
        <f t="shared" si="2"/>
        <v>Underutilized</v>
      </c>
      <c r="R979" s="1" t="str">
        <f t="shared" si="3"/>
        <v>Underutilized</v>
      </c>
      <c r="S979" s="4">
        <f t="shared" si="4"/>
        <v>177.0227329</v>
      </c>
      <c r="T979" s="1" t="str">
        <f t="shared" si="5"/>
        <v>Normal Cost</v>
      </c>
      <c r="U979" s="4">
        <f t="shared" si="6"/>
        <v>0.04536588979</v>
      </c>
    </row>
    <row r="980">
      <c r="A980" s="4" t="s">
        <v>2205</v>
      </c>
      <c r="B980" s="4" t="s">
        <v>46</v>
      </c>
      <c r="C980" s="4">
        <v>44.3384</v>
      </c>
      <c r="D980" s="4" t="s">
        <v>17</v>
      </c>
      <c r="E980" s="4" t="s">
        <v>105</v>
      </c>
      <c r="F980" s="4">
        <v>44.62</v>
      </c>
      <c r="G980" s="4">
        <v>71.37</v>
      </c>
      <c r="H980" s="4">
        <v>7.6359229549E10</v>
      </c>
      <c r="I980" s="4">
        <v>8.4113831464E10</v>
      </c>
      <c r="J980" s="4" t="s">
        <v>2206</v>
      </c>
      <c r="K980" s="4" t="s">
        <v>2207</v>
      </c>
      <c r="L980" s="4">
        <v>6.95</v>
      </c>
      <c r="M980" s="4">
        <v>308.15</v>
      </c>
      <c r="N980" s="4">
        <v>308.0</v>
      </c>
      <c r="O980" s="4">
        <v>25564.0</v>
      </c>
      <c r="P980" s="4">
        <f t="shared" si="1"/>
        <v>111.4166667</v>
      </c>
      <c r="Q980" s="4" t="str">
        <f t="shared" si="2"/>
        <v>Normal</v>
      </c>
      <c r="R980" s="1" t="str">
        <f t="shared" si="3"/>
        <v>Normal</v>
      </c>
      <c r="S980" s="4">
        <f t="shared" si="4"/>
        <v>149.4521843</v>
      </c>
      <c r="T980" s="1" t="str">
        <f t="shared" si="5"/>
        <v>Normal Cost</v>
      </c>
      <c r="U980" s="4">
        <f t="shared" si="6"/>
        <v>0.2268619934</v>
      </c>
    </row>
    <row r="981">
      <c r="A981" s="4" t="s">
        <v>2208</v>
      </c>
      <c r="B981" s="4" t="s">
        <v>99</v>
      </c>
      <c r="C981" s="4">
        <v>28.3886</v>
      </c>
      <c r="D981" s="4" t="s">
        <v>17</v>
      </c>
      <c r="E981" s="4" t="s">
        <v>58</v>
      </c>
      <c r="F981" s="4">
        <v>85.23</v>
      </c>
      <c r="G981" s="4">
        <v>77.67</v>
      </c>
      <c r="H981" s="4">
        <v>6.5089630779E10</v>
      </c>
      <c r="I981" s="4">
        <v>7.3817051768E10</v>
      </c>
      <c r="J981" s="4" t="s">
        <v>2209</v>
      </c>
      <c r="K981" s="4" t="s">
        <v>2210</v>
      </c>
      <c r="L981" s="4">
        <v>3.43</v>
      </c>
      <c r="M981" s="4">
        <v>97.37</v>
      </c>
      <c r="N981" s="4">
        <v>97.0</v>
      </c>
      <c r="O981" s="4">
        <v>8051.0</v>
      </c>
      <c r="P981" s="4">
        <f t="shared" si="1"/>
        <v>30.23333333</v>
      </c>
      <c r="Q981" s="4" t="str">
        <f t="shared" si="2"/>
        <v>High</v>
      </c>
      <c r="R981" s="1" t="str">
        <f t="shared" si="3"/>
        <v>High</v>
      </c>
      <c r="S981" s="4">
        <f t="shared" si="4"/>
        <v>129.3669292</v>
      </c>
      <c r="T981" s="1" t="str">
        <f t="shared" si="5"/>
        <v>Normal Cost</v>
      </c>
      <c r="U981" s="4">
        <f t="shared" si="6"/>
        <v>1.011675568</v>
      </c>
    </row>
    <row r="982">
      <c r="A982" s="4" t="s">
        <v>2211</v>
      </c>
      <c r="B982" s="4" t="s">
        <v>128</v>
      </c>
      <c r="C982" s="4">
        <v>974.8384</v>
      </c>
      <c r="D982" s="4" t="s">
        <v>17</v>
      </c>
      <c r="E982" s="4" t="s">
        <v>58</v>
      </c>
      <c r="F982" s="4">
        <v>68.13</v>
      </c>
      <c r="G982" s="4">
        <v>48.34</v>
      </c>
      <c r="H982" s="4">
        <v>5.9057922985E10</v>
      </c>
      <c r="I982" s="4">
        <v>6.5711077756E10</v>
      </c>
      <c r="J982" s="4" t="s">
        <v>2212</v>
      </c>
      <c r="K982" s="4" t="s">
        <v>2213</v>
      </c>
      <c r="L982" s="4">
        <v>6.61</v>
      </c>
      <c r="M982" s="4">
        <v>6443.68</v>
      </c>
      <c r="N982" s="4">
        <v>6444.0</v>
      </c>
      <c r="O982" s="4">
        <v>534852.0</v>
      </c>
      <c r="P982" s="4">
        <f t="shared" si="1"/>
        <v>137.5</v>
      </c>
      <c r="Q982" s="4" t="str">
        <f t="shared" si="2"/>
        <v>Normal</v>
      </c>
      <c r="R982" s="1" t="str">
        <f t="shared" si="3"/>
        <v>Normal</v>
      </c>
      <c r="S982" s="4">
        <f t="shared" si="4"/>
        <v>116.200187</v>
      </c>
      <c r="T982" s="1" t="str">
        <f t="shared" si="5"/>
        <v>High Cost</v>
      </c>
      <c r="U982" s="4">
        <f t="shared" si="6"/>
        <v>0.01088805875</v>
      </c>
    </row>
    <row r="983">
      <c r="A983" s="4" t="s">
        <v>2214</v>
      </c>
      <c r="B983" s="4" t="s">
        <v>53</v>
      </c>
      <c r="C983" s="4">
        <v>565.7255</v>
      </c>
      <c r="D983" s="4" t="s">
        <v>21</v>
      </c>
      <c r="E983" s="4" t="s">
        <v>22</v>
      </c>
      <c r="F983" s="4">
        <v>37.1</v>
      </c>
      <c r="G983" s="4">
        <v>44.59</v>
      </c>
      <c r="H983" s="4">
        <v>3.4872615846E10</v>
      </c>
      <c r="I983" s="4">
        <v>3.5850067743E10</v>
      </c>
      <c r="J983" s="5">
        <v>45480.66180555556</v>
      </c>
      <c r="K983" s="5">
        <v>45542.96388888889</v>
      </c>
      <c r="L983" s="4">
        <v>9.38</v>
      </c>
      <c r="M983" s="4">
        <v>5306.51</v>
      </c>
      <c r="N983" s="4">
        <v>5307.0</v>
      </c>
      <c r="O983" s="4">
        <v>440481.0</v>
      </c>
      <c r="P983" s="4">
        <f t="shared" si="1"/>
        <v>55.25</v>
      </c>
      <c r="Q983" s="4" t="str">
        <f t="shared" si="2"/>
        <v>Normal</v>
      </c>
      <c r="R983" s="1" t="str">
        <f t="shared" si="3"/>
        <v>Normal</v>
      </c>
      <c r="S983" s="4">
        <f t="shared" si="4"/>
        <v>65.86563176</v>
      </c>
      <c r="T983" s="1" t="str">
        <f t="shared" si="5"/>
        <v>High Cost</v>
      </c>
      <c r="U983" s="4">
        <f t="shared" si="6"/>
        <v>0.00927281767</v>
      </c>
    </row>
    <row r="984">
      <c r="A984" s="4" t="s">
        <v>2215</v>
      </c>
      <c r="B984" s="4" t="s">
        <v>169</v>
      </c>
      <c r="C984" s="4">
        <v>521.4659</v>
      </c>
      <c r="D984" s="4" t="s">
        <v>17</v>
      </c>
      <c r="E984" s="4" t="s">
        <v>74</v>
      </c>
      <c r="F984" s="4">
        <v>36.59</v>
      </c>
      <c r="G984" s="4">
        <v>82.86</v>
      </c>
      <c r="H984" s="4">
        <v>7.359709033E9</v>
      </c>
      <c r="I984" s="4">
        <v>1.58338509E10</v>
      </c>
      <c r="J984" s="4" t="s">
        <v>2216</v>
      </c>
      <c r="K984" s="4" t="s">
        <v>2217</v>
      </c>
      <c r="L984" s="4">
        <v>6.93</v>
      </c>
      <c r="M984" s="4">
        <v>3613.76</v>
      </c>
      <c r="N984" s="4">
        <v>3614.0</v>
      </c>
      <c r="O984" s="4">
        <v>299962.0</v>
      </c>
      <c r="P984" s="4">
        <f t="shared" si="1"/>
        <v>94.53333333</v>
      </c>
      <c r="Q984" s="4" t="str">
        <f t="shared" si="2"/>
        <v>Normal</v>
      </c>
      <c r="R984" s="1" t="str">
        <f t="shared" si="3"/>
        <v>High</v>
      </c>
      <c r="S984" s="4">
        <f t="shared" si="4"/>
        <v>21.60068595</v>
      </c>
      <c r="T984" s="1" t="str">
        <f t="shared" si="5"/>
        <v>High Cost</v>
      </c>
      <c r="U984" s="4">
        <f t="shared" si="6"/>
        <v>0.01991085538</v>
      </c>
    </row>
    <row r="985">
      <c r="A985" s="4" t="s">
        <v>2218</v>
      </c>
      <c r="B985" s="4" t="s">
        <v>41</v>
      </c>
      <c r="C985" s="4">
        <v>34.5167</v>
      </c>
      <c r="D985" s="4" t="s">
        <v>42</v>
      </c>
      <c r="E985" s="4" t="s">
        <v>74</v>
      </c>
      <c r="F985" s="4">
        <v>3.69</v>
      </c>
      <c r="G985" s="4">
        <v>38.04</v>
      </c>
      <c r="H985" s="4">
        <v>1.4663849921E10</v>
      </c>
      <c r="I985" s="4">
        <v>2.1454606211E10</v>
      </c>
      <c r="J985" s="4" t="s">
        <v>2219</v>
      </c>
      <c r="K985" s="4" t="s">
        <v>2220</v>
      </c>
      <c r="L985" s="4">
        <v>1.33</v>
      </c>
      <c r="M985" s="4">
        <v>45.91</v>
      </c>
      <c r="N985" s="4">
        <v>46.0</v>
      </c>
      <c r="O985" s="4">
        <v>3818.0</v>
      </c>
      <c r="P985" s="4">
        <f t="shared" si="1"/>
        <v>34.51666667</v>
      </c>
      <c r="Q985" s="4" t="str">
        <f t="shared" si="2"/>
        <v>Underutilized</v>
      </c>
      <c r="R985" s="1" t="str">
        <f t="shared" si="3"/>
        <v>Underutilized</v>
      </c>
      <c r="S985" s="4">
        <f t="shared" si="4"/>
        <v>33.63793356</v>
      </c>
      <c r="T985" s="1" t="str">
        <f t="shared" si="5"/>
        <v>Normal Cost</v>
      </c>
      <c r="U985" s="4">
        <f t="shared" si="6"/>
        <v>0.5464903091</v>
      </c>
    </row>
    <row r="986">
      <c r="A986" s="4" t="s">
        <v>2221</v>
      </c>
      <c r="B986" s="4" t="s">
        <v>139</v>
      </c>
      <c r="C986" s="4">
        <v>112.6667</v>
      </c>
      <c r="D986" s="4" t="s">
        <v>42</v>
      </c>
      <c r="E986" s="4" t="s">
        <v>155</v>
      </c>
      <c r="F986" s="4">
        <v>99.25</v>
      </c>
      <c r="G986" s="4">
        <v>14.54</v>
      </c>
      <c r="H986" s="4">
        <v>4.8787684778E10</v>
      </c>
      <c r="I986" s="4">
        <v>4.955032425E10</v>
      </c>
      <c r="J986" s="5">
        <v>45389.100694444445</v>
      </c>
      <c r="K986" s="5">
        <v>45511.79513888889</v>
      </c>
      <c r="L986" s="4">
        <v>2.71</v>
      </c>
      <c r="M986" s="4">
        <v>305.33</v>
      </c>
      <c r="N986" s="4">
        <v>305.0</v>
      </c>
      <c r="O986" s="4">
        <v>25315.0</v>
      </c>
      <c r="P986" s="4">
        <f t="shared" si="1"/>
        <v>112.6666667</v>
      </c>
      <c r="Q986" s="4" t="str">
        <f t="shared" si="2"/>
        <v>High</v>
      </c>
      <c r="R986" s="1" t="str">
        <f t="shared" si="3"/>
        <v>Underutilized</v>
      </c>
      <c r="S986" s="4">
        <f t="shared" si="4"/>
        <v>91.58440775</v>
      </c>
      <c r="T986" s="1" t="str">
        <f t="shared" si="5"/>
        <v>Normal Cost</v>
      </c>
      <c r="U986" s="4">
        <f t="shared" si="6"/>
        <v>0.224748173</v>
      </c>
    </row>
    <row r="987">
      <c r="A987" s="4" t="s">
        <v>2222</v>
      </c>
      <c r="B987" s="4" t="s">
        <v>16</v>
      </c>
      <c r="C987" s="4">
        <v>996.4919</v>
      </c>
      <c r="D987" s="4" t="s">
        <v>21</v>
      </c>
      <c r="E987" s="4" t="s">
        <v>74</v>
      </c>
      <c r="F987" s="4">
        <v>48.72</v>
      </c>
      <c r="G987" s="4">
        <v>36.85</v>
      </c>
      <c r="H987" s="4">
        <v>7.9133661223E10</v>
      </c>
      <c r="I987" s="4">
        <v>8.6555528164E10</v>
      </c>
      <c r="J987" s="5">
        <v>45358.64236111111</v>
      </c>
      <c r="K987" s="5">
        <v>45419.01944444444</v>
      </c>
      <c r="L987" s="4">
        <v>7.31</v>
      </c>
      <c r="M987" s="4">
        <v>7284.36</v>
      </c>
      <c r="N987" s="4">
        <v>7284.0</v>
      </c>
      <c r="O987" s="4">
        <v>604572.0</v>
      </c>
      <c r="P987" s="4">
        <f t="shared" si="1"/>
        <v>33.05</v>
      </c>
      <c r="Q987" s="4" t="str">
        <f t="shared" si="2"/>
        <v>Normal</v>
      </c>
      <c r="R987" s="1" t="str">
        <f t="shared" si="3"/>
        <v>Underutilized</v>
      </c>
      <c r="S987" s="4">
        <f t="shared" si="4"/>
        <v>154.3100824</v>
      </c>
      <c r="T987" s="1" t="str">
        <f t="shared" si="5"/>
        <v>High Cost</v>
      </c>
      <c r="U987" s="4">
        <f t="shared" si="6"/>
        <v>0.0070769073</v>
      </c>
    </row>
    <row r="988">
      <c r="A988" s="4" t="s">
        <v>2223</v>
      </c>
      <c r="B988" s="4" t="s">
        <v>139</v>
      </c>
      <c r="C988" s="4">
        <v>102.4</v>
      </c>
      <c r="D988" s="4" t="s">
        <v>42</v>
      </c>
      <c r="E988" s="4" t="s">
        <v>32</v>
      </c>
      <c r="F988" s="4">
        <v>29.65</v>
      </c>
      <c r="G988" s="4">
        <v>91.42</v>
      </c>
      <c r="H988" s="4">
        <v>5.504455329E9</v>
      </c>
      <c r="I988" s="4">
        <v>5.979338819E9</v>
      </c>
      <c r="J988" s="4" t="s">
        <v>2224</v>
      </c>
      <c r="K988" s="5">
        <v>45390.52638888889</v>
      </c>
      <c r="L988" s="4">
        <v>3.52</v>
      </c>
      <c r="M988" s="4">
        <v>360.45</v>
      </c>
      <c r="N988" s="4">
        <v>360.0</v>
      </c>
      <c r="O988" s="4">
        <v>29880.0</v>
      </c>
      <c r="P988" s="4">
        <f t="shared" si="1"/>
        <v>102.4</v>
      </c>
      <c r="Q988" s="4" t="str">
        <f t="shared" si="2"/>
        <v>Underutilized</v>
      </c>
      <c r="R988" s="1" t="str">
        <f t="shared" si="3"/>
        <v>High</v>
      </c>
      <c r="S988" s="4">
        <f t="shared" si="4"/>
        <v>10.69511673</v>
      </c>
      <c r="T988" s="1" t="str">
        <f t="shared" si="5"/>
        <v>Normal Cost</v>
      </c>
      <c r="U988" s="4">
        <f t="shared" si="6"/>
        <v>0.2025937082</v>
      </c>
    </row>
    <row r="989">
      <c r="A989" s="4" t="s">
        <v>2225</v>
      </c>
      <c r="B989" s="4" t="s">
        <v>62</v>
      </c>
      <c r="C989" s="4">
        <v>68.4167</v>
      </c>
      <c r="D989" s="4" t="s">
        <v>42</v>
      </c>
      <c r="E989" s="4" t="s">
        <v>58</v>
      </c>
      <c r="F989" s="4">
        <v>86.74</v>
      </c>
      <c r="G989" s="4">
        <v>82.37</v>
      </c>
      <c r="H989" s="4">
        <v>8.8713432251E10</v>
      </c>
      <c r="I989" s="4">
        <v>9.7147605739E10</v>
      </c>
      <c r="J989" s="4" t="s">
        <v>2226</v>
      </c>
      <c r="K989" s="4" t="s">
        <v>2227</v>
      </c>
      <c r="L989" s="4">
        <v>7.8</v>
      </c>
      <c r="M989" s="4">
        <v>533.65</v>
      </c>
      <c r="N989" s="4">
        <v>534.0</v>
      </c>
      <c r="O989" s="4">
        <v>44322.0</v>
      </c>
      <c r="P989" s="4">
        <f t="shared" si="1"/>
        <v>68.41666667</v>
      </c>
      <c r="Q989" s="4" t="str">
        <f t="shared" si="2"/>
        <v>High</v>
      </c>
      <c r="R989" s="1" t="str">
        <f t="shared" si="3"/>
        <v>High</v>
      </c>
      <c r="S989" s="4">
        <f t="shared" si="4"/>
        <v>173.0965804</v>
      </c>
      <c r="T989" s="1" t="str">
        <f t="shared" si="5"/>
        <v>Normal Cost</v>
      </c>
      <c r="U989" s="4">
        <f t="shared" si="6"/>
        <v>0.1907743333</v>
      </c>
    </row>
    <row r="990">
      <c r="A990" s="4" t="s">
        <v>2228</v>
      </c>
      <c r="B990" s="4" t="s">
        <v>273</v>
      </c>
      <c r="C990" s="4">
        <v>336.6242</v>
      </c>
      <c r="D990" s="4" t="s">
        <v>17</v>
      </c>
      <c r="E990" s="4" t="s">
        <v>70</v>
      </c>
      <c r="F990" s="4">
        <v>88.78</v>
      </c>
      <c r="G990" s="4">
        <v>53.5</v>
      </c>
      <c r="H990" s="4">
        <v>5.9621404247E10</v>
      </c>
      <c r="I990" s="4">
        <v>6.7979758237E10</v>
      </c>
      <c r="J990" s="4" t="s">
        <v>2229</v>
      </c>
      <c r="K990" s="5">
        <v>45359.39861111111</v>
      </c>
      <c r="L990" s="4">
        <v>2.33</v>
      </c>
      <c r="M990" s="4">
        <v>784.33</v>
      </c>
      <c r="N990" s="4">
        <v>784.0</v>
      </c>
      <c r="O990" s="4">
        <v>65072.0</v>
      </c>
      <c r="P990" s="4">
        <f t="shared" si="1"/>
        <v>117.0166667</v>
      </c>
      <c r="Q990" s="4" t="str">
        <f t="shared" si="2"/>
        <v>High</v>
      </c>
      <c r="R990" s="1" t="str">
        <f t="shared" si="3"/>
        <v>Normal</v>
      </c>
      <c r="S990" s="4">
        <f t="shared" si="4"/>
        <v>118.8378432</v>
      </c>
      <c r="T990" s="1" t="str">
        <f t="shared" si="5"/>
        <v>Normal Cost</v>
      </c>
      <c r="U990" s="4">
        <f t="shared" si="6"/>
        <v>0.1093250553</v>
      </c>
    </row>
    <row r="991">
      <c r="A991" s="4" t="s">
        <v>2230</v>
      </c>
      <c r="B991" s="4" t="s">
        <v>20</v>
      </c>
      <c r="C991" s="4">
        <v>561.7267</v>
      </c>
      <c r="D991" s="4" t="s">
        <v>17</v>
      </c>
      <c r="E991" s="4" t="s">
        <v>70</v>
      </c>
      <c r="F991" s="4">
        <v>33.15</v>
      </c>
      <c r="G991" s="4">
        <v>23.82</v>
      </c>
      <c r="H991" s="4">
        <v>6.2581670239E10</v>
      </c>
      <c r="I991" s="4">
        <v>6.6738314431E10</v>
      </c>
      <c r="J991" s="4" t="s">
        <v>2231</v>
      </c>
      <c r="K991" s="5">
        <v>45330.44930555556</v>
      </c>
      <c r="L991" s="4">
        <v>3.97</v>
      </c>
      <c r="M991" s="4">
        <v>2230.05</v>
      </c>
      <c r="N991" s="4">
        <v>2230.0</v>
      </c>
      <c r="O991" s="4">
        <v>185090.0</v>
      </c>
      <c r="P991" s="4">
        <f t="shared" si="1"/>
        <v>104.4333333</v>
      </c>
      <c r="Q991" s="4" t="str">
        <f t="shared" si="2"/>
        <v>Normal</v>
      </c>
      <c r="R991" s="1" t="str">
        <f t="shared" si="3"/>
        <v>Underutilized</v>
      </c>
      <c r="S991" s="4">
        <f t="shared" si="4"/>
        <v>120.4386211</v>
      </c>
      <c r="T991" s="1" t="str">
        <f t="shared" si="5"/>
        <v>High Cost</v>
      </c>
      <c r="U991" s="4">
        <f t="shared" si="6"/>
        <v>0.01538981036</v>
      </c>
    </row>
    <row r="992">
      <c r="A992" s="4" t="s">
        <v>2232</v>
      </c>
      <c r="B992" s="4" t="s">
        <v>31</v>
      </c>
      <c r="C992" s="4">
        <v>25.7631</v>
      </c>
      <c r="D992" s="4" t="s">
        <v>17</v>
      </c>
      <c r="E992" s="4" t="s">
        <v>18</v>
      </c>
      <c r="F992" s="4">
        <v>11.97</v>
      </c>
      <c r="G992" s="4">
        <v>48.34</v>
      </c>
      <c r="H992" s="4">
        <v>9.5991805189E10</v>
      </c>
      <c r="I992" s="4">
        <v>9.9943019184E10</v>
      </c>
      <c r="J992" s="4" t="s">
        <v>2233</v>
      </c>
      <c r="K992" s="4" t="s">
        <v>2234</v>
      </c>
      <c r="L992" s="4">
        <v>1.26</v>
      </c>
      <c r="M992" s="4">
        <v>32.46</v>
      </c>
      <c r="N992" s="4">
        <v>32.0</v>
      </c>
      <c r="O992" s="4">
        <v>2656.0</v>
      </c>
      <c r="P992" s="4">
        <f t="shared" si="1"/>
        <v>28.71666667</v>
      </c>
      <c r="Q992" s="4" t="str">
        <f t="shared" si="2"/>
        <v>Underutilized</v>
      </c>
      <c r="R992" s="1" t="str">
        <f t="shared" si="3"/>
        <v>Normal</v>
      </c>
      <c r="S992" s="4">
        <f t="shared" si="4"/>
        <v>182.4785251</v>
      </c>
      <c r="T992" s="1" t="str">
        <f t="shared" si="5"/>
        <v>Normal Cost</v>
      </c>
      <c r="U992" s="4">
        <f t="shared" si="6"/>
        <v>1.135353916</v>
      </c>
    </row>
    <row r="993">
      <c r="A993" s="4" t="s">
        <v>2235</v>
      </c>
      <c r="B993" s="4" t="s">
        <v>20</v>
      </c>
      <c r="C993" s="4">
        <v>389.7455</v>
      </c>
      <c r="D993" s="4" t="s">
        <v>17</v>
      </c>
      <c r="E993" s="4" t="s">
        <v>123</v>
      </c>
      <c r="F993" s="4">
        <v>77.29</v>
      </c>
      <c r="G993" s="4">
        <v>66.41</v>
      </c>
      <c r="H993" s="4">
        <v>8.4793657254E10</v>
      </c>
      <c r="I993" s="4">
        <v>9.1632010894E10</v>
      </c>
      <c r="J993" s="4" t="s">
        <v>2236</v>
      </c>
      <c r="K993" s="5">
        <v>45359.575694444444</v>
      </c>
      <c r="L993" s="4">
        <v>1.22</v>
      </c>
      <c r="M993" s="4">
        <v>475.49</v>
      </c>
      <c r="N993" s="4">
        <v>475.0</v>
      </c>
      <c r="O993" s="4">
        <v>39425.0</v>
      </c>
      <c r="P993" s="4">
        <f t="shared" si="1"/>
        <v>88.6</v>
      </c>
      <c r="Q993" s="4" t="str">
        <f t="shared" si="2"/>
        <v>High</v>
      </c>
      <c r="R993" s="1" t="str">
        <f t="shared" si="3"/>
        <v>Normal</v>
      </c>
      <c r="S993" s="4">
        <f t="shared" si="4"/>
        <v>164.3092075</v>
      </c>
      <c r="T993" s="1" t="str">
        <f t="shared" si="5"/>
        <v>Normal Cost</v>
      </c>
      <c r="U993" s="4">
        <f t="shared" si="6"/>
        <v>0.1822447685</v>
      </c>
    </row>
    <row r="994">
      <c r="A994" s="4" t="s">
        <v>2237</v>
      </c>
      <c r="B994" s="4" t="s">
        <v>183</v>
      </c>
      <c r="C994" s="4">
        <v>942.0782</v>
      </c>
      <c r="D994" s="4" t="s">
        <v>21</v>
      </c>
      <c r="E994" s="4" t="s">
        <v>22</v>
      </c>
      <c r="F994" s="4">
        <v>5.84</v>
      </c>
      <c r="G994" s="4">
        <v>51.52</v>
      </c>
      <c r="H994" s="4">
        <v>2.4471295008E10</v>
      </c>
      <c r="I994" s="4">
        <v>2.7776490991E10</v>
      </c>
      <c r="J994" s="4" t="s">
        <v>2238</v>
      </c>
      <c r="K994" s="4" t="s">
        <v>2239</v>
      </c>
      <c r="L994" s="4">
        <v>2.49</v>
      </c>
      <c r="M994" s="4">
        <v>2345.77</v>
      </c>
      <c r="N994" s="4">
        <v>2346.0</v>
      </c>
      <c r="O994" s="4">
        <v>194718.0</v>
      </c>
      <c r="P994" s="4">
        <f t="shared" si="1"/>
        <v>46.26666667</v>
      </c>
      <c r="Q994" s="4" t="str">
        <f t="shared" si="2"/>
        <v>Underutilized</v>
      </c>
      <c r="R994" s="1" t="str">
        <f t="shared" si="3"/>
        <v>Normal</v>
      </c>
      <c r="S994" s="4">
        <f t="shared" si="4"/>
        <v>48.65954257</v>
      </c>
      <c r="T994" s="1" t="str">
        <f t="shared" si="5"/>
        <v>High Cost</v>
      </c>
      <c r="U994" s="4">
        <f t="shared" si="6"/>
        <v>0.0147289927</v>
      </c>
    </row>
    <row r="995">
      <c r="A995" s="4" t="s">
        <v>2240</v>
      </c>
      <c r="B995" s="4" t="s">
        <v>46</v>
      </c>
      <c r="C995" s="4">
        <v>217.5637</v>
      </c>
      <c r="D995" s="4" t="s">
        <v>17</v>
      </c>
      <c r="E995" s="4" t="s">
        <v>155</v>
      </c>
      <c r="F995" s="4">
        <v>18.89</v>
      </c>
      <c r="G995" s="4">
        <v>68.0</v>
      </c>
      <c r="H995" s="4">
        <v>7.329749161E9</v>
      </c>
      <c r="I995" s="4">
        <v>1.1368547796E10</v>
      </c>
      <c r="J995" s="4" t="s">
        <v>2241</v>
      </c>
      <c r="K995" s="4" t="s">
        <v>2242</v>
      </c>
      <c r="L995" s="4">
        <v>8.89</v>
      </c>
      <c r="M995" s="4">
        <v>1934.14</v>
      </c>
      <c r="N995" s="4">
        <v>1934.0</v>
      </c>
      <c r="O995" s="4">
        <v>160522.0</v>
      </c>
      <c r="P995" s="4">
        <f t="shared" si="1"/>
        <v>84.35</v>
      </c>
      <c r="Q995" s="4" t="str">
        <f t="shared" si="2"/>
        <v>Underutilized</v>
      </c>
      <c r="R995" s="1" t="str">
        <f t="shared" si="3"/>
        <v>Normal</v>
      </c>
      <c r="S995" s="4">
        <f t="shared" si="4"/>
        <v>17.41414606</v>
      </c>
      <c r="T995" s="1" t="str">
        <f t="shared" si="5"/>
        <v>Normal Cost</v>
      </c>
      <c r="U995" s="4">
        <f t="shared" si="6"/>
        <v>0.02706482601</v>
      </c>
    </row>
    <row r="996">
      <c r="A996" s="4" t="s">
        <v>2243</v>
      </c>
      <c r="B996" s="4" t="s">
        <v>273</v>
      </c>
      <c r="C996" s="4">
        <v>20.2608</v>
      </c>
      <c r="D996" s="4" t="s">
        <v>21</v>
      </c>
      <c r="E996" s="4" t="s">
        <v>37</v>
      </c>
      <c r="F996" s="4">
        <v>72.41</v>
      </c>
      <c r="G996" s="4">
        <v>59.99</v>
      </c>
      <c r="H996" s="4">
        <v>4.5848191981E10</v>
      </c>
      <c r="I996" s="4">
        <v>5.3582994621E10</v>
      </c>
      <c r="J996" s="4" t="s">
        <v>2244</v>
      </c>
      <c r="K996" s="4" t="s">
        <v>2245</v>
      </c>
      <c r="L996" s="4">
        <v>9.73</v>
      </c>
      <c r="M996" s="4">
        <v>197.14</v>
      </c>
      <c r="N996" s="4">
        <v>197.0</v>
      </c>
      <c r="O996" s="4">
        <v>16351.0</v>
      </c>
      <c r="P996" s="4">
        <f t="shared" si="1"/>
        <v>86.06666667</v>
      </c>
      <c r="Q996" s="4" t="str">
        <f t="shared" si="2"/>
        <v>High</v>
      </c>
      <c r="R996" s="1" t="str">
        <f t="shared" si="3"/>
        <v>Normal</v>
      </c>
      <c r="S996" s="4">
        <f t="shared" si="4"/>
        <v>92.6025087</v>
      </c>
      <c r="T996" s="1" t="str">
        <f t="shared" si="5"/>
        <v>Normal Cost</v>
      </c>
      <c r="U996" s="4">
        <f t="shared" si="6"/>
        <v>0.4048682038</v>
      </c>
    </row>
    <row r="997">
      <c r="A997" s="4" t="s">
        <v>2246</v>
      </c>
      <c r="B997" s="4" t="s">
        <v>62</v>
      </c>
      <c r="C997" s="4">
        <v>105.2667</v>
      </c>
      <c r="D997" s="4" t="s">
        <v>42</v>
      </c>
      <c r="E997" s="4" t="s">
        <v>105</v>
      </c>
      <c r="F997" s="4">
        <v>94.81</v>
      </c>
      <c r="G997" s="4">
        <v>92.01</v>
      </c>
      <c r="H997" s="4">
        <v>6.4138243442E10</v>
      </c>
      <c r="I997" s="4">
        <v>7.0487266654E10</v>
      </c>
      <c r="J997" s="4" t="s">
        <v>2247</v>
      </c>
      <c r="K997" s="4" t="s">
        <v>2248</v>
      </c>
      <c r="L997" s="4">
        <v>7.78</v>
      </c>
      <c r="M997" s="4">
        <v>818.97</v>
      </c>
      <c r="N997" s="4">
        <v>819.0</v>
      </c>
      <c r="O997" s="4">
        <v>67977.0</v>
      </c>
      <c r="P997" s="4">
        <f t="shared" si="1"/>
        <v>105.2666667</v>
      </c>
      <c r="Q997" s="4" t="str">
        <f t="shared" si="2"/>
        <v>High</v>
      </c>
      <c r="R997" s="1" t="str">
        <f t="shared" si="3"/>
        <v>High</v>
      </c>
      <c r="S997" s="4">
        <f t="shared" si="4"/>
        <v>125.3797767</v>
      </c>
      <c r="T997" s="1" t="str">
        <f t="shared" si="5"/>
        <v>Normal Cost</v>
      </c>
      <c r="U997" s="4">
        <f t="shared" si="6"/>
        <v>0.1374141254</v>
      </c>
    </row>
    <row r="998">
      <c r="A998" s="4" t="s">
        <v>2249</v>
      </c>
      <c r="B998" s="4" t="s">
        <v>83</v>
      </c>
      <c r="C998" s="4">
        <v>691.4302</v>
      </c>
      <c r="D998" s="4" t="s">
        <v>21</v>
      </c>
      <c r="E998" s="4" t="s">
        <v>18</v>
      </c>
      <c r="F998" s="4">
        <v>48.47</v>
      </c>
      <c r="G998" s="4">
        <v>70.78</v>
      </c>
      <c r="H998" s="4">
        <v>8.639267457E9</v>
      </c>
      <c r="I998" s="4">
        <v>1.5003885405E10</v>
      </c>
      <c r="J998" s="4" t="s">
        <v>2250</v>
      </c>
      <c r="K998" s="5">
        <v>45390.40277777778</v>
      </c>
      <c r="L998" s="4">
        <v>7.97</v>
      </c>
      <c r="M998" s="4">
        <v>5510.7</v>
      </c>
      <c r="N998" s="4">
        <v>5511.0</v>
      </c>
      <c r="O998" s="4">
        <v>457413.0</v>
      </c>
      <c r="P998" s="4">
        <f t="shared" si="1"/>
        <v>122.6833333</v>
      </c>
      <c r="Q998" s="4" t="str">
        <f t="shared" si="2"/>
        <v>Normal</v>
      </c>
      <c r="R998" s="1" t="str">
        <f t="shared" si="3"/>
        <v>Normal</v>
      </c>
      <c r="S998" s="4">
        <f t="shared" si="4"/>
        <v>22.019402</v>
      </c>
      <c r="T998" s="1" t="str">
        <f t="shared" si="5"/>
        <v>High Cost</v>
      </c>
      <c r="U998" s="4">
        <f t="shared" si="6"/>
        <v>0.01303526572</v>
      </c>
    </row>
    <row r="999">
      <c r="A999" s="4" t="s">
        <v>2251</v>
      </c>
      <c r="B999" s="4" t="s">
        <v>166</v>
      </c>
      <c r="C999" s="4">
        <v>195.0857</v>
      </c>
      <c r="D999" s="4" t="s">
        <v>17</v>
      </c>
      <c r="E999" s="4" t="s">
        <v>74</v>
      </c>
      <c r="F999" s="4">
        <v>10.28</v>
      </c>
      <c r="G999" s="4">
        <v>50.53</v>
      </c>
      <c r="H999" s="4">
        <v>6.7920358323E10</v>
      </c>
      <c r="I999" s="4">
        <v>7.2730111824E10</v>
      </c>
      <c r="J999" s="5">
        <v>45512.49097222222</v>
      </c>
      <c r="K999" s="4" t="s">
        <v>2252</v>
      </c>
      <c r="L999" s="4">
        <v>3.98</v>
      </c>
      <c r="M999" s="4">
        <v>776.44</v>
      </c>
      <c r="N999" s="4">
        <v>776.0</v>
      </c>
      <c r="O999" s="4">
        <v>64408.0</v>
      </c>
      <c r="P999" s="4">
        <f t="shared" si="1"/>
        <v>127.1166667</v>
      </c>
      <c r="Q999" s="4" t="str">
        <f t="shared" si="2"/>
        <v>Underutilized</v>
      </c>
      <c r="R999" s="1" t="str">
        <f t="shared" si="3"/>
        <v>Normal</v>
      </c>
      <c r="S999" s="4">
        <f t="shared" si="4"/>
        <v>130.990958</v>
      </c>
      <c r="T999" s="1" t="str">
        <f t="shared" si="5"/>
        <v>Normal Cost</v>
      </c>
      <c r="U999" s="4">
        <f t="shared" si="6"/>
        <v>0.04720686871</v>
      </c>
    </row>
    <row r="1000">
      <c r="A1000" s="4" t="s">
        <v>2253</v>
      </c>
      <c r="B1000" s="4" t="s">
        <v>79</v>
      </c>
      <c r="C1000" s="4">
        <v>646.5474</v>
      </c>
      <c r="D1000" s="4" t="s">
        <v>21</v>
      </c>
      <c r="E1000" s="4" t="s">
        <v>37</v>
      </c>
      <c r="F1000" s="4">
        <v>76.58</v>
      </c>
      <c r="G1000" s="4">
        <v>6.03</v>
      </c>
      <c r="H1000" s="4">
        <v>4.4377829891E10</v>
      </c>
      <c r="I1000" s="4">
        <v>5.0999017236E10</v>
      </c>
      <c r="J1000" s="4" t="s">
        <v>2254</v>
      </c>
      <c r="K1000" s="4" t="s">
        <v>2255</v>
      </c>
      <c r="L1000" s="4">
        <v>4.1</v>
      </c>
      <c r="M1000" s="4">
        <v>2650.84</v>
      </c>
      <c r="N1000" s="4">
        <v>2651.0</v>
      </c>
      <c r="O1000" s="4">
        <v>220033.0</v>
      </c>
      <c r="P1000" s="4">
        <f t="shared" si="1"/>
        <v>37.95</v>
      </c>
      <c r="Q1000" s="4" t="str">
        <f t="shared" si="2"/>
        <v>High</v>
      </c>
      <c r="R1000" s="1" t="str">
        <f t="shared" si="3"/>
        <v>Underutilized</v>
      </c>
      <c r="S1000" s="4">
        <f t="shared" si="4"/>
        <v>88.82661083</v>
      </c>
      <c r="T1000" s="1" t="str">
        <f t="shared" si="5"/>
        <v>High Cost</v>
      </c>
      <c r="U1000" s="4">
        <f t="shared" si="6"/>
        <v>0.01877218417</v>
      </c>
    </row>
    <row r="1001">
      <c r="A1001" s="4" t="s">
        <v>2256</v>
      </c>
      <c r="B1001" s="4" t="s">
        <v>112</v>
      </c>
      <c r="C1001" s="4">
        <v>98.0667</v>
      </c>
      <c r="D1001" s="4" t="s">
        <v>42</v>
      </c>
      <c r="E1001" s="4" t="s">
        <v>58</v>
      </c>
      <c r="F1001" s="4">
        <v>32.91</v>
      </c>
      <c r="G1001" s="4">
        <v>22.82</v>
      </c>
      <c r="H1001" s="4">
        <v>9.9728008625E10</v>
      </c>
      <c r="I1001" s="4">
        <v>9.9735769398E10</v>
      </c>
      <c r="J1001" s="5">
        <v>45298.45694444444</v>
      </c>
      <c r="K1001" s="5">
        <v>45419.54305555556</v>
      </c>
      <c r="L1001" s="4">
        <v>6.66</v>
      </c>
      <c r="M1001" s="4">
        <v>653.12</v>
      </c>
      <c r="N1001" s="4">
        <v>653.0</v>
      </c>
      <c r="O1001" s="4">
        <v>54199.0</v>
      </c>
      <c r="P1001" s="4">
        <f t="shared" si="1"/>
        <v>98.06666667</v>
      </c>
      <c r="Q1001" s="4" t="str">
        <f t="shared" si="2"/>
        <v>Normal</v>
      </c>
      <c r="R1001" s="1" t="str">
        <f t="shared" si="3"/>
        <v>Underutilized</v>
      </c>
      <c r="S1001" s="4">
        <f t="shared" si="4"/>
        <v>185.7651193</v>
      </c>
      <c r="T1001" s="1" t="str">
        <f t="shared" si="5"/>
        <v>Normal Cost</v>
      </c>
      <c r="U1001" s="4">
        <f t="shared" si="6"/>
        <v>0.05141238768</v>
      </c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88"/>
    <col customWidth="1" min="7" max="7" width="19.13"/>
    <col customWidth="1" min="8" max="8" width="18.88"/>
    <col customWidth="1" min="18" max="18" width="14.0"/>
    <col customWidth="1" min="19" max="19" width="18.88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</sheetData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13"/>
    <col customWidth="1" min="2" max="2" width="8.38"/>
    <col customWidth="1" min="3" max="3" width="16.5"/>
    <col customWidth="1" min="5" max="5" width="20.5"/>
    <col customWidth="1" min="7" max="7" width="17.88"/>
  </cols>
  <sheetData>
    <row r="1">
      <c r="A1" s="7" t="s">
        <v>2270</v>
      </c>
    </row>
    <row r="2">
      <c r="A2" s="8" t="s">
        <v>2271</v>
      </c>
      <c r="B2" s="9"/>
      <c r="C2" s="10" t="s">
        <v>2272</v>
      </c>
      <c r="E2" s="10" t="s">
        <v>2273</v>
      </c>
      <c r="G2" s="10" t="s">
        <v>2274</v>
      </c>
    </row>
    <row r="3">
      <c r="A3" s="11">
        <f>SUM(Cleaned_Data!O2:O500)</f>
        <v>86458195</v>
      </c>
      <c r="C3" s="12">
        <f>AVERAGE(Cleaned_Data!F2:F500)</f>
        <v>52.21977956</v>
      </c>
      <c r="E3" s="13">
        <f>COUNTIF(Cleaned_Data!Q2:Q500,"Underutilized")</f>
        <v>132</v>
      </c>
      <c r="G3" s="14">
        <f>COUNTIF(Cleaned_Data!T2:T500,"High Cost")</f>
        <v>178</v>
      </c>
    </row>
  </sheetData>
  <mergeCells count="9">
    <mergeCell ref="E3:F3"/>
    <mergeCell ref="G3:H3"/>
    <mergeCell ref="A1:Z1"/>
    <mergeCell ref="A2:B2"/>
    <mergeCell ref="C2:D2"/>
    <mergeCell ref="E2:F2"/>
    <mergeCell ref="G2:H2"/>
    <mergeCell ref="A3:B3"/>
    <mergeCell ref="C3:D3"/>
  </mergeCells>
  <drawing r:id="rId1"/>
</worksheet>
</file>